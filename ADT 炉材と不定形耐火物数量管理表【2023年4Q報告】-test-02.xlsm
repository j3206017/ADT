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unshuo.chen\Desktop\連結編輯用資料夾\01.初版-待修正\ADT 炉材と不定形耐火物数量管理表\"/>
    </mc:Choice>
  </mc:AlternateContent>
  <xr:revisionPtr revIDLastSave="0" documentId="13_ncr:1_{4F0A6193-984C-4E5C-8069-9117C0067389}" xr6:coauthVersionLast="47" xr6:coauthVersionMax="47" xr10:uidLastSave="{00000000-0000-0000-0000-000000000000}"/>
  <bookViews>
    <workbookView xWindow="-120" yWindow="-120" windowWidth="29040" windowHeight="16440" tabRatio="664" activeTab="6" xr2:uid="{00000000-000D-0000-FFFF-FFFF00000000}"/>
  </bookViews>
  <sheets>
    <sheet name="例えば【入力】" sheetId="10" r:id="rId1"/>
    <sheet name="リスト" sheetId="16" r:id="rId2"/>
    <sheet name="素材1課" sheetId="15" r:id="rId3"/>
    <sheet name="素材2課" sheetId="12" r:id="rId4"/>
    <sheet name="素材3課" sheetId="13" r:id="rId5"/>
    <sheet name="機動組" sheetId="14" r:id="rId6"/>
    <sheet name="ADT 爐材合計" sheetId="6" r:id="rId7"/>
  </sheets>
  <functionGroups builtInGroupCount="19"/>
  <definedNames>
    <definedName name="_xlnm._FilterDatabase" localSheetId="6" hidden="1">'ADT 爐材合計'!$B$2:$L$941</definedName>
    <definedName name="_xlnm._FilterDatabase" localSheetId="2" hidden="1">素材1課!$B$10:$M$161</definedName>
    <definedName name="_xlnm._FilterDatabase" localSheetId="3" hidden="1">素材2課!$B$10:$M$10</definedName>
    <definedName name="_xlnm._FilterDatabase" localSheetId="4" hidden="1">素材3課!$B$10:$M$83</definedName>
    <definedName name="_xlnm._FilterDatabase" localSheetId="5" hidden="1">機動組!$B$10:$M$592</definedName>
    <definedName name="_xlnm.Print_Area" localSheetId="5">機動組!$B$1:$M$79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8" i="13" l="1"/>
  <c r="J243" i="14" l="1"/>
  <c r="J241" i="14"/>
  <c r="J234" i="14"/>
  <c r="J230" i="14"/>
  <c r="J229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洪 嘉禧(hung chiahsi)/ADT/雲林・製１・生產推進</author>
  </authors>
  <commentList>
    <comment ref="J84" authorId="0" shapeId="0" xr:uid="{00000000-0006-0000-0500-000001000000}">
      <text>
        <r>
          <rPr>
            <b/>
            <sz val="9"/>
            <color indexed="81"/>
            <rFont val="細明體"/>
            <family val="3"/>
            <charset val="136"/>
          </rPr>
          <t>7/21 
JF移動4枚</t>
        </r>
        <r>
          <rPr>
            <sz val="9"/>
            <color indexed="81"/>
            <rFont val="Tahoma"/>
            <family val="2"/>
          </rPr>
          <t xml:space="preserve">
(14-&gt;10)</t>
        </r>
      </text>
    </comment>
  </commentList>
</comments>
</file>

<file path=xl/sharedStrings.xml><?xml version="1.0" encoding="utf-8"?>
<sst xmlns="http://schemas.openxmlformats.org/spreadsheetml/2006/main" count="9904" uniqueCount="1980">
  <si>
    <t>【2023年 2Q】炉材と不定形耐火物数量報告リスト</t>
  </si>
  <si>
    <t>経理印</t>
    <rPh sb="0" eb="2">
      <t>ケイリ</t>
    </rPh>
    <rPh sb="2" eb="3">
      <t>イン</t>
    </rPh>
    <phoneticPr fontId="3"/>
  </si>
  <si>
    <t>担当者印</t>
  </si>
  <si>
    <t>（区分）</t>
    <rPh sb="1" eb="3">
      <t>クブン</t>
    </rPh>
    <phoneticPr fontId="3"/>
  </si>
  <si>
    <t>(PL ID)</t>
  </si>
  <si>
    <t>莊 偉祺</t>
  </si>
  <si>
    <t>戴 佳明</t>
  </si>
  <si>
    <t>A</t>
  </si>
  <si>
    <t>電鋳煉瓦</t>
  </si>
  <si>
    <r>
      <t xml:space="preserve">素1- </t>
    </r>
    <r>
      <rPr>
        <b/>
        <sz val="12"/>
        <color rgb="FFFF0000"/>
        <rFont val="Yu Gothic"/>
        <family val="2"/>
      </rPr>
      <t>F</t>
    </r>
    <r>
      <rPr>
        <sz val="12"/>
        <color theme="1"/>
        <rFont val="Yu Gothic"/>
        <family val="2"/>
      </rPr>
      <t>02</t>
    </r>
  </si>
  <si>
    <r>
      <t xml:space="preserve">F → </t>
    </r>
    <r>
      <rPr>
        <b/>
        <sz val="11"/>
        <color rgb="FFFF0000"/>
        <rFont val="Yu Gothic"/>
        <family val="2"/>
      </rPr>
      <t>F</t>
    </r>
    <r>
      <rPr>
        <sz val="11"/>
        <rFont val="Yu Gothic"/>
        <family val="2"/>
      </rPr>
      <t>urnace</t>
    </r>
  </si>
  <si>
    <t>B</t>
    <phoneticPr fontId="3"/>
  </si>
  <si>
    <t>焼成煉瓦</t>
  </si>
  <si>
    <r>
      <t xml:space="preserve">素1- </t>
    </r>
    <r>
      <rPr>
        <b/>
        <sz val="12"/>
        <color rgb="FFFF0000"/>
        <rFont val="Yu Gothic"/>
        <family val="2"/>
      </rPr>
      <t>I</t>
    </r>
    <r>
      <rPr>
        <sz val="12"/>
        <color theme="1"/>
        <rFont val="Yu Gothic"/>
        <family val="2"/>
      </rPr>
      <t>03</t>
    </r>
  </si>
  <si>
    <r>
      <t xml:space="preserve">I → </t>
    </r>
    <r>
      <rPr>
        <b/>
        <sz val="11"/>
        <color rgb="FFFF0000"/>
        <rFont val="Yu Gothic"/>
        <family val="2"/>
      </rPr>
      <t>I</t>
    </r>
    <r>
      <rPr>
        <sz val="11"/>
        <rFont val="Yu Gothic"/>
        <family val="2"/>
      </rPr>
      <t>nterface</t>
    </r>
  </si>
  <si>
    <t>C</t>
    <phoneticPr fontId="3"/>
  </si>
  <si>
    <t>保温煉瓦</t>
  </si>
  <si>
    <r>
      <t xml:space="preserve">素1- </t>
    </r>
    <r>
      <rPr>
        <b/>
        <sz val="12"/>
        <color rgb="FFFF0000"/>
        <rFont val="Yu Gothic"/>
        <family val="2"/>
      </rPr>
      <t>B</t>
    </r>
    <r>
      <rPr>
        <sz val="12"/>
        <color theme="1"/>
        <rFont val="Yu Gothic"/>
        <family val="2"/>
      </rPr>
      <t>05</t>
    </r>
  </si>
  <si>
    <r>
      <t xml:space="preserve">B → </t>
    </r>
    <r>
      <rPr>
        <b/>
        <sz val="11"/>
        <color rgb="FFFF0000"/>
        <rFont val="Yu Gothic"/>
        <family val="2"/>
      </rPr>
      <t>B</t>
    </r>
    <r>
      <rPr>
        <sz val="11"/>
        <rFont val="Yu Gothic"/>
        <family val="2"/>
      </rPr>
      <t>ath</t>
    </r>
  </si>
  <si>
    <t>所管部署名</t>
    <rPh sb="0" eb="2">
      <t>ショカン</t>
    </rPh>
    <rPh sb="2" eb="4">
      <t>ブショ</t>
    </rPh>
    <rPh sb="4" eb="5">
      <t>メイ</t>
    </rPh>
    <phoneticPr fontId="3"/>
  </si>
  <si>
    <t>ADT 素材１課</t>
  </si>
  <si>
    <t>D</t>
    <phoneticPr fontId="3"/>
  </si>
  <si>
    <t>不定形耐火物</t>
  </si>
  <si>
    <t>※建議的編碼方式，但以現場實際狀況為主。</t>
  </si>
  <si>
    <t>工　　程</t>
    <rPh sb="0" eb="1">
      <t>コウ</t>
    </rPh>
    <rPh sb="3" eb="4">
      <t>ホド</t>
    </rPh>
    <phoneticPr fontId="3"/>
  </si>
  <si>
    <t>YF窯 HOT</t>
  </si>
  <si>
    <t>保管場所</t>
    <rPh sb="0" eb="2">
      <t>ホカン</t>
    </rPh>
    <rPh sb="2" eb="4">
      <t>バショ</t>
    </rPh>
    <phoneticPr fontId="3"/>
  </si>
  <si>
    <t>YF/ZF 建屋内</t>
  </si>
  <si>
    <t>報告日</t>
  </si>
  <si>
    <t>実棚実施日</t>
  </si>
  <si>
    <t>区分</t>
  </si>
  <si>
    <t>置き場</t>
  </si>
  <si>
    <t>PL ID</t>
  </si>
  <si>
    <t>大グループ</t>
    <rPh sb="0" eb="1">
      <t>ダイ</t>
    </rPh>
    <phoneticPr fontId="3"/>
  </si>
  <si>
    <t>品目グループ</t>
    <phoneticPr fontId="3"/>
  </si>
  <si>
    <t>材質</t>
  </si>
  <si>
    <t>形状</t>
  </si>
  <si>
    <t>寸法</t>
    <phoneticPr fontId="1" type="noConversion"/>
  </si>
  <si>
    <t>数量</t>
    <phoneticPr fontId="1" type="noConversion"/>
  </si>
  <si>
    <t>単位</t>
  </si>
  <si>
    <t>単重(kg)</t>
  </si>
  <si>
    <t>ポイント</t>
  </si>
  <si>
    <t>A</t>
    <phoneticPr fontId="3"/>
  </si>
  <si>
    <t>ZF-STR 1階</t>
  </si>
  <si>
    <t>素1-F01</t>
  </si>
  <si>
    <t>窯</t>
  </si>
  <si>
    <t>当瓦</t>
  </si>
  <si>
    <t>ZB-X9510 VF</t>
  </si>
  <si>
    <t>01.8800</t>
  </si>
  <si>
    <t>305*225*90</t>
  </si>
  <si>
    <t>個</t>
  </si>
  <si>
    <t>01.8809</t>
  </si>
  <si>
    <t>355*225*90</t>
  </si>
  <si>
    <t>B</t>
  </si>
  <si>
    <t>素1-F02</t>
  </si>
  <si>
    <t>間隙</t>
  </si>
  <si>
    <t>G-ZRHD-65S</t>
  </si>
  <si>
    <t>01.5131</t>
  </si>
  <si>
    <t>---</t>
  </si>
  <si>
    <t>C</t>
  </si>
  <si>
    <t>素1-S03</t>
  </si>
  <si>
    <t>煙道</t>
  </si>
  <si>
    <t>断熱煉瓦　並</t>
  </si>
  <si>
    <t>SP-15</t>
  </si>
  <si>
    <t>01.5121</t>
    <phoneticPr fontId="1" type="noConversion"/>
  </si>
  <si>
    <t>230*114*65</t>
    <phoneticPr fontId="1" type="noConversion"/>
  </si>
  <si>
    <t>D</t>
  </si>
  <si>
    <t>素1-S04</t>
  </si>
  <si>
    <t>不定形</t>
    <phoneticPr fontId="9" type="noConversion"/>
  </si>
  <si>
    <t>25kg/袋</t>
  </si>
  <si>
    <t>M-34</t>
  </si>
  <si>
    <t>袋</t>
  </si>
  <si>
    <t>素1-B05</t>
  </si>
  <si>
    <t>Bath</t>
  </si>
  <si>
    <t>Bottom</t>
  </si>
  <si>
    <t>CASIL</t>
  </si>
  <si>
    <t>40.5101</t>
  </si>
  <si>
    <t>大グループ</t>
    <phoneticPr fontId="1" type="noConversion"/>
  </si>
  <si>
    <t>品目グループ</t>
    <phoneticPr fontId="1" type="noConversion"/>
  </si>
  <si>
    <t>材質</t>
    <phoneticPr fontId="1" type="noConversion"/>
  </si>
  <si>
    <t>---</t>
    <phoneticPr fontId="1" type="noConversion"/>
  </si>
  <si>
    <t>窯</t>
    <phoneticPr fontId="1" type="noConversion"/>
  </si>
  <si>
    <t>BOTTOM - 1ST</t>
  </si>
  <si>
    <t>950LP</t>
    <phoneticPr fontId="30" type="noConversion"/>
  </si>
  <si>
    <t>煙道</t>
    <phoneticPr fontId="1" type="noConversion"/>
  </si>
  <si>
    <t>BOTTOM - 2ND</t>
    <phoneticPr fontId="30" type="noConversion"/>
  </si>
  <si>
    <t>A2</t>
  </si>
  <si>
    <t>Interface</t>
    <phoneticPr fontId="1" type="noConversion"/>
  </si>
  <si>
    <t>BOTTOM - 3RD</t>
    <phoneticPr fontId="30" type="noConversion"/>
  </si>
  <si>
    <t>A3</t>
  </si>
  <si>
    <t>BATH</t>
  </si>
  <si>
    <t>BOTTOM - 4TH</t>
    <phoneticPr fontId="30" type="noConversion"/>
  </si>
  <si>
    <t>A5</t>
  </si>
  <si>
    <t>BUBBLER</t>
    <phoneticPr fontId="30" type="noConversion"/>
  </si>
  <si>
    <t>A7</t>
  </si>
  <si>
    <t>BRIDGE WALL</t>
    <phoneticPr fontId="30" type="noConversion"/>
  </si>
  <si>
    <t>AL96</t>
  </si>
  <si>
    <t>DAM WALL</t>
  </si>
  <si>
    <t>ALFRAX BI-57</t>
    <phoneticPr fontId="30" type="noConversion"/>
  </si>
  <si>
    <t>SIDE WALL</t>
    <phoneticPr fontId="30" type="noConversion"/>
  </si>
  <si>
    <t>ARG35G</t>
  </si>
  <si>
    <t>PAVE UNDER SIDE WALL</t>
  </si>
  <si>
    <t>ALOSUPER</t>
  </si>
  <si>
    <t>DRAIN OUT</t>
    <phoneticPr fontId="30" type="noConversion"/>
  </si>
  <si>
    <t>ASD-H</t>
  </si>
  <si>
    <t>DOG HOUSE</t>
    <phoneticPr fontId="30" type="noConversion"/>
  </si>
  <si>
    <t>AZ-GS</t>
  </si>
  <si>
    <t>BACK WALL</t>
    <phoneticPr fontId="30" type="noConversion"/>
  </si>
  <si>
    <t>B2</t>
  </si>
  <si>
    <t>BREAST WALL</t>
    <phoneticPr fontId="30" type="noConversion"/>
  </si>
  <si>
    <t>B5</t>
  </si>
  <si>
    <t>CROWN</t>
    <phoneticPr fontId="30" type="noConversion"/>
  </si>
  <si>
    <t>B6</t>
  </si>
  <si>
    <t>CROWN INSULATION</t>
    <phoneticPr fontId="30" type="noConversion"/>
  </si>
  <si>
    <t>B7</t>
  </si>
  <si>
    <t>FRONT WALL</t>
    <phoneticPr fontId="30" type="noConversion"/>
  </si>
  <si>
    <t>CA-18U</t>
  </si>
  <si>
    <t>OVERFLOW</t>
    <phoneticPr fontId="30" type="noConversion"/>
  </si>
  <si>
    <t>CASIL-A</t>
  </si>
  <si>
    <t>THROAT</t>
    <phoneticPr fontId="30" type="noConversion"/>
  </si>
  <si>
    <t>Concrete Block</t>
  </si>
  <si>
    <t>CWK-8</t>
  </si>
  <si>
    <t>TUCK SEAL</t>
    <phoneticPr fontId="30" type="noConversion"/>
  </si>
  <si>
    <t>C-ZOP-D</t>
  </si>
  <si>
    <t>PORT FLUE</t>
    <phoneticPr fontId="1" type="noConversion"/>
  </si>
  <si>
    <t>C-ZOP-U2</t>
  </si>
  <si>
    <t>VERTICAL FLUE</t>
    <phoneticPr fontId="30" type="noConversion"/>
  </si>
  <si>
    <t>FM-H</t>
  </si>
  <si>
    <t>HORIZONTAL FLUE</t>
    <phoneticPr fontId="1" type="noConversion"/>
  </si>
  <si>
    <t>FT15</t>
  </si>
  <si>
    <t>UNDER RECUPERATOR</t>
    <phoneticPr fontId="1" type="noConversion"/>
  </si>
  <si>
    <t>G-AS-60Z</t>
  </si>
  <si>
    <t>SAR</t>
  </si>
  <si>
    <t>G-M-75DH</t>
    <phoneticPr fontId="1" type="noConversion"/>
  </si>
  <si>
    <t>J,K管</t>
    <phoneticPr fontId="30" type="noConversion"/>
  </si>
  <si>
    <t>G-M-75DZ</t>
  </si>
  <si>
    <t>BY-PASS</t>
  </si>
  <si>
    <t>GREENCAST 94</t>
  </si>
  <si>
    <t>U,D SERIES</t>
  </si>
  <si>
    <t>SPOUT &amp; LIP</t>
  </si>
  <si>
    <t>HAKOTHERM-1200</t>
  </si>
  <si>
    <t>BOTTOM BLOCK</t>
    <phoneticPr fontId="30" type="noConversion"/>
  </si>
  <si>
    <t>HMS CEMENT</t>
    <phoneticPr fontId="30" type="noConversion"/>
  </si>
  <si>
    <t>RADIATION GATE</t>
  </si>
  <si>
    <t>LC-10</t>
  </si>
  <si>
    <t>HEATER BLOCK</t>
    <phoneticPr fontId="1" type="noConversion"/>
  </si>
  <si>
    <t>LC-13</t>
  </si>
  <si>
    <t>PBA PARTS</t>
    <phoneticPr fontId="1" type="noConversion"/>
  </si>
  <si>
    <t>LC-14</t>
  </si>
  <si>
    <t>D.D.P.</t>
    <phoneticPr fontId="30" type="noConversion"/>
  </si>
  <si>
    <t xml:space="preserve">M-34 </t>
    <phoneticPr fontId="30" type="noConversion"/>
  </si>
  <si>
    <t>SIDE FILLING</t>
    <phoneticPr fontId="30" type="noConversion"/>
  </si>
  <si>
    <t>M-AZ</t>
  </si>
  <si>
    <t>ROOF BLOCK</t>
  </si>
  <si>
    <t>MB-G RC</t>
  </si>
  <si>
    <t>INLET LINTEL</t>
    <phoneticPr fontId="30" type="noConversion"/>
  </si>
  <si>
    <t>MB-G VF</t>
  </si>
  <si>
    <t>EXIT LINTEL</t>
    <phoneticPr fontId="30" type="noConversion"/>
  </si>
  <si>
    <t>METSIL CAST</t>
  </si>
  <si>
    <t>METSILCAST BINDER</t>
  </si>
  <si>
    <t>SIDE SEAL</t>
    <phoneticPr fontId="30" type="noConversion"/>
  </si>
  <si>
    <t>ML-FMS</t>
  </si>
  <si>
    <t>押さえ煉瓦</t>
    <phoneticPr fontId="1" type="noConversion"/>
  </si>
  <si>
    <t>M-Z</t>
  </si>
  <si>
    <t>不定形</t>
    <phoneticPr fontId="1" type="noConversion"/>
  </si>
  <si>
    <t>NEOTEX34</t>
  </si>
  <si>
    <t>当瓦</t>
    <phoneticPr fontId="1" type="noConversion"/>
  </si>
  <si>
    <t>NEOTEX37</t>
  </si>
  <si>
    <t>隙間仕舞</t>
  </si>
  <si>
    <t>P/TMT-1600</t>
    <phoneticPr fontId="28"/>
  </si>
  <si>
    <t>BYPASS SPACER</t>
    <phoneticPr fontId="1" type="noConversion"/>
  </si>
  <si>
    <t>PBA</t>
  </si>
  <si>
    <t>PHOSPHORIC ACID</t>
  </si>
  <si>
    <t>RB13H</t>
  </si>
  <si>
    <t>RB155</t>
  </si>
  <si>
    <t>RB180</t>
  </si>
  <si>
    <t>Red Brick</t>
  </si>
  <si>
    <t>RF-SRC1</t>
  </si>
  <si>
    <t>SA-37B</t>
  </si>
  <si>
    <t>SAND</t>
  </si>
  <si>
    <t>SK34</t>
  </si>
  <si>
    <t>SP10</t>
  </si>
  <si>
    <t>SP12</t>
  </si>
  <si>
    <t>SP13</t>
  </si>
  <si>
    <t>SP14</t>
  </si>
  <si>
    <t>SP15</t>
  </si>
  <si>
    <t>SP15H</t>
  </si>
  <si>
    <t>SP9</t>
  </si>
  <si>
    <t>SPRAY MIX (S-506)</t>
  </si>
  <si>
    <t>SR 2792N</t>
  </si>
  <si>
    <t>TMT-1600</t>
    <phoneticPr fontId="1" type="noConversion"/>
  </si>
  <si>
    <t>VGT-ton</t>
  </si>
  <si>
    <t>X9510 VF</t>
  </si>
  <si>
    <t>BRICK SEAL BOND</t>
    <phoneticPr fontId="1" type="noConversion"/>
  </si>
  <si>
    <t>ZB-1681RC</t>
    <phoneticPr fontId="1" type="noConversion"/>
  </si>
  <si>
    <t>ZB-1681VF</t>
  </si>
  <si>
    <t>ZB-1691VF</t>
    <phoneticPr fontId="30" type="noConversion"/>
  </si>
  <si>
    <t>ZB-1691RC</t>
    <phoneticPr fontId="1" type="noConversion"/>
  </si>
  <si>
    <t>ZB-1711VF</t>
    <phoneticPr fontId="30" type="noConversion"/>
  </si>
  <si>
    <t>ZB-X9560</t>
  </si>
  <si>
    <t>ZETA-AH</t>
  </si>
  <si>
    <t>ZM2500 Wet</t>
  </si>
  <si>
    <t>ZM-C</t>
  </si>
  <si>
    <t>ZM-P</t>
    <phoneticPr fontId="1" type="noConversion"/>
  </si>
  <si>
    <t>ZMM</t>
  </si>
  <si>
    <t>ZR-2000S</t>
    <phoneticPr fontId="1" type="noConversion"/>
  </si>
  <si>
    <t>ZR-3500</t>
  </si>
  <si>
    <t>ZR-TG</t>
  </si>
  <si>
    <t>ZR-UP</t>
  </si>
  <si>
    <t>AZ22C</t>
    <phoneticPr fontId="1" type="noConversion"/>
  </si>
  <si>
    <t>ERZIR RAM</t>
  </si>
  <si>
    <t>NRF-KYU</t>
    <phoneticPr fontId="1" type="noConversion"/>
  </si>
  <si>
    <t>GlassPowder7740-200M</t>
    <phoneticPr fontId="1" type="noConversion"/>
  </si>
  <si>
    <t>アサヒライトキャスター</t>
    <phoneticPr fontId="1" type="noConversion"/>
  </si>
  <si>
    <r>
      <rPr>
        <sz val="11"/>
        <color theme="1"/>
        <rFont val="Calibri"/>
        <family val="2"/>
      </rPr>
      <t xml:space="preserve">TOMATEC </t>
    </r>
    <r>
      <rPr>
        <sz val="11"/>
        <color theme="1"/>
        <rFont val="細明體"/>
        <family val="2"/>
        <charset val="136"/>
      </rPr>
      <t>東罐</t>
    </r>
    <r>
      <rPr>
        <sz val="11"/>
        <color theme="1"/>
        <rFont val="Yu Gothic"/>
        <family val="2"/>
        <charset val="128"/>
      </rPr>
      <t>マテリアル</t>
    </r>
    <phoneticPr fontId="1" type="noConversion"/>
  </si>
  <si>
    <t>Monolithic CARBORUNDUM</t>
    <phoneticPr fontId="1" type="noConversion"/>
  </si>
  <si>
    <t>ZR-UC 4108</t>
    <phoneticPr fontId="1" type="noConversion"/>
  </si>
  <si>
    <t>ZR-UC 4110</t>
    <phoneticPr fontId="1" type="noConversion"/>
  </si>
  <si>
    <t>ZR-UC 4112</t>
    <phoneticPr fontId="1" type="noConversion"/>
  </si>
  <si>
    <t>ZR-UC 4113</t>
    <phoneticPr fontId="1" type="noConversion"/>
  </si>
  <si>
    <t>ZR-UC 4114</t>
    <phoneticPr fontId="1" type="noConversion"/>
  </si>
  <si>
    <t>ZR-UC 4117</t>
    <phoneticPr fontId="1" type="noConversion"/>
  </si>
  <si>
    <t>ZR-UC 4120</t>
    <phoneticPr fontId="1" type="noConversion"/>
  </si>
  <si>
    <t>ZR-UC 4121</t>
    <phoneticPr fontId="1" type="noConversion"/>
  </si>
  <si>
    <t>戴 佳明</t>
    <phoneticPr fontId="1" type="noConversion"/>
  </si>
  <si>
    <r>
      <t xml:space="preserve">F → </t>
    </r>
    <r>
      <rPr>
        <b/>
        <sz val="12"/>
        <color rgb="FFFF0000"/>
        <rFont val="Yu Gothic"/>
        <family val="2"/>
      </rPr>
      <t>F</t>
    </r>
    <r>
      <rPr>
        <sz val="12"/>
        <rFont val="Yu Gothic"/>
        <family val="2"/>
      </rPr>
      <t>urnace</t>
    </r>
  </si>
  <si>
    <t>游 祥和</t>
    <phoneticPr fontId="1" type="noConversion"/>
  </si>
  <si>
    <r>
      <t xml:space="preserve">I → </t>
    </r>
    <r>
      <rPr>
        <b/>
        <sz val="12"/>
        <color rgb="FFFF0000"/>
        <rFont val="Yu Gothic"/>
        <family val="2"/>
      </rPr>
      <t>I</t>
    </r>
    <r>
      <rPr>
        <sz val="12"/>
        <rFont val="Yu Gothic"/>
        <family val="2"/>
      </rPr>
      <t>nterface</t>
    </r>
  </si>
  <si>
    <r>
      <t xml:space="preserve">B → </t>
    </r>
    <r>
      <rPr>
        <b/>
        <sz val="12"/>
        <color rgb="FFFF0000"/>
        <rFont val="Yu Gothic"/>
        <family val="2"/>
      </rPr>
      <t>B</t>
    </r>
    <r>
      <rPr>
        <sz val="12"/>
        <rFont val="Yu Gothic"/>
        <family val="2"/>
      </rPr>
      <t>ath</t>
    </r>
  </si>
  <si>
    <t>素材製造一課</t>
    <phoneticPr fontId="1" type="noConversion"/>
  </si>
  <si>
    <t>YF HOT</t>
    <phoneticPr fontId="1" type="noConversion"/>
  </si>
  <si>
    <t>Fab.1 建屋内</t>
    <phoneticPr fontId="1" type="noConversion"/>
  </si>
  <si>
    <t>ZF-1F-BCF-L</t>
  </si>
  <si>
    <t>素1-F-01</t>
    <phoneticPr fontId="1" type="noConversion"/>
  </si>
  <si>
    <t>素1-F-02</t>
    <phoneticPr fontId="1" type="noConversion"/>
  </si>
  <si>
    <t>素1-F-03</t>
    <phoneticPr fontId="1" type="noConversion"/>
  </si>
  <si>
    <t>BREAST WALL</t>
    <phoneticPr fontId="1" type="noConversion"/>
  </si>
  <si>
    <t>950LP</t>
    <phoneticPr fontId="1" type="noConversion"/>
  </si>
  <si>
    <t>25.5214</t>
    <phoneticPr fontId="1" type="noConversion"/>
  </si>
  <si>
    <t>BURNER BLOCK</t>
    <phoneticPr fontId="1" type="noConversion"/>
  </si>
  <si>
    <t>25.6581</t>
    <phoneticPr fontId="1" type="noConversion"/>
  </si>
  <si>
    <t>MBS-BB2K2</t>
    <phoneticPr fontId="1" type="noConversion"/>
  </si>
  <si>
    <t>ZB-1681VF</t>
    <phoneticPr fontId="1" type="noConversion"/>
  </si>
  <si>
    <t>25.5164</t>
    <phoneticPr fontId="1" type="noConversion"/>
  </si>
  <si>
    <t>CASIL-A</t>
    <phoneticPr fontId="1" type="noConversion"/>
  </si>
  <si>
    <t>DO-1</t>
    <phoneticPr fontId="1" type="noConversion"/>
  </si>
  <si>
    <t>素1-F-04</t>
    <phoneticPr fontId="1" type="noConversion"/>
  </si>
  <si>
    <t>MBS-BB4</t>
    <phoneticPr fontId="1" type="noConversion"/>
  </si>
  <si>
    <t>素1-F-05</t>
    <phoneticPr fontId="1" type="noConversion"/>
  </si>
  <si>
    <t>MBS-BB1</t>
    <phoneticPr fontId="1" type="noConversion"/>
  </si>
  <si>
    <t>素1- F-05</t>
    <phoneticPr fontId="1" type="noConversion"/>
  </si>
  <si>
    <t>素1-F-06</t>
    <phoneticPr fontId="1" type="noConversion"/>
  </si>
  <si>
    <t>SPOUT &amp; LIP</t>
    <phoneticPr fontId="1" type="noConversion"/>
  </si>
  <si>
    <t>37.5346</t>
    <phoneticPr fontId="1" type="noConversion"/>
  </si>
  <si>
    <t>LIP SIDE JAMB</t>
    <phoneticPr fontId="1" type="noConversion"/>
  </si>
  <si>
    <t>X9510 VF</t>
    <phoneticPr fontId="1" type="noConversion"/>
  </si>
  <si>
    <t>37.5347</t>
    <phoneticPr fontId="1" type="noConversion"/>
  </si>
  <si>
    <t>37.5348</t>
    <phoneticPr fontId="1" type="noConversion"/>
  </si>
  <si>
    <t>LIP TILE</t>
    <phoneticPr fontId="1" type="noConversion"/>
  </si>
  <si>
    <t xml:space="preserve">MB-G VF </t>
    <phoneticPr fontId="1" type="noConversion"/>
  </si>
  <si>
    <t>37.5016</t>
    <phoneticPr fontId="1" type="noConversion"/>
  </si>
  <si>
    <t>WET BACK TILE</t>
    <phoneticPr fontId="1" type="noConversion"/>
  </si>
  <si>
    <t>素1-I-01</t>
  </si>
  <si>
    <t>Interface</t>
  </si>
  <si>
    <t>SP15H</t>
    <phoneticPr fontId="1" type="noConversion"/>
  </si>
  <si>
    <t>300*230*75</t>
    <phoneticPr fontId="1" type="noConversion"/>
  </si>
  <si>
    <t>素1-I-02</t>
  </si>
  <si>
    <t>素1-I-03</t>
  </si>
  <si>
    <t>U,D-SERIES</t>
    <phoneticPr fontId="1" type="noConversion"/>
  </si>
  <si>
    <t>SP15</t>
    <phoneticPr fontId="1" type="noConversion"/>
  </si>
  <si>
    <t>01.5121</t>
  </si>
  <si>
    <t>230*115*65</t>
  </si>
  <si>
    <t>素1-I-04</t>
  </si>
  <si>
    <t>素1-I-05</t>
  </si>
  <si>
    <t>RB180</t>
    <phoneticPr fontId="1" type="noConversion"/>
  </si>
  <si>
    <t>素1-I-06</t>
  </si>
  <si>
    <t>01.0722</t>
    <phoneticPr fontId="1" type="noConversion"/>
  </si>
  <si>
    <t>230*65*57</t>
    <phoneticPr fontId="1" type="noConversion"/>
  </si>
  <si>
    <t>素1-I-07</t>
  </si>
  <si>
    <t>SAR</t>
    <phoneticPr fontId="1" type="noConversion"/>
  </si>
  <si>
    <t>RB155</t>
    <phoneticPr fontId="1" type="noConversion"/>
  </si>
  <si>
    <t>素1-I-08</t>
  </si>
  <si>
    <t>J,K管</t>
    <phoneticPr fontId="1" type="noConversion"/>
  </si>
  <si>
    <t>SP14</t>
    <phoneticPr fontId="1" type="noConversion"/>
  </si>
  <si>
    <t>素1-I-09</t>
  </si>
  <si>
    <t>SP12</t>
    <phoneticPr fontId="1" type="noConversion"/>
  </si>
  <si>
    <t>素1-F-07</t>
    <phoneticPr fontId="1" type="noConversion"/>
  </si>
  <si>
    <t>BW-PHP2</t>
  </si>
  <si>
    <t>BW-PHP1</t>
  </si>
  <si>
    <t>300*327*55</t>
    <phoneticPr fontId="1" type="noConversion"/>
  </si>
  <si>
    <t>350*350*65</t>
    <phoneticPr fontId="1" type="noConversion"/>
  </si>
  <si>
    <t>BW-PHP3</t>
  </si>
  <si>
    <t>素1-F-08</t>
    <phoneticPr fontId="1" type="noConversion"/>
  </si>
  <si>
    <t>600*500*75</t>
    <phoneticPr fontId="1" type="noConversion"/>
  </si>
  <si>
    <t>35.5199</t>
    <phoneticPr fontId="1" type="noConversion"/>
  </si>
  <si>
    <t>35.5066</t>
    <phoneticPr fontId="1" type="noConversion"/>
  </si>
  <si>
    <t>DOG HOUSE</t>
    <phoneticPr fontId="1" type="noConversion"/>
  </si>
  <si>
    <t>G-AS-60Z</t>
    <phoneticPr fontId="1" type="noConversion"/>
  </si>
  <si>
    <t>02.0416</t>
    <phoneticPr fontId="1" type="noConversion"/>
  </si>
  <si>
    <t>600*300*80</t>
    <phoneticPr fontId="1" type="noConversion"/>
  </si>
  <si>
    <t>SK34</t>
    <phoneticPr fontId="1" type="noConversion"/>
  </si>
  <si>
    <t>25.5515</t>
    <phoneticPr fontId="1" type="noConversion"/>
  </si>
  <si>
    <t>BREAST WALL SEAL</t>
    <phoneticPr fontId="1" type="noConversion"/>
  </si>
  <si>
    <t>素1-F-09</t>
    <phoneticPr fontId="1" type="noConversion"/>
  </si>
  <si>
    <t>02.9164</t>
    <phoneticPr fontId="1" type="noConversion"/>
  </si>
  <si>
    <t>585*195*65</t>
  </si>
  <si>
    <t>02.9165</t>
    <phoneticPr fontId="1" type="noConversion"/>
  </si>
  <si>
    <t>585*390*65</t>
    <phoneticPr fontId="1" type="noConversion"/>
  </si>
  <si>
    <t>BW-PHP-4A</t>
  </si>
  <si>
    <t>CWK-8</t>
    <phoneticPr fontId="1" type="noConversion"/>
  </si>
  <si>
    <t>01.6797</t>
    <phoneticPr fontId="1" type="noConversion"/>
  </si>
  <si>
    <t>230*65*40</t>
  </si>
  <si>
    <t>01.6799</t>
    <phoneticPr fontId="1" type="noConversion"/>
  </si>
  <si>
    <t>260*65*40</t>
  </si>
  <si>
    <t>01.6265</t>
    <phoneticPr fontId="1" type="noConversion"/>
  </si>
  <si>
    <t>428*120*75</t>
  </si>
  <si>
    <t>BN -PLG 2</t>
    <phoneticPr fontId="1" type="noConversion"/>
  </si>
  <si>
    <t>素1-F-10</t>
    <phoneticPr fontId="1" type="noConversion"/>
  </si>
  <si>
    <t>34.5506</t>
    <phoneticPr fontId="1" type="noConversion"/>
  </si>
  <si>
    <t>素1-F-11</t>
    <phoneticPr fontId="1" type="noConversion"/>
  </si>
  <si>
    <t>34.5439</t>
    <phoneticPr fontId="1" type="noConversion"/>
  </si>
  <si>
    <r>
      <t>素1-F-</t>
    </r>
    <r>
      <rPr>
        <sz val="12"/>
        <color indexed="8"/>
        <rFont val="Yu Gothic"/>
        <family val="2"/>
      </rPr>
      <t>10</t>
    </r>
    <phoneticPr fontId="1" type="noConversion"/>
  </si>
  <si>
    <r>
      <t>素1-F-</t>
    </r>
    <r>
      <rPr>
        <sz val="12"/>
        <color indexed="8"/>
        <rFont val="Yu Gothic"/>
        <family val="2"/>
      </rPr>
      <t>11</t>
    </r>
    <phoneticPr fontId="1" type="noConversion"/>
  </si>
  <si>
    <t>34.5439</t>
  </si>
  <si>
    <r>
      <t>素1-F-</t>
    </r>
    <r>
      <rPr>
        <sz val="12"/>
        <color indexed="8"/>
        <rFont val="Yu Gothic"/>
        <family val="2"/>
      </rPr>
      <t>12</t>
    </r>
    <phoneticPr fontId="1" type="noConversion"/>
  </si>
  <si>
    <t>窺視窗煉瓦</t>
    <phoneticPr fontId="1" type="noConversion"/>
  </si>
  <si>
    <t>284*115*T20/25</t>
    <phoneticPr fontId="1" type="noConversion"/>
  </si>
  <si>
    <t>BW-BB</t>
    <phoneticPr fontId="1" type="noConversion"/>
  </si>
  <si>
    <t>25.6658</t>
    <phoneticPr fontId="1" type="noConversion"/>
  </si>
  <si>
    <t>325*120*T14/23</t>
    <phoneticPr fontId="1" type="noConversion"/>
  </si>
  <si>
    <t>BREAST WALL</t>
  </si>
  <si>
    <t>25.6103</t>
    <phoneticPr fontId="1" type="noConversion"/>
  </si>
  <si>
    <t>330*120*T10/20</t>
  </si>
  <si>
    <t>25.5798</t>
    <phoneticPr fontId="1" type="noConversion"/>
  </si>
  <si>
    <t>BURNER SEAL</t>
    <phoneticPr fontId="1" type="noConversion"/>
  </si>
  <si>
    <t>258*115*T7/12</t>
    <phoneticPr fontId="1" type="noConversion"/>
  </si>
  <si>
    <t>25.5799</t>
    <phoneticPr fontId="1" type="noConversion"/>
  </si>
  <si>
    <t>300*75*T31/36</t>
    <phoneticPr fontId="1" type="noConversion"/>
  </si>
  <si>
    <r>
      <t>素1- F-</t>
    </r>
    <r>
      <rPr>
        <sz val="12"/>
        <color rgb="FF000000"/>
        <rFont val="Yu Gothic"/>
        <family val="2"/>
      </rPr>
      <t>12</t>
    </r>
    <phoneticPr fontId="1" type="noConversion"/>
  </si>
  <si>
    <t>ZB -1681 VF</t>
    <phoneticPr fontId="1" type="noConversion"/>
  </si>
  <si>
    <t>400*396*90</t>
    <phoneticPr fontId="1" type="noConversion"/>
  </si>
  <si>
    <t>-</t>
  </si>
  <si>
    <t>PV6</t>
    <phoneticPr fontId="1" type="noConversion"/>
  </si>
  <si>
    <t>500*440*30</t>
    <phoneticPr fontId="1" type="noConversion"/>
  </si>
  <si>
    <r>
      <t>素1-F-</t>
    </r>
    <r>
      <rPr>
        <sz val="12"/>
        <color indexed="8"/>
        <rFont val="Yu Gothic"/>
        <family val="2"/>
      </rPr>
      <t>13</t>
    </r>
    <phoneticPr fontId="1" type="noConversion"/>
  </si>
  <si>
    <t>02.4105</t>
    <phoneticPr fontId="1" type="noConversion"/>
  </si>
  <si>
    <t>717*500*104</t>
  </si>
  <si>
    <t>25.6104</t>
    <phoneticPr fontId="1" type="noConversion"/>
  </si>
  <si>
    <t>PEEP HOLE</t>
    <phoneticPr fontId="1" type="noConversion"/>
  </si>
  <si>
    <t>BOTTOM - 4TH</t>
    <phoneticPr fontId="1" type="noConversion"/>
  </si>
  <si>
    <t>01.4492</t>
    <phoneticPr fontId="1" type="noConversion"/>
  </si>
  <si>
    <t>400*136*100</t>
  </si>
  <si>
    <t>PAVE</t>
    <phoneticPr fontId="1" type="noConversion"/>
  </si>
  <si>
    <t>BOTTOM - 3RD</t>
  </si>
  <si>
    <t>02.9958</t>
    <phoneticPr fontId="1" type="noConversion"/>
  </si>
  <si>
    <t>560*550*70</t>
  </si>
  <si>
    <t>SUB PAVE</t>
    <phoneticPr fontId="1" type="noConversion"/>
  </si>
  <si>
    <t>FRONT WALL</t>
    <phoneticPr fontId="1" type="noConversion"/>
  </si>
  <si>
    <t>47.5319</t>
    <phoneticPr fontId="1" type="noConversion"/>
  </si>
  <si>
    <t>TUCK STONE</t>
    <phoneticPr fontId="1" type="noConversion"/>
  </si>
  <si>
    <r>
      <t>素1-F-</t>
    </r>
    <r>
      <rPr>
        <sz val="12"/>
        <color indexed="8"/>
        <rFont val="Yu Gothic"/>
        <family val="2"/>
      </rPr>
      <t>14</t>
    </r>
    <phoneticPr fontId="1" type="noConversion"/>
  </si>
  <si>
    <t>25.5230</t>
    <phoneticPr fontId="1" type="noConversion"/>
  </si>
  <si>
    <t>UPPER BREAST WALL</t>
    <phoneticPr fontId="1" type="noConversion"/>
  </si>
  <si>
    <r>
      <t>素1-F-</t>
    </r>
    <r>
      <rPr>
        <sz val="12"/>
        <color indexed="8"/>
        <rFont val="Yu Gothic"/>
        <family val="2"/>
      </rPr>
      <t>15</t>
    </r>
    <phoneticPr fontId="1" type="noConversion"/>
  </si>
  <si>
    <t>01.0230</t>
    <phoneticPr fontId="1" type="noConversion"/>
  </si>
  <si>
    <t>300*300*75</t>
  </si>
  <si>
    <r>
      <t>素1-F-</t>
    </r>
    <r>
      <rPr>
        <sz val="12"/>
        <color indexed="8"/>
        <rFont val="Yu Gothic"/>
        <family val="2"/>
      </rPr>
      <t>16</t>
    </r>
    <phoneticPr fontId="1" type="noConversion"/>
  </si>
  <si>
    <t>01.5160</t>
    <phoneticPr fontId="1" type="noConversion"/>
  </si>
  <si>
    <t>300*225*75</t>
  </si>
  <si>
    <t>02.5409</t>
    <phoneticPr fontId="1" type="noConversion"/>
  </si>
  <si>
    <t>550*375*300</t>
  </si>
  <si>
    <r>
      <t>素1-F-</t>
    </r>
    <r>
      <rPr>
        <sz val="12"/>
        <color indexed="8"/>
        <rFont val="Yu Gothic"/>
        <family val="2"/>
      </rPr>
      <t>17</t>
    </r>
    <phoneticPr fontId="1" type="noConversion"/>
  </si>
  <si>
    <t>47.5316</t>
    <phoneticPr fontId="1" type="noConversion"/>
  </si>
  <si>
    <r>
      <t>素1-F-</t>
    </r>
    <r>
      <rPr>
        <sz val="12"/>
        <color indexed="8"/>
        <rFont val="Yu Gothic"/>
        <family val="2"/>
      </rPr>
      <t>18</t>
    </r>
    <phoneticPr fontId="1" type="noConversion"/>
  </si>
  <si>
    <t>47.5323</t>
    <phoneticPr fontId="1" type="noConversion"/>
  </si>
  <si>
    <t>47.5324</t>
    <phoneticPr fontId="1" type="noConversion"/>
  </si>
  <si>
    <r>
      <t>素1-F-</t>
    </r>
    <r>
      <rPr>
        <sz val="12"/>
        <color indexed="8"/>
        <rFont val="Yu Gothic"/>
        <family val="2"/>
      </rPr>
      <t>19</t>
    </r>
    <phoneticPr fontId="1" type="noConversion"/>
  </si>
  <si>
    <t>BOTTOM-4TH</t>
    <phoneticPr fontId="1" type="noConversion"/>
  </si>
  <si>
    <t>02.4082</t>
    <phoneticPr fontId="1" type="noConversion"/>
  </si>
  <si>
    <t>896*400*100</t>
    <phoneticPr fontId="1" type="noConversion"/>
  </si>
  <si>
    <t>素1-F-20</t>
    <phoneticPr fontId="1" type="noConversion"/>
  </si>
  <si>
    <t>BOTTOM-3RD</t>
    <phoneticPr fontId="1" type="noConversion"/>
  </si>
  <si>
    <t>02.9560</t>
    <phoneticPr fontId="1" type="noConversion"/>
  </si>
  <si>
    <t>536*532*70</t>
    <phoneticPr fontId="1" type="noConversion"/>
  </si>
  <si>
    <r>
      <t>素1-F-</t>
    </r>
    <r>
      <rPr>
        <sz val="12"/>
        <color indexed="8"/>
        <rFont val="Yu Gothic"/>
        <family val="2"/>
      </rPr>
      <t>21</t>
    </r>
    <phoneticPr fontId="1" type="noConversion"/>
  </si>
  <si>
    <t>25.6351</t>
    <phoneticPr fontId="1" type="noConversion"/>
  </si>
  <si>
    <r>
      <t>素1-F-</t>
    </r>
    <r>
      <rPr>
        <sz val="12"/>
        <color indexed="8"/>
        <rFont val="Yu Gothic"/>
        <family val="2"/>
      </rPr>
      <t>22</t>
    </r>
    <phoneticPr fontId="1" type="noConversion"/>
  </si>
  <si>
    <t>BOTTOM-2ND</t>
    <phoneticPr fontId="1" type="noConversion"/>
  </si>
  <si>
    <t>02.4720</t>
    <phoneticPr fontId="1" type="noConversion"/>
  </si>
  <si>
    <t>1050*510*210</t>
  </si>
  <si>
    <r>
      <t>素1-F-</t>
    </r>
    <r>
      <rPr>
        <sz val="12"/>
        <color indexed="8"/>
        <rFont val="Yu Gothic"/>
        <family val="2"/>
      </rPr>
      <t>23</t>
    </r>
    <phoneticPr fontId="1" type="noConversion"/>
  </si>
  <si>
    <t>1950*760*290</t>
    <phoneticPr fontId="1" type="noConversion"/>
  </si>
  <si>
    <r>
      <t>素1-F-</t>
    </r>
    <r>
      <rPr>
        <sz val="12"/>
        <color indexed="8"/>
        <rFont val="Yu Gothic"/>
        <family val="2"/>
      </rPr>
      <t>24</t>
    </r>
    <phoneticPr fontId="1" type="noConversion"/>
  </si>
  <si>
    <t>01.3867</t>
    <phoneticPr fontId="1" type="noConversion"/>
  </si>
  <si>
    <t>305*226*90</t>
    <phoneticPr fontId="1" type="noConversion"/>
  </si>
  <si>
    <t>01.3869</t>
    <phoneticPr fontId="1" type="noConversion"/>
  </si>
  <si>
    <t>335*226*90</t>
    <phoneticPr fontId="1" type="noConversion"/>
  </si>
  <si>
    <r>
      <t>素1-F-</t>
    </r>
    <r>
      <rPr>
        <sz val="12"/>
        <color indexed="8"/>
        <rFont val="Yu Gothic"/>
        <family val="2"/>
      </rPr>
      <t>25</t>
    </r>
    <phoneticPr fontId="1" type="noConversion"/>
  </si>
  <si>
    <t>01.3135</t>
    <phoneticPr fontId="1" type="noConversion"/>
  </si>
  <si>
    <t>335*225*90</t>
    <phoneticPr fontId="1" type="noConversion"/>
  </si>
  <si>
    <r>
      <t>素1-F-</t>
    </r>
    <r>
      <rPr>
        <sz val="12"/>
        <color indexed="8"/>
        <rFont val="Yu Gothic"/>
        <family val="2"/>
      </rPr>
      <t>26</t>
    </r>
    <phoneticPr fontId="1" type="noConversion"/>
  </si>
  <si>
    <t>01.3588</t>
    <phoneticPr fontId="1" type="noConversion"/>
  </si>
  <si>
    <t>305*249*90</t>
    <phoneticPr fontId="1" type="noConversion"/>
  </si>
  <si>
    <t>01.3589</t>
    <phoneticPr fontId="1" type="noConversion"/>
  </si>
  <si>
    <t>305*212*90</t>
    <phoneticPr fontId="1" type="noConversion"/>
  </si>
  <si>
    <t>298*225*90</t>
    <phoneticPr fontId="1" type="noConversion"/>
  </si>
  <si>
    <r>
      <t>素1-F-</t>
    </r>
    <r>
      <rPr>
        <sz val="12"/>
        <color indexed="8"/>
        <rFont val="Yu Gothic"/>
        <family val="2"/>
      </rPr>
      <t>27</t>
    </r>
    <phoneticPr fontId="1" type="noConversion"/>
  </si>
  <si>
    <t>01.2526</t>
    <phoneticPr fontId="1" type="noConversion"/>
  </si>
  <si>
    <t>305*195.5*90</t>
    <phoneticPr fontId="1" type="noConversion"/>
  </si>
  <si>
    <t>305*98*90</t>
    <phoneticPr fontId="1" type="noConversion"/>
  </si>
  <si>
    <t>300*150*35</t>
    <phoneticPr fontId="1" type="noConversion"/>
  </si>
  <si>
    <t>01.2527</t>
    <phoneticPr fontId="1" type="noConversion"/>
  </si>
  <si>
    <t>195.5*150*90</t>
    <phoneticPr fontId="1" type="noConversion"/>
  </si>
  <si>
    <t>01.9250</t>
    <phoneticPr fontId="1" type="noConversion"/>
  </si>
  <si>
    <t>300*148*100</t>
    <phoneticPr fontId="1" type="noConversion"/>
  </si>
  <si>
    <t>01.0975</t>
    <phoneticPr fontId="1" type="noConversion"/>
  </si>
  <si>
    <t>300*200*100</t>
    <phoneticPr fontId="1" type="noConversion"/>
  </si>
  <si>
    <t>300*148.5*100</t>
    <phoneticPr fontId="1" type="noConversion"/>
  </si>
  <si>
    <r>
      <t>素1-F-</t>
    </r>
    <r>
      <rPr>
        <sz val="12"/>
        <color indexed="8"/>
        <rFont val="Yu Gothic"/>
        <family val="2"/>
      </rPr>
      <t>28</t>
    </r>
    <phoneticPr fontId="1" type="noConversion"/>
  </si>
  <si>
    <t>01.8800</t>
    <phoneticPr fontId="1" type="noConversion"/>
  </si>
  <si>
    <t>305*225*90</t>
    <phoneticPr fontId="1" type="noConversion"/>
  </si>
  <si>
    <t>290*225*90</t>
    <phoneticPr fontId="1" type="noConversion"/>
  </si>
  <si>
    <t>01.3164</t>
    <phoneticPr fontId="1" type="noConversion"/>
  </si>
  <si>
    <t>270*225*90</t>
    <phoneticPr fontId="1" type="noConversion"/>
  </si>
  <si>
    <t>-</t>
    <phoneticPr fontId="1" type="noConversion"/>
  </si>
  <si>
    <r>
      <t>素1-F-</t>
    </r>
    <r>
      <rPr>
        <sz val="12"/>
        <color indexed="8"/>
        <rFont val="Yu Gothic"/>
        <family val="2"/>
      </rPr>
      <t>29</t>
    </r>
    <phoneticPr fontId="1" type="noConversion"/>
  </si>
  <si>
    <t>01.3143</t>
    <phoneticPr fontId="1" type="noConversion"/>
  </si>
  <si>
    <t>238*200*50</t>
    <phoneticPr fontId="1" type="noConversion"/>
  </si>
  <si>
    <t>01.3145</t>
    <phoneticPr fontId="1" type="noConversion"/>
  </si>
  <si>
    <t>210*175*50</t>
    <phoneticPr fontId="1" type="noConversion"/>
  </si>
  <si>
    <t>01.3146</t>
    <phoneticPr fontId="1" type="noConversion"/>
  </si>
  <si>
    <t>210*150*50</t>
    <phoneticPr fontId="1" type="noConversion"/>
  </si>
  <si>
    <t>01.3136</t>
    <phoneticPr fontId="1" type="noConversion"/>
  </si>
  <si>
    <t>335*237.5*90</t>
    <phoneticPr fontId="1" type="noConversion"/>
  </si>
  <si>
    <t>01.3137</t>
    <phoneticPr fontId="1" type="noConversion"/>
  </si>
  <si>
    <t>335*250*90</t>
    <phoneticPr fontId="1" type="noConversion"/>
  </si>
  <si>
    <t>01.3127</t>
    <phoneticPr fontId="1" type="noConversion"/>
  </si>
  <si>
    <t>335*193*90</t>
    <phoneticPr fontId="1" type="noConversion"/>
  </si>
  <si>
    <t>素1-F-30</t>
    <phoneticPr fontId="1" type="noConversion"/>
  </si>
  <si>
    <t>01.3129</t>
    <phoneticPr fontId="1" type="noConversion"/>
  </si>
  <si>
    <t>335*200*90</t>
    <phoneticPr fontId="1" type="noConversion"/>
  </si>
  <si>
    <t>01,3128</t>
    <phoneticPr fontId="1" type="noConversion"/>
  </si>
  <si>
    <t>305*193*90</t>
    <phoneticPr fontId="1" type="noConversion"/>
  </si>
  <si>
    <t>01.3132</t>
    <phoneticPr fontId="1" type="noConversion"/>
  </si>
  <si>
    <t>305*221*90</t>
    <phoneticPr fontId="1" type="noConversion"/>
  </si>
  <si>
    <t>01.3131</t>
    <phoneticPr fontId="1" type="noConversion"/>
  </si>
  <si>
    <t>335*221*90</t>
    <phoneticPr fontId="1" type="noConversion"/>
  </si>
  <si>
    <t>素1-F-31</t>
    <phoneticPr fontId="1" type="noConversion"/>
  </si>
  <si>
    <t>01.3130</t>
    <phoneticPr fontId="1" type="noConversion"/>
  </si>
  <si>
    <t>305*200*90</t>
    <phoneticPr fontId="1" type="noConversion"/>
  </si>
  <si>
    <t>素1-F-32</t>
    <phoneticPr fontId="1" type="noConversion"/>
  </si>
  <si>
    <t>03.5014</t>
    <phoneticPr fontId="1" type="noConversion"/>
  </si>
  <si>
    <t>335*278*90</t>
    <phoneticPr fontId="1" type="noConversion"/>
  </si>
  <si>
    <t>01.3133</t>
    <phoneticPr fontId="1" type="noConversion"/>
  </si>
  <si>
    <t>335*223*90</t>
    <phoneticPr fontId="1" type="noConversion"/>
  </si>
  <si>
    <t>01.3134</t>
    <phoneticPr fontId="1" type="noConversion"/>
  </si>
  <si>
    <t>305*223*90</t>
    <phoneticPr fontId="1" type="noConversion"/>
  </si>
  <si>
    <t>01.3870</t>
    <phoneticPr fontId="1" type="noConversion"/>
  </si>
  <si>
    <t>335*237*90</t>
    <phoneticPr fontId="1" type="noConversion"/>
  </si>
  <si>
    <t>02.2803</t>
    <phoneticPr fontId="1" type="noConversion"/>
  </si>
  <si>
    <t>305*250*90</t>
    <phoneticPr fontId="1" type="noConversion"/>
  </si>
  <si>
    <t>ZF-1F-I/F-L</t>
    <phoneticPr fontId="1" type="noConversion"/>
  </si>
  <si>
    <t>素1-F-33</t>
    <phoneticPr fontId="1" type="noConversion"/>
  </si>
  <si>
    <t>素1-F-34</t>
    <phoneticPr fontId="1" type="noConversion"/>
  </si>
  <si>
    <t>素1-F-35</t>
    <phoneticPr fontId="1" type="noConversion"/>
  </si>
  <si>
    <t>素1-F-36</t>
    <phoneticPr fontId="1" type="noConversion"/>
  </si>
  <si>
    <t>素1-F-37</t>
    <phoneticPr fontId="1" type="noConversion"/>
  </si>
  <si>
    <t>素1-F-38</t>
    <phoneticPr fontId="1" type="noConversion"/>
  </si>
  <si>
    <t>素1-F-39</t>
    <phoneticPr fontId="1" type="noConversion"/>
  </si>
  <si>
    <t>素1-F-40</t>
    <phoneticPr fontId="1" type="noConversion"/>
  </si>
  <si>
    <t>素1-F-41</t>
    <phoneticPr fontId="1" type="noConversion"/>
  </si>
  <si>
    <t>素1-F-42</t>
    <phoneticPr fontId="1" type="noConversion"/>
  </si>
  <si>
    <t>BOTTOM-1ST</t>
    <phoneticPr fontId="1" type="noConversion"/>
  </si>
  <si>
    <t>22.7776</t>
    <phoneticPr fontId="1" type="noConversion"/>
  </si>
  <si>
    <t>POLYGONAL BOTTOM</t>
    <phoneticPr fontId="1" type="noConversion"/>
  </si>
  <si>
    <t>22.7778</t>
    <phoneticPr fontId="1" type="noConversion"/>
  </si>
  <si>
    <t>22.7779</t>
    <phoneticPr fontId="1" type="noConversion"/>
  </si>
  <si>
    <t>22.7782</t>
    <phoneticPr fontId="1" type="noConversion"/>
  </si>
  <si>
    <t>ZR-UP</t>
    <phoneticPr fontId="1" type="noConversion"/>
  </si>
  <si>
    <t>300*150*78</t>
    <phoneticPr fontId="1" type="noConversion"/>
  </si>
  <si>
    <t>230*114*T58/75</t>
    <phoneticPr fontId="1" type="noConversion"/>
  </si>
  <si>
    <t>190/200*150*110</t>
    <phoneticPr fontId="1" type="noConversion"/>
  </si>
  <si>
    <t>ZRTS - L</t>
    <phoneticPr fontId="1" type="noConversion"/>
  </si>
  <si>
    <t>1000*52*62</t>
    <phoneticPr fontId="1" type="noConversion"/>
  </si>
  <si>
    <t>SR - S 100</t>
    <phoneticPr fontId="1" type="noConversion"/>
  </si>
  <si>
    <t>910*52*62</t>
    <phoneticPr fontId="1" type="noConversion"/>
  </si>
  <si>
    <t>SR - S 101</t>
    <phoneticPr fontId="1" type="noConversion"/>
  </si>
  <si>
    <t>素1-F-43</t>
    <phoneticPr fontId="1" type="noConversion"/>
  </si>
  <si>
    <t>SIDE WALL</t>
    <phoneticPr fontId="1" type="noConversion"/>
  </si>
  <si>
    <t>23.5945</t>
    <phoneticPr fontId="1" type="noConversion"/>
  </si>
  <si>
    <t>BACK LINING</t>
    <phoneticPr fontId="1" type="noConversion"/>
  </si>
  <si>
    <t>23.5946</t>
    <phoneticPr fontId="1" type="noConversion"/>
  </si>
  <si>
    <t>23.5944</t>
    <phoneticPr fontId="1" type="noConversion"/>
  </si>
  <si>
    <t>03.6522</t>
    <phoneticPr fontId="1" type="noConversion"/>
  </si>
  <si>
    <t>01.0956</t>
    <phoneticPr fontId="1" type="noConversion"/>
  </si>
  <si>
    <t>01.3492</t>
    <phoneticPr fontId="1" type="noConversion"/>
  </si>
  <si>
    <t>365*114*65</t>
    <phoneticPr fontId="1" type="noConversion"/>
  </si>
  <si>
    <t>01.2694</t>
    <phoneticPr fontId="1" type="noConversion"/>
  </si>
  <si>
    <t>03.5260</t>
    <phoneticPr fontId="1" type="noConversion"/>
  </si>
  <si>
    <t>305*50*30</t>
    <phoneticPr fontId="1" type="noConversion"/>
  </si>
  <si>
    <t>PAVE UNDER SIDE WALL</t>
    <phoneticPr fontId="1" type="noConversion"/>
  </si>
  <si>
    <t>01.3957</t>
    <phoneticPr fontId="1" type="noConversion"/>
  </si>
  <si>
    <t>450*217*50</t>
    <phoneticPr fontId="1" type="noConversion"/>
  </si>
  <si>
    <t>素1-F-44</t>
    <phoneticPr fontId="1" type="noConversion"/>
  </si>
  <si>
    <t>01.4950</t>
    <phoneticPr fontId="1" type="noConversion"/>
  </si>
  <si>
    <t>305*100*20</t>
    <phoneticPr fontId="1" type="noConversion"/>
  </si>
  <si>
    <t>01.3444</t>
    <phoneticPr fontId="1" type="noConversion"/>
  </si>
  <si>
    <t>355*225*30</t>
    <phoneticPr fontId="1" type="noConversion"/>
  </si>
  <si>
    <t>03.5016</t>
    <phoneticPr fontId="1" type="noConversion"/>
  </si>
  <si>
    <t>278*110*40</t>
    <phoneticPr fontId="1" type="noConversion"/>
  </si>
  <si>
    <t>01.4536</t>
    <phoneticPr fontId="1" type="noConversion"/>
  </si>
  <si>
    <t>225*185*90</t>
    <phoneticPr fontId="1" type="noConversion"/>
  </si>
  <si>
    <t>03.5017</t>
    <phoneticPr fontId="1" type="noConversion"/>
  </si>
  <si>
    <t>278*185*90</t>
    <phoneticPr fontId="1" type="noConversion"/>
  </si>
  <si>
    <t>01.2482</t>
    <phoneticPr fontId="1" type="noConversion"/>
  </si>
  <si>
    <t>215*205*100</t>
    <phoneticPr fontId="1" type="noConversion"/>
  </si>
  <si>
    <t>03.5006</t>
    <phoneticPr fontId="1" type="noConversion"/>
  </si>
  <si>
    <t>335*100*20</t>
    <phoneticPr fontId="1" type="noConversion"/>
  </si>
  <si>
    <t>03.5019</t>
    <phoneticPr fontId="1" type="noConversion"/>
  </si>
  <si>
    <t>186*174*90</t>
    <phoneticPr fontId="1" type="noConversion"/>
  </si>
  <si>
    <t>01.5511</t>
    <phoneticPr fontId="1" type="noConversion"/>
  </si>
  <si>
    <t>225*110*40</t>
    <phoneticPr fontId="1" type="noConversion"/>
  </si>
  <si>
    <t>01.4535</t>
    <phoneticPr fontId="1" type="noConversion"/>
  </si>
  <si>
    <t>336*100*20</t>
    <phoneticPr fontId="1" type="noConversion"/>
  </si>
  <si>
    <t>01.3958</t>
    <phoneticPr fontId="1" type="noConversion"/>
  </si>
  <si>
    <t>450*297*50</t>
    <phoneticPr fontId="1" type="noConversion"/>
  </si>
  <si>
    <t>A</t>
    <phoneticPr fontId="1" type="noConversion"/>
  </si>
  <si>
    <t>01.3956</t>
    <phoneticPr fontId="1" type="noConversion"/>
  </si>
  <si>
    <t>450*197*50</t>
    <phoneticPr fontId="1" type="noConversion"/>
  </si>
  <si>
    <t>素1-F-45</t>
    <phoneticPr fontId="1" type="noConversion"/>
  </si>
  <si>
    <t>03.5526</t>
    <phoneticPr fontId="1" type="noConversion"/>
  </si>
  <si>
    <t>225*126*60</t>
    <phoneticPr fontId="1" type="noConversion"/>
  </si>
  <si>
    <t>03.5527</t>
    <phoneticPr fontId="1" type="noConversion"/>
  </si>
  <si>
    <t>225*110*60</t>
    <phoneticPr fontId="1" type="noConversion"/>
  </si>
  <si>
    <t>520*165*50</t>
    <phoneticPr fontId="1" type="noConversion"/>
  </si>
  <si>
    <t>YK-44</t>
    <phoneticPr fontId="1" type="noConversion"/>
  </si>
  <si>
    <t>300*283*50</t>
    <phoneticPr fontId="1" type="noConversion"/>
  </si>
  <si>
    <t>410*101*21</t>
    <phoneticPr fontId="1" type="noConversion"/>
  </si>
  <si>
    <t>SR-S26-2</t>
    <phoneticPr fontId="1" type="noConversion"/>
  </si>
  <si>
    <t>451*110*38</t>
    <phoneticPr fontId="1" type="noConversion"/>
  </si>
  <si>
    <t>SR-S17</t>
    <phoneticPr fontId="1" type="noConversion"/>
  </si>
  <si>
    <t>861*68*49</t>
    <phoneticPr fontId="1" type="noConversion"/>
  </si>
  <si>
    <t>SR-S18</t>
    <phoneticPr fontId="1" type="noConversion"/>
  </si>
  <si>
    <t>860*110*38</t>
    <phoneticPr fontId="1" type="noConversion"/>
  </si>
  <si>
    <t>SR-S16</t>
    <phoneticPr fontId="1" type="noConversion"/>
  </si>
  <si>
    <t>861*80*39</t>
    <phoneticPr fontId="1" type="noConversion"/>
  </si>
  <si>
    <t>SR-31</t>
    <phoneticPr fontId="1" type="noConversion"/>
  </si>
  <si>
    <t>911*96*29</t>
    <phoneticPr fontId="1" type="noConversion"/>
  </si>
  <si>
    <t>SR-s101</t>
    <phoneticPr fontId="1" type="noConversion"/>
  </si>
  <si>
    <t>ZF-1F-BCF-L</t>
    <phoneticPr fontId="1" type="noConversion"/>
  </si>
  <si>
    <t>素1-F-46</t>
    <phoneticPr fontId="1" type="noConversion"/>
  </si>
  <si>
    <t>DOG HOUSE</t>
  </si>
  <si>
    <t>550*300*140</t>
    <phoneticPr fontId="1" type="noConversion"/>
  </si>
  <si>
    <t>吊瓦 RT-1</t>
    <phoneticPr fontId="1" type="noConversion"/>
  </si>
  <si>
    <t>素1-F-47</t>
    <phoneticPr fontId="1" type="noConversion"/>
  </si>
  <si>
    <t>553*300*140</t>
    <phoneticPr fontId="1" type="noConversion"/>
  </si>
  <si>
    <t xml:space="preserve"> RT-1</t>
    <phoneticPr fontId="1" type="noConversion"/>
  </si>
  <si>
    <t>素1-F-48</t>
    <phoneticPr fontId="1" type="noConversion"/>
  </si>
  <si>
    <t>HORIZONTAL FLUE</t>
  </si>
  <si>
    <t>02.5399</t>
    <phoneticPr fontId="1" type="noConversion"/>
  </si>
  <si>
    <t>600*464*133</t>
    <phoneticPr fontId="1" type="noConversion"/>
  </si>
  <si>
    <t>02.5400</t>
    <phoneticPr fontId="1" type="noConversion"/>
  </si>
  <si>
    <t>600*514*133</t>
    <phoneticPr fontId="1" type="noConversion"/>
  </si>
  <si>
    <t>素1-F-49</t>
    <phoneticPr fontId="1" type="noConversion"/>
  </si>
  <si>
    <t>02.5326</t>
    <phoneticPr fontId="1" type="noConversion"/>
  </si>
  <si>
    <t>820*150*100</t>
    <phoneticPr fontId="1" type="noConversion"/>
  </si>
  <si>
    <t>SIDE WALL</t>
  </si>
  <si>
    <t>02.5222</t>
    <phoneticPr fontId="1" type="noConversion"/>
  </si>
  <si>
    <t>600*450*90</t>
    <phoneticPr fontId="1" type="noConversion"/>
  </si>
  <si>
    <t>35.5192</t>
    <phoneticPr fontId="1" type="noConversion"/>
  </si>
  <si>
    <t>540*540*75</t>
    <phoneticPr fontId="1" type="noConversion"/>
  </si>
  <si>
    <t>25.5027</t>
    <phoneticPr fontId="1" type="noConversion"/>
  </si>
  <si>
    <t>25.2121</t>
    <phoneticPr fontId="1" type="noConversion"/>
  </si>
  <si>
    <t>BW-49</t>
    <phoneticPr fontId="1" type="noConversion"/>
  </si>
  <si>
    <t>素1-F-50</t>
    <phoneticPr fontId="1" type="noConversion"/>
  </si>
  <si>
    <t>450*267*75</t>
    <phoneticPr fontId="1" type="noConversion"/>
  </si>
  <si>
    <t>400 SP*300*75</t>
    <phoneticPr fontId="1" type="noConversion"/>
  </si>
  <si>
    <t>300*130*15</t>
    <phoneticPr fontId="1" type="noConversion"/>
  </si>
  <si>
    <t>22.5177</t>
    <phoneticPr fontId="1" type="noConversion"/>
  </si>
  <si>
    <t>450*181*65</t>
    <phoneticPr fontId="1" type="noConversion"/>
  </si>
  <si>
    <t>01.5409</t>
    <phoneticPr fontId="1" type="noConversion"/>
  </si>
  <si>
    <t>300*257*18</t>
    <phoneticPr fontId="1" type="noConversion"/>
  </si>
  <si>
    <t>01.0042</t>
    <phoneticPr fontId="1" type="noConversion"/>
  </si>
  <si>
    <t>300*150*100</t>
    <phoneticPr fontId="1" type="noConversion"/>
  </si>
  <si>
    <t>01.5908</t>
    <phoneticPr fontId="1" type="noConversion"/>
  </si>
  <si>
    <t>327*300*25</t>
    <phoneticPr fontId="1" type="noConversion"/>
  </si>
  <si>
    <t>01.5408</t>
    <phoneticPr fontId="1" type="noConversion"/>
  </si>
  <si>
    <t>327*300*18</t>
    <phoneticPr fontId="1" type="noConversion"/>
  </si>
  <si>
    <t>素1-F-51</t>
    <phoneticPr fontId="1" type="noConversion"/>
  </si>
  <si>
    <t>TB-6C　7112</t>
    <phoneticPr fontId="1" type="noConversion"/>
  </si>
  <si>
    <t>TB-6C　7115</t>
    <phoneticPr fontId="1" type="noConversion"/>
  </si>
  <si>
    <t>TB-6B　6X18</t>
    <phoneticPr fontId="1" type="noConversion"/>
  </si>
  <si>
    <t>TB-5　7115</t>
    <phoneticPr fontId="1" type="noConversion"/>
  </si>
  <si>
    <t>TB-5　7109</t>
    <phoneticPr fontId="1" type="noConversion"/>
  </si>
  <si>
    <t>TB-3　7109</t>
    <phoneticPr fontId="1" type="noConversion"/>
  </si>
  <si>
    <t>TB-3　6X13</t>
    <phoneticPr fontId="1" type="noConversion"/>
  </si>
  <si>
    <t>TB-4　6X24</t>
    <phoneticPr fontId="1" type="noConversion"/>
  </si>
  <si>
    <t>TB-4　7124</t>
    <phoneticPr fontId="1" type="noConversion"/>
  </si>
  <si>
    <t>TB-3　7115</t>
    <phoneticPr fontId="1" type="noConversion"/>
  </si>
  <si>
    <t>CB-1　6X10</t>
    <phoneticPr fontId="1" type="noConversion"/>
  </si>
  <si>
    <t>TB-2　7118</t>
    <phoneticPr fontId="1" type="noConversion"/>
  </si>
  <si>
    <t>TB-1　6X10</t>
    <phoneticPr fontId="1" type="noConversion"/>
  </si>
  <si>
    <t>TB-1　6X13</t>
    <phoneticPr fontId="1" type="noConversion"/>
  </si>
  <si>
    <t>TB-2　7115</t>
    <phoneticPr fontId="1" type="noConversion"/>
  </si>
  <si>
    <t>素1-F-52</t>
    <phoneticPr fontId="1" type="noConversion"/>
  </si>
  <si>
    <t>22.7088</t>
    <phoneticPr fontId="1" type="noConversion"/>
  </si>
  <si>
    <t>BLOCKS FOR ELECTRICAL HEATING</t>
    <phoneticPr fontId="1" type="noConversion"/>
  </si>
  <si>
    <t>TUCK SEAL</t>
  </si>
  <si>
    <t>01.5131</t>
    <phoneticPr fontId="1" type="noConversion"/>
  </si>
  <si>
    <t>300*150*75</t>
    <phoneticPr fontId="1" type="noConversion"/>
  </si>
  <si>
    <t>29.5616</t>
    <phoneticPr fontId="1" type="noConversion"/>
  </si>
  <si>
    <t>L TYPE TUCK SEAL</t>
    <phoneticPr fontId="1" type="noConversion"/>
  </si>
  <si>
    <t>BOTTOM - 4TH</t>
  </si>
  <si>
    <t>01.3049</t>
    <phoneticPr fontId="1" type="noConversion"/>
  </si>
  <si>
    <t>400*136*120</t>
    <phoneticPr fontId="1" type="noConversion"/>
  </si>
  <si>
    <t>CROWN</t>
  </si>
  <si>
    <t>01.5500</t>
    <phoneticPr fontId="1" type="noConversion"/>
  </si>
  <si>
    <t>350*50*40</t>
    <phoneticPr fontId="1" type="noConversion"/>
  </si>
  <si>
    <t>29.5803</t>
    <phoneticPr fontId="1" type="noConversion"/>
  </si>
  <si>
    <t>素1-F-53</t>
    <phoneticPr fontId="1" type="noConversion"/>
  </si>
  <si>
    <t>35.5069</t>
    <phoneticPr fontId="1" type="noConversion"/>
  </si>
  <si>
    <t>01.4574</t>
    <phoneticPr fontId="1" type="noConversion"/>
  </si>
  <si>
    <t>459*380*100</t>
    <phoneticPr fontId="1" type="noConversion"/>
  </si>
  <si>
    <t>01.3091</t>
    <phoneticPr fontId="1" type="noConversion"/>
  </si>
  <si>
    <t>430*340*100</t>
    <phoneticPr fontId="1" type="noConversion"/>
  </si>
  <si>
    <t>02.3411</t>
    <phoneticPr fontId="1" type="noConversion"/>
  </si>
  <si>
    <t>537*320*90</t>
    <phoneticPr fontId="1" type="noConversion"/>
  </si>
  <si>
    <t>素1-F-54</t>
    <phoneticPr fontId="1" type="noConversion"/>
  </si>
  <si>
    <t>01.5977</t>
    <phoneticPr fontId="1" type="noConversion"/>
  </si>
  <si>
    <t>230*110*25</t>
    <phoneticPr fontId="1" type="noConversion"/>
  </si>
  <si>
    <t>PORT FLUE</t>
  </si>
  <si>
    <t>01.7860</t>
    <phoneticPr fontId="1" type="noConversion"/>
  </si>
  <si>
    <t>250*215*65</t>
    <phoneticPr fontId="1" type="noConversion"/>
  </si>
  <si>
    <t>01.8012</t>
    <phoneticPr fontId="1" type="noConversion"/>
  </si>
  <si>
    <t>297*250*65</t>
    <phoneticPr fontId="1" type="noConversion"/>
  </si>
  <si>
    <t>01.5418</t>
    <phoneticPr fontId="1" type="noConversion"/>
  </si>
  <si>
    <t>221*141*9</t>
    <phoneticPr fontId="1" type="noConversion"/>
  </si>
  <si>
    <t>01.5419</t>
    <phoneticPr fontId="1" type="noConversion"/>
  </si>
  <si>
    <t>221*141*15</t>
    <phoneticPr fontId="1" type="noConversion"/>
  </si>
  <si>
    <t>500*150*65</t>
    <phoneticPr fontId="1" type="noConversion"/>
  </si>
  <si>
    <t>BU-FA-1</t>
    <phoneticPr fontId="1" type="noConversion"/>
  </si>
  <si>
    <t>401*280*70</t>
    <phoneticPr fontId="1" type="noConversion"/>
  </si>
  <si>
    <t>BU-FA-2</t>
    <phoneticPr fontId="1" type="noConversion"/>
  </si>
  <si>
    <t>327*300*36</t>
    <phoneticPr fontId="1" type="noConversion"/>
  </si>
  <si>
    <t>02.5330</t>
    <phoneticPr fontId="1" type="noConversion"/>
  </si>
  <si>
    <t>500*500*10</t>
    <phoneticPr fontId="1" type="noConversion"/>
  </si>
  <si>
    <t>02.7490</t>
    <phoneticPr fontId="1" type="noConversion"/>
  </si>
  <si>
    <t>580*34*34</t>
    <phoneticPr fontId="1" type="noConversion"/>
  </si>
  <si>
    <t>160*130*10</t>
    <phoneticPr fontId="1" type="noConversion"/>
  </si>
  <si>
    <t>160*130*15</t>
    <phoneticPr fontId="1" type="noConversion"/>
  </si>
  <si>
    <t>B</t>
    <phoneticPr fontId="1" type="noConversion"/>
  </si>
  <si>
    <r>
      <t>素1-F-</t>
    </r>
    <r>
      <rPr>
        <sz val="12"/>
        <color theme="1"/>
        <rFont val="Yu Gothic"/>
        <family val="2"/>
      </rPr>
      <t>54</t>
    </r>
    <phoneticPr fontId="1" type="noConversion"/>
  </si>
  <si>
    <t>SA-37B</t>
    <phoneticPr fontId="1" type="noConversion"/>
  </si>
  <si>
    <t>160*130*20</t>
    <phoneticPr fontId="1" type="noConversion"/>
  </si>
  <si>
    <r>
      <t>素1- F-</t>
    </r>
    <r>
      <rPr>
        <sz val="12"/>
        <color theme="1"/>
        <rFont val="Yu Gothic"/>
        <family val="2"/>
      </rPr>
      <t>55</t>
    </r>
    <phoneticPr fontId="1" type="noConversion"/>
  </si>
  <si>
    <t>G-ZRHD-65S</t>
    <phoneticPr fontId="1" type="noConversion"/>
  </si>
  <si>
    <t>02.9438</t>
    <phoneticPr fontId="1" type="noConversion"/>
  </si>
  <si>
    <t>696*350*120</t>
    <phoneticPr fontId="1" type="noConversion"/>
  </si>
  <si>
    <t>02.9422</t>
    <phoneticPr fontId="1" type="noConversion"/>
  </si>
  <si>
    <t>896*350*120</t>
    <phoneticPr fontId="1" type="noConversion"/>
  </si>
  <si>
    <t>02.1583</t>
    <phoneticPr fontId="1" type="noConversion"/>
  </si>
  <si>
    <t>600*400*75</t>
    <phoneticPr fontId="1" type="noConversion"/>
  </si>
  <si>
    <r>
      <t>素1- F-</t>
    </r>
    <r>
      <rPr>
        <sz val="12"/>
        <color theme="1"/>
        <rFont val="Yu Gothic"/>
        <family val="2"/>
      </rPr>
      <t>56</t>
    </r>
    <phoneticPr fontId="1" type="noConversion"/>
  </si>
  <si>
    <t>02.5226</t>
    <phoneticPr fontId="1" type="noConversion"/>
  </si>
  <si>
    <t>560*400*75</t>
    <phoneticPr fontId="1" type="noConversion"/>
  </si>
  <si>
    <t>450*300*130</t>
    <phoneticPr fontId="1" type="noConversion"/>
  </si>
  <si>
    <t>ZM-P</t>
  </si>
  <si>
    <t>450*150*90</t>
    <phoneticPr fontId="1" type="noConversion"/>
  </si>
  <si>
    <t>450*230*140</t>
    <phoneticPr fontId="1" type="noConversion"/>
  </si>
  <si>
    <t>267*230*140</t>
    <phoneticPr fontId="1" type="noConversion"/>
  </si>
  <si>
    <r>
      <t>素1- F-</t>
    </r>
    <r>
      <rPr>
        <sz val="12"/>
        <color rgb="FF000000"/>
        <rFont val="Yu Gothic"/>
        <family val="2"/>
      </rPr>
      <t>56</t>
    </r>
    <phoneticPr fontId="1" type="noConversion"/>
  </si>
  <si>
    <t>510*440*30</t>
    <phoneticPr fontId="1" type="noConversion"/>
  </si>
  <si>
    <t>CROWN INSULATION</t>
  </si>
  <si>
    <t>01.2866</t>
    <phoneticPr fontId="1" type="noConversion"/>
  </si>
  <si>
    <t>300*75*15</t>
    <phoneticPr fontId="1" type="noConversion"/>
  </si>
  <si>
    <r>
      <t>素1- F-</t>
    </r>
    <r>
      <rPr>
        <sz val="12"/>
        <color theme="1"/>
        <rFont val="Yu Gothic"/>
        <family val="2"/>
      </rPr>
      <t>57</t>
    </r>
    <phoneticPr fontId="1" type="noConversion"/>
  </si>
  <si>
    <t>01.5931</t>
    <phoneticPr fontId="1" type="noConversion"/>
  </si>
  <si>
    <t>230*114*75</t>
    <phoneticPr fontId="1" type="noConversion"/>
  </si>
  <si>
    <r>
      <t>素1- F-</t>
    </r>
    <r>
      <rPr>
        <sz val="12"/>
        <color rgb="FF000000"/>
        <rFont val="Yu Gothic"/>
        <family val="2"/>
      </rPr>
      <t>58</t>
    </r>
    <phoneticPr fontId="1" type="noConversion"/>
  </si>
  <si>
    <t>VERTICAL FLUE</t>
  </si>
  <si>
    <t>950LP</t>
  </si>
  <si>
    <t>34.5135</t>
    <phoneticPr fontId="1" type="noConversion"/>
  </si>
  <si>
    <t>VERTICAL FLUE</t>
    <phoneticPr fontId="1" type="noConversion"/>
  </si>
  <si>
    <t>　500*190*180</t>
    <phoneticPr fontId="1" type="noConversion"/>
  </si>
  <si>
    <t>951LP</t>
  </si>
  <si>
    <t>34.5134</t>
    <phoneticPr fontId="1" type="noConversion"/>
  </si>
  <si>
    <t>　500*126*125</t>
    <phoneticPr fontId="1" type="noConversion"/>
  </si>
  <si>
    <t>530*510*30</t>
    <phoneticPr fontId="1" type="noConversion"/>
  </si>
  <si>
    <t>　</t>
  </si>
  <si>
    <t>450*330*75</t>
    <phoneticPr fontId="1" type="noConversion"/>
  </si>
  <si>
    <t>5SP　</t>
    <phoneticPr fontId="1" type="noConversion"/>
  </si>
  <si>
    <t>461*451*90</t>
    <phoneticPr fontId="1" type="noConversion"/>
  </si>
  <si>
    <t>確認一下</t>
    <phoneticPr fontId="1" type="noConversion"/>
  </si>
  <si>
    <r>
      <t>素1- F-</t>
    </r>
    <r>
      <rPr>
        <sz val="12"/>
        <color rgb="FF000000"/>
        <rFont val="Yu Gothic"/>
        <family val="2"/>
      </rPr>
      <t>59</t>
    </r>
    <phoneticPr fontId="1" type="noConversion"/>
  </si>
  <si>
    <t>ZB-1691RC</t>
  </si>
  <si>
    <t>450*220*140</t>
    <phoneticPr fontId="1" type="noConversion"/>
  </si>
  <si>
    <t>450*230*125</t>
    <phoneticPr fontId="1" type="noConversion"/>
  </si>
  <si>
    <t>450*150*50</t>
    <phoneticPr fontId="1" type="noConversion"/>
  </si>
  <si>
    <t>400*300*40</t>
    <phoneticPr fontId="1" type="noConversion"/>
  </si>
  <si>
    <t>T51</t>
    <phoneticPr fontId="1" type="noConversion"/>
  </si>
  <si>
    <t>450*230*25</t>
    <phoneticPr fontId="1" type="noConversion"/>
  </si>
  <si>
    <t>450*200*50</t>
    <phoneticPr fontId="1" type="noConversion"/>
  </si>
  <si>
    <t>300*67*15</t>
    <phoneticPr fontId="1" type="noConversion"/>
  </si>
  <si>
    <t>ZF - T42</t>
    <phoneticPr fontId="1" type="noConversion"/>
  </si>
  <si>
    <t>ZB-1691VF</t>
  </si>
  <si>
    <t>300*130*16</t>
    <phoneticPr fontId="1" type="noConversion"/>
  </si>
  <si>
    <t>ZF - T58</t>
    <phoneticPr fontId="1" type="noConversion"/>
  </si>
  <si>
    <t>220*140*10</t>
    <phoneticPr fontId="1" type="noConversion"/>
  </si>
  <si>
    <t>02.7400</t>
    <phoneticPr fontId="1" type="noConversion"/>
  </si>
  <si>
    <t>427*274*75</t>
    <phoneticPr fontId="1" type="noConversion"/>
  </si>
  <si>
    <t>ZF-1F-I/F-L</t>
  </si>
  <si>
    <r>
      <t>素1-F-</t>
    </r>
    <r>
      <rPr>
        <sz val="12"/>
        <color rgb="FF000000"/>
        <rFont val="Yu Gothic"/>
        <family val="2"/>
      </rPr>
      <t>60</t>
    </r>
    <phoneticPr fontId="1" type="noConversion"/>
  </si>
  <si>
    <t>70.0000</t>
    <phoneticPr fontId="1" type="noConversion"/>
  </si>
  <si>
    <t>25kg/袋</t>
    <phoneticPr fontId="1" type="noConversion"/>
  </si>
  <si>
    <t>袋</t>
    <phoneticPr fontId="1" type="noConversion"/>
  </si>
  <si>
    <r>
      <t>素1-F-</t>
    </r>
    <r>
      <rPr>
        <sz val="12"/>
        <color rgb="FF000000"/>
        <rFont val="Yu Gothic"/>
        <family val="2"/>
      </rPr>
      <t>61</t>
    </r>
    <phoneticPr fontId="1" type="noConversion"/>
  </si>
  <si>
    <r>
      <t>素1-F-</t>
    </r>
    <r>
      <rPr>
        <sz val="12"/>
        <color rgb="FF000000"/>
        <rFont val="Yu Gothic"/>
        <family val="2"/>
      </rPr>
      <t>62</t>
    </r>
    <phoneticPr fontId="1" type="noConversion"/>
  </si>
  <si>
    <r>
      <t>素1-F-</t>
    </r>
    <r>
      <rPr>
        <sz val="12"/>
        <color rgb="FF000000"/>
        <rFont val="Yu Gothic"/>
        <family val="2"/>
      </rPr>
      <t>63</t>
    </r>
    <phoneticPr fontId="1" type="noConversion"/>
  </si>
  <si>
    <t>HMS CEMENT</t>
  </si>
  <si>
    <r>
      <t>素1-F-</t>
    </r>
    <r>
      <rPr>
        <sz val="12"/>
        <color rgb="FF000000"/>
        <rFont val="Yu Gothic"/>
        <family val="2"/>
      </rPr>
      <t>64</t>
    </r>
    <phoneticPr fontId="1" type="noConversion"/>
  </si>
  <si>
    <t>アサヒライトキャスター</t>
  </si>
  <si>
    <t>12T</t>
    <phoneticPr fontId="1" type="noConversion"/>
  </si>
  <si>
    <r>
      <t>素1-F-</t>
    </r>
    <r>
      <rPr>
        <sz val="12"/>
        <color rgb="FF000000"/>
        <rFont val="Yu Gothic"/>
        <family val="2"/>
      </rPr>
      <t>65</t>
    </r>
    <phoneticPr fontId="1" type="noConversion"/>
  </si>
  <si>
    <t>25kg/桶</t>
    <phoneticPr fontId="1" type="noConversion"/>
  </si>
  <si>
    <t>桶</t>
    <phoneticPr fontId="1" type="noConversion"/>
  </si>
  <si>
    <r>
      <t>素1-F-</t>
    </r>
    <r>
      <rPr>
        <sz val="12"/>
        <color rgb="FF000000"/>
        <rFont val="Yu Gothic"/>
        <family val="2"/>
      </rPr>
      <t>66</t>
    </r>
    <phoneticPr fontId="1" type="noConversion"/>
  </si>
  <si>
    <t>TOMATEC 東罐マテリアル</t>
  </si>
  <si>
    <t>AG-5335P-ST17　</t>
    <phoneticPr fontId="1" type="noConversion"/>
  </si>
  <si>
    <t>NRF-KYU</t>
  </si>
  <si>
    <t>専用急結剤</t>
    <phoneticPr fontId="1" type="noConversion"/>
  </si>
  <si>
    <t xml:space="preserve">ZR-2000S </t>
  </si>
  <si>
    <t>ジルコンバッチ</t>
    <phoneticPr fontId="1" type="noConversion"/>
  </si>
  <si>
    <t>ジルコンパッチグ材</t>
    <phoneticPr fontId="1" type="noConversion"/>
  </si>
  <si>
    <r>
      <t>素1-F-</t>
    </r>
    <r>
      <rPr>
        <sz val="12"/>
        <color rgb="FF000000"/>
        <rFont val="Yu Gothic"/>
        <family val="2"/>
      </rPr>
      <t>67</t>
    </r>
    <phoneticPr fontId="1" type="noConversion"/>
  </si>
  <si>
    <r>
      <t>素1-F-</t>
    </r>
    <r>
      <rPr>
        <sz val="12"/>
        <color rgb="FF000000"/>
        <rFont val="Yu Gothic"/>
        <family val="2"/>
      </rPr>
      <t>68</t>
    </r>
    <phoneticPr fontId="1" type="noConversion"/>
  </si>
  <si>
    <t>02.5489</t>
    <phoneticPr fontId="1" type="noConversion"/>
  </si>
  <si>
    <t>601*401*165</t>
  </si>
  <si>
    <t>ARG35G</t>
    <phoneticPr fontId="1" type="noConversion"/>
  </si>
  <si>
    <t>230*114*65</t>
  </si>
  <si>
    <t>素1-F-68</t>
    <phoneticPr fontId="1" type="noConversion"/>
  </si>
  <si>
    <t>PT 2</t>
    <phoneticPr fontId="1" type="noConversion"/>
  </si>
  <si>
    <t>　吊瓦</t>
    <phoneticPr fontId="1" type="noConversion"/>
  </si>
  <si>
    <r>
      <t>新增</t>
    </r>
    <r>
      <rPr>
        <sz val="12"/>
        <color theme="1"/>
        <rFont val="細明體"/>
        <family val="2"/>
        <charset val="136"/>
      </rPr>
      <t xml:space="preserve"> 8/3</t>
    </r>
    <phoneticPr fontId="1" type="noConversion"/>
  </si>
  <si>
    <t>24.5007</t>
    <phoneticPr fontId="1" type="noConversion"/>
  </si>
  <si>
    <t>24.5252</t>
    <phoneticPr fontId="1" type="noConversion"/>
  </si>
  <si>
    <r>
      <t>素1-F-</t>
    </r>
    <r>
      <rPr>
        <sz val="12"/>
        <color rgb="FF000000"/>
        <rFont val="Yu Gothic"/>
        <family val="2"/>
      </rPr>
      <t>69</t>
    </r>
    <phoneticPr fontId="1" type="noConversion"/>
  </si>
  <si>
    <t>NEOTEX34</t>
    <phoneticPr fontId="1" type="noConversion"/>
  </si>
  <si>
    <t>01.6037</t>
    <phoneticPr fontId="1" type="noConversion"/>
  </si>
  <si>
    <t>450*300*130</t>
  </si>
  <si>
    <t>ZB-1681RC</t>
  </si>
  <si>
    <t>01.5143</t>
    <phoneticPr fontId="1" type="noConversion"/>
  </si>
  <si>
    <t>450*220*140</t>
  </si>
  <si>
    <t>01.9037</t>
    <phoneticPr fontId="1" type="noConversion"/>
  </si>
  <si>
    <t>450*270*140</t>
  </si>
  <si>
    <t>01.5941</t>
    <phoneticPr fontId="1" type="noConversion"/>
  </si>
  <si>
    <t>450*231*140</t>
  </si>
  <si>
    <t>KAN-3</t>
  </si>
  <si>
    <t>素1-F-70</t>
    <phoneticPr fontId="1" type="noConversion"/>
  </si>
  <si>
    <t>素1-F-71</t>
    <phoneticPr fontId="1" type="noConversion"/>
  </si>
  <si>
    <t>SB4</t>
    <phoneticPr fontId="1" type="noConversion"/>
  </si>
  <si>
    <t>SB4H</t>
    <phoneticPr fontId="1" type="noConversion"/>
  </si>
  <si>
    <t>SB5</t>
    <phoneticPr fontId="1" type="noConversion"/>
  </si>
  <si>
    <t>SB6H</t>
    <phoneticPr fontId="1" type="noConversion"/>
  </si>
  <si>
    <t>SB7</t>
    <phoneticPr fontId="1" type="noConversion"/>
  </si>
  <si>
    <t>SB 8H</t>
  </si>
  <si>
    <t>E-3</t>
    <phoneticPr fontId="1" type="noConversion"/>
  </si>
  <si>
    <t>ET-5</t>
    <phoneticPr fontId="1" type="noConversion"/>
  </si>
  <si>
    <t>ET-6</t>
    <phoneticPr fontId="1" type="noConversion"/>
  </si>
  <si>
    <t>ZB-TS1</t>
    <phoneticPr fontId="1" type="noConversion"/>
  </si>
  <si>
    <t>素1-F-72</t>
    <phoneticPr fontId="1" type="noConversion"/>
  </si>
  <si>
    <t>25.6014</t>
    <phoneticPr fontId="1" type="noConversion"/>
  </si>
  <si>
    <t>素1-F-73</t>
    <phoneticPr fontId="1" type="noConversion"/>
  </si>
  <si>
    <t>素1-F-74</t>
    <phoneticPr fontId="1" type="noConversion"/>
  </si>
  <si>
    <t>不定形</t>
  </si>
  <si>
    <t>Monolithic CARBORUNDUM</t>
  </si>
  <si>
    <t>508-795-5703</t>
    <phoneticPr fontId="1" type="noConversion"/>
  </si>
  <si>
    <r>
      <t>素1-F-7</t>
    </r>
    <r>
      <rPr>
        <sz val="12"/>
        <rFont val="細明體"/>
        <family val="2"/>
        <charset val="136"/>
      </rPr>
      <t>5</t>
    </r>
    <phoneticPr fontId="1" type="noConversion"/>
  </si>
  <si>
    <t>ZETA-AH</t>
    <phoneticPr fontId="1" type="noConversion"/>
  </si>
  <si>
    <r>
      <rPr>
        <sz val="12"/>
        <color theme="1"/>
        <rFont val="細明體"/>
        <family val="2"/>
        <charset val="136"/>
      </rPr>
      <t>0</t>
    </r>
    <r>
      <rPr>
        <sz val="12"/>
        <color theme="1"/>
        <rFont val="Yu Gothic"/>
        <family val="2"/>
      </rPr>
      <t>1.5131</t>
    </r>
    <phoneticPr fontId="1" type="noConversion"/>
  </si>
  <si>
    <t>個</t>
    <phoneticPr fontId="1" type="noConversion"/>
  </si>
  <si>
    <r>
      <t>素1-F-7</t>
    </r>
    <r>
      <rPr>
        <sz val="12"/>
        <rFont val="細明體"/>
        <family val="2"/>
        <charset val="136"/>
      </rPr>
      <t>6</t>
    </r>
    <phoneticPr fontId="1" type="noConversion"/>
  </si>
  <si>
    <r>
      <t>素1-F-7</t>
    </r>
    <r>
      <rPr>
        <sz val="12"/>
        <rFont val="細明體"/>
        <family val="2"/>
        <charset val="136"/>
      </rPr>
      <t>7</t>
    </r>
    <phoneticPr fontId="1" type="noConversion"/>
  </si>
  <si>
    <r>
      <t>素1-F-7</t>
    </r>
    <r>
      <rPr>
        <sz val="12"/>
        <rFont val="細明體"/>
        <family val="2"/>
        <charset val="136"/>
      </rPr>
      <t>8</t>
    </r>
    <phoneticPr fontId="1" type="noConversion"/>
  </si>
  <si>
    <t>950 LP</t>
    <phoneticPr fontId="1" type="noConversion"/>
  </si>
  <si>
    <t>MBS - BB5</t>
    <phoneticPr fontId="1" type="noConversion"/>
  </si>
  <si>
    <t>C</t>
    <phoneticPr fontId="1" type="noConversion"/>
  </si>
  <si>
    <t>01.8721</t>
    <phoneticPr fontId="1" type="noConversion"/>
  </si>
  <si>
    <t>480*280*65</t>
    <phoneticPr fontId="1" type="noConversion"/>
  </si>
  <si>
    <t>NEOTEX 37</t>
    <phoneticPr fontId="1" type="noConversion"/>
  </si>
  <si>
    <t>SAR 3</t>
    <phoneticPr fontId="1" type="noConversion"/>
  </si>
  <si>
    <t>組</t>
    <phoneticPr fontId="1" type="noConversion"/>
  </si>
  <si>
    <t>ET 2</t>
    <phoneticPr fontId="1" type="noConversion"/>
  </si>
  <si>
    <t>32.5074</t>
    <phoneticPr fontId="1" type="noConversion"/>
  </si>
  <si>
    <t>ZB -1681 VF</t>
  </si>
  <si>
    <t>32.5075</t>
    <phoneticPr fontId="1" type="noConversion"/>
  </si>
  <si>
    <t>ZB -PIN</t>
    <phoneticPr fontId="1" type="noConversion"/>
  </si>
  <si>
    <t>¢25*150</t>
    <phoneticPr fontId="1" type="noConversion"/>
  </si>
  <si>
    <t>張 惠凱</t>
    <phoneticPr fontId="1" type="noConversion"/>
  </si>
  <si>
    <t>林 建蓬</t>
    <phoneticPr fontId="1" type="noConversion"/>
  </si>
  <si>
    <t>素材製造二課</t>
    <phoneticPr fontId="1" type="noConversion"/>
  </si>
  <si>
    <t>不定形耐火物</t>
    <phoneticPr fontId="1" type="noConversion"/>
  </si>
  <si>
    <t>CF/EF HOT</t>
    <phoneticPr fontId="1" type="noConversion"/>
  </si>
  <si>
    <t>Fab.2 建屋内</t>
    <phoneticPr fontId="1" type="noConversion"/>
  </si>
  <si>
    <t>ポイント</t>
    <phoneticPr fontId="1" type="noConversion"/>
  </si>
  <si>
    <t>CF-天井-1F</t>
    <phoneticPr fontId="1" type="noConversion"/>
  </si>
  <si>
    <t>素2-F01</t>
  </si>
  <si>
    <t>01.3939</t>
  </si>
  <si>
    <t>326*305*90</t>
  </si>
  <si>
    <t>01.3943</t>
  </si>
  <si>
    <t>326*355*90</t>
  </si>
  <si>
    <t>01.4097</t>
  </si>
  <si>
    <t>305*220*90</t>
  </si>
  <si>
    <t>01.3935</t>
    <phoneticPr fontId="1" type="noConversion"/>
  </si>
  <si>
    <t>145*145*90</t>
  </si>
  <si>
    <t>CF-BATH-1F</t>
    <phoneticPr fontId="1" type="noConversion"/>
  </si>
  <si>
    <t>素2-F02</t>
  </si>
  <si>
    <t>CA-18U</t>
    <phoneticPr fontId="1" type="noConversion"/>
  </si>
  <si>
    <t>素2-F03</t>
  </si>
  <si>
    <t>EF-BATH-1F</t>
    <phoneticPr fontId="1" type="noConversion"/>
  </si>
  <si>
    <t>木箱</t>
    <phoneticPr fontId="1" type="noConversion"/>
  </si>
  <si>
    <t>335*225*90</t>
  </si>
  <si>
    <t>【2023年 2Q】炉材と不定形耐火物数量報告リスト</t>
    <phoneticPr fontId="1" type="noConversion"/>
  </si>
  <si>
    <t>陳 永杰</t>
    <phoneticPr fontId="1" type="noConversion"/>
  </si>
  <si>
    <t>鍾 易成</t>
    <phoneticPr fontId="1" type="noConversion"/>
  </si>
  <si>
    <t>素材製造三課</t>
    <phoneticPr fontId="1" type="noConversion"/>
  </si>
  <si>
    <t>JF/KF HOT</t>
    <phoneticPr fontId="1" type="noConversion"/>
  </si>
  <si>
    <t>置き場</t>
    <phoneticPr fontId="1" type="noConversion"/>
  </si>
  <si>
    <t>JF-1F-窯下</t>
    <phoneticPr fontId="1" type="noConversion"/>
  </si>
  <si>
    <t>素3-F01</t>
    <phoneticPr fontId="1" type="noConversion"/>
  </si>
  <si>
    <t>A5</t>
    <phoneticPr fontId="1" type="noConversion"/>
  </si>
  <si>
    <t>JF-1F-窯下</t>
  </si>
  <si>
    <t>素3-F02</t>
  </si>
  <si>
    <t>JF窯倉庫旁空地</t>
    <phoneticPr fontId="1" type="noConversion"/>
  </si>
  <si>
    <t>素3-F03</t>
    <phoneticPr fontId="1" type="noConversion"/>
  </si>
  <si>
    <t>08.6570</t>
    <phoneticPr fontId="1" type="noConversion"/>
  </si>
  <si>
    <t>79.5/66.5*230*172</t>
    <phoneticPr fontId="1" type="noConversion"/>
  </si>
  <si>
    <t>水平煙道迫</t>
    <phoneticPr fontId="1" type="noConversion"/>
  </si>
  <si>
    <t>08.6569</t>
    <phoneticPr fontId="1" type="noConversion"/>
  </si>
  <si>
    <t>79.5/66.5*230*230</t>
    <phoneticPr fontId="1" type="noConversion"/>
  </si>
  <si>
    <t>素3-F04</t>
    <phoneticPr fontId="1" type="noConversion"/>
  </si>
  <si>
    <t>AZ-GS</t>
    <phoneticPr fontId="1" type="noConversion"/>
  </si>
  <si>
    <t>ZM-SK</t>
    <phoneticPr fontId="1" type="noConversion"/>
  </si>
  <si>
    <t>SKEW</t>
    <phoneticPr fontId="1" type="noConversion"/>
  </si>
  <si>
    <t>素3-F05</t>
    <phoneticPr fontId="1" type="noConversion"/>
  </si>
  <si>
    <t>覗き窓</t>
    <phoneticPr fontId="1" type="noConversion"/>
  </si>
  <si>
    <t>素3-F06</t>
    <phoneticPr fontId="1" type="noConversion"/>
  </si>
  <si>
    <t>01.5122</t>
    <phoneticPr fontId="1" type="noConversion"/>
  </si>
  <si>
    <t>230*172*65</t>
    <phoneticPr fontId="1" type="noConversion"/>
  </si>
  <si>
    <t>素3-F07</t>
    <phoneticPr fontId="1" type="noConversion"/>
  </si>
  <si>
    <t>素3-F08</t>
    <phoneticPr fontId="1" type="noConversion"/>
  </si>
  <si>
    <t>素3-F09</t>
    <phoneticPr fontId="1" type="noConversion"/>
  </si>
  <si>
    <t>AIR COMBUSTION</t>
  </si>
  <si>
    <t>01.5111</t>
    <phoneticPr fontId="1" type="noConversion"/>
  </si>
  <si>
    <t>300*175*78</t>
    <phoneticPr fontId="1" type="noConversion"/>
  </si>
  <si>
    <t>01.5905</t>
    <phoneticPr fontId="1" type="noConversion"/>
  </si>
  <si>
    <t>244*114*65</t>
    <phoneticPr fontId="1" type="noConversion"/>
  </si>
  <si>
    <t>PEEP HOLE COVER</t>
    <phoneticPr fontId="1" type="noConversion"/>
  </si>
  <si>
    <t>JF素地流場</t>
    <phoneticPr fontId="1" type="noConversion"/>
  </si>
  <si>
    <t>素3-F10</t>
    <phoneticPr fontId="1" type="noConversion"/>
  </si>
  <si>
    <t>02.9368</t>
    <phoneticPr fontId="1" type="noConversion"/>
  </si>
  <si>
    <t>01.5970</t>
    <phoneticPr fontId="1" type="noConversion"/>
  </si>
  <si>
    <t>素3-F11</t>
    <phoneticPr fontId="1" type="noConversion"/>
  </si>
  <si>
    <t>素3-F12</t>
    <phoneticPr fontId="1" type="noConversion"/>
  </si>
  <si>
    <t>素3-F13</t>
    <phoneticPr fontId="1" type="noConversion"/>
  </si>
  <si>
    <t>素3-F14</t>
    <phoneticPr fontId="1" type="noConversion"/>
  </si>
  <si>
    <t>02.6321</t>
  </si>
  <si>
    <t>790*450*150</t>
  </si>
  <si>
    <t>02.6322</t>
    <phoneticPr fontId="1" type="noConversion"/>
  </si>
  <si>
    <t>790*335*150</t>
  </si>
  <si>
    <t>素3-F15</t>
    <phoneticPr fontId="1" type="noConversion"/>
  </si>
  <si>
    <t>590*300*80</t>
    <phoneticPr fontId="1" type="noConversion"/>
  </si>
  <si>
    <t>三列目吊瓦</t>
    <phoneticPr fontId="1" type="noConversion"/>
  </si>
  <si>
    <t>素3-F16</t>
    <phoneticPr fontId="1" type="noConversion"/>
  </si>
  <si>
    <t>素3-F17</t>
    <phoneticPr fontId="1" type="noConversion"/>
  </si>
  <si>
    <t>素3-F18</t>
    <phoneticPr fontId="1" type="noConversion"/>
  </si>
  <si>
    <t>02.3320</t>
  </si>
  <si>
    <t>885*650*290</t>
  </si>
  <si>
    <t>素3-F19</t>
    <phoneticPr fontId="1" type="noConversion"/>
  </si>
  <si>
    <t>素3-F20</t>
    <phoneticPr fontId="1" type="noConversion"/>
  </si>
  <si>
    <t>02.3325</t>
  </si>
  <si>
    <t>1050*500*210</t>
  </si>
  <si>
    <t>素3-F21</t>
    <phoneticPr fontId="1" type="noConversion"/>
  </si>
  <si>
    <t>02.3323</t>
  </si>
  <si>
    <t>1000*481*290</t>
    <phoneticPr fontId="1" type="noConversion"/>
  </si>
  <si>
    <t>素3-F22</t>
    <phoneticPr fontId="1" type="noConversion"/>
  </si>
  <si>
    <t>01.4949</t>
    <phoneticPr fontId="1" type="noConversion"/>
  </si>
  <si>
    <t>225*180*180</t>
  </si>
  <si>
    <t>素3-F23</t>
    <phoneticPr fontId="1" type="noConversion"/>
  </si>
  <si>
    <t>03.5263</t>
    <phoneticPr fontId="1" type="noConversion"/>
  </si>
  <si>
    <t>350*180*180</t>
  </si>
  <si>
    <t>03.5264</t>
    <phoneticPr fontId="1" type="noConversion"/>
  </si>
  <si>
    <t>325*180*180</t>
  </si>
  <si>
    <t>03.5522</t>
    <phoneticPr fontId="1" type="noConversion"/>
  </si>
  <si>
    <t>355*75*30</t>
  </si>
  <si>
    <t>JF-1F-窯-R</t>
    <phoneticPr fontId="1" type="noConversion"/>
  </si>
  <si>
    <t>素3-F24</t>
    <phoneticPr fontId="1" type="noConversion"/>
  </si>
  <si>
    <t>素3-F25</t>
    <phoneticPr fontId="1" type="noConversion"/>
  </si>
  <si>
    <t>ZR-3500</t>
    <phoneticPr fontId="1" type="noConversion"/>
  </si>
  <si>
    <t>素3-F26</t>
    <phoneticPr fontId="1" type="noConversion"/>
  </si>
  <si>
    <t>素3-F27</t>
    <phoneticPr fontId="1" type="noConversion"/>
  </si>
  <si>
    <t>素3-F28</t>
    <phoneticPr fontId="1" type="noConversion"/>
  </si>
  <si>
    <t>素3-F29</t>
    <phoneticPr fontId="1" type="noConversion"/>
  </si>
  <si>
    <t>素3-F30</t>
    <phoneticPr fontId="1" type="noConversion"/>
  </si>
  <si>
    <t>JF-1F-Bath-R</t>
    <phoneticPr fontId="1" type="noConversion"/>
  </si>
  <si>
    <t>素3-F31</t>
    <phoneticPr fontId="1" type="noConversion"/>
  </si>
  <si>
    <t>RF-SRC 1</t>
    <phoneticPr fontId="1" type="noConversion"/>
  </si>
  <si>
    <t>素3-F32</t>
    <phoneticPr fontId="1" type="noConversion"/>
  </si>
  <si>
    <t>HMS CEMENT</t>
    <phoneticPr fontId="1" type="noConversion"/>
  </si>
  <si>
    <t>素3-F33</t>
    <phoneticPr fontId="1" type="noConversion"/>
  </si>
  <si>
    <t>素3-F34</t>
    <phoneticPr fontId="1" type="noConversion"/>
  </si>
  <si>
    <t>610*300*110</t>
    <phoneticPr fontId="1" type="noConversion"/>
  </si>
  <si>
    <t>素3-F35</t>
    <phoneticPr fontId="1" type="noConversion"/>
  </si>
  <si>
    <t>横壁</t>
    <phoneticPr fontId="1" type="noConversion"/>
  </si>
  <si>
    <t>素3-F36</t>
    <phoneticPr fontId="1" type="noConversion"/>
  </si>
  <si>
    <t>CURTAIN</t>
    <phoneticPr fontId="1" type="noConversion"/>
  </si>
  <si>
    <t>(旧) テーパー有</t>
    <phoneticPr fontId="1" type="noConversion"/>
  </si>
  <si>
    <t>素3-F37</t>
    <phoneticPr fontId="1" type="noConversion"/>
  </si>
  <si>
    <t>225*90*30</t>
    <phoneticPr fontId="1" type="noConversion"/>
  </si>
  <si>
    <t>03.5252</t>
    <phoneticPr fontId="1" type="noConversion"/>
  </si>
  <si>
    <t>225*80*40</t>
    <phoneticPr fontId="1" type="noConversion"/>
  </si>
  <si>
    <t>355*100*20</t>
    <phoneticPr fontId="1" type="noConversion"/>
  </si>
  <si>
    <t>01.4959</t>
    <phoneticPr fontId="1" type="noConversion"/>
  </si>
  <si>
    <t>03.4006</t>
    <phoneticPr fontId="1" type="noConversion"/>
  </si>
  <si>
    <t>JF-2F-O/L-L</t>
    <phoneticPr fontId="1" type="noConversion"/>
  </si>
  <si>
    <t>素3-F38</t>
  </si>
  <si>
    <t>素3-F39</t>
  </si>
  <si>
    <t>素3-F40</t>
  </si>
  <si>
    <t>枚</t>
    <phoneticPr fontId="1" type="noConversion"/>
  </si>
  <si>
    <t>素3-F41</t>
  </si>
  <si>
    <t>25.5229</t>
    <phoneticPr fontId="1" type="noConversion"/>
  </si>
  <si>
    <t>素3-F42</t>
  </si>
  <si>
    <t>24.7179</t>
    <phoneticPr fontId="1" type="noConversion"/>
  </si>
  <si>
    <t>24.7045</t>
    <phoneticPr fontId="1" type="noConversion"/>
  </si>
  <si>
    <t>24.7046</t>
    <phoneticPr fontId="1" type="noConversion"/>
  </si>
  <si>
    <t>24.7063</t>
    <phoneticPr fontId="1" type="noConversion"/>
  </si>
  <si>
    <t>素3-F43</t>
  </si>
  <si>
    <t>02.3387</t>
    <phoneticPr fontId="1" type="noConversion"/>
  </si>
  <si>
    <t>946*350*100</t>
  </si>
  <si>
    <t>01.4504</t>
    <phoneticPr fontId="1" type="noConversion"/>
  </si>
  <si>
    <t>444*373*100</t>
    <phoneticPr fontId="1" type="noConversion"/>
  </si>
  <si>
    <t>02.6466</t>
    <phoneticPr fontId="1" type="noConversion"/>
  </si>
  <si>
    <t>574*475*70</t>
    <phoneticPr fontId="1" type="noConversion"/>
  </si>
  <si>
    <t>素3-F44</t>
  </si>
  <si>
    <t>02.6410</t>
    <phoneticPr fontId="1" type="noConversion"/>
  </si>
  <si>
    <t>602*548*70</t>
  </si>
  <si>
    <t>洪 嘉禧</t>
  </si>
  <si>
    <r>
      <t>ADT生</t>
    </r>
    <r>
      <rPr>
        <sz val="12"/>
        <rFont val="微軟正黑體"/>
        <family val="2"/>
        <charset val="136"/>
      </rPr>
      <t>產</t>
    </r>
    <r>
      <rPr>
        <sz val="12"/>
        <rFont val="Yu Gothic"/>
        <family val="2"/>
      </rPr>
      <t>推進課</t>
    </r>
    <phoneticPr fontId="1" type="noConversion"/>
  </si>
  <si>
    <t>機動組 HOT</t>
  </si>
  <si>
    <t>形状</t>
    <phoneticPr fontId="1" type="noConversion"/>
  </si>
  <si>
    <t>EF-體驗道場外</t>
  </si>
  <si>
    <t>A 1-1</t>
  </si>
  <si>
    <t>A 1-1</t>
    <phoneticPr fontId="28" type="noConversion"/>
  </si>
  <si>
    <t>A 1-2</t>
  </si>
  <si>
    <t>02.9294</t>
  </si>
  <si>
    <t>880*650*280</t>
  </si>
  <si>
    <t>02.9306</t>
    <phoneticPr fontId="1" type="noConversion"/>
  </si>
  <si>
    <t>1000*481*280</t>
    <phoneticPr fontId="1" type="noConversion"/>
  </si>
  <si>
    <t>A 2-1</t>
  </si>
  <si>
    <t>煙道迫煉瓦</t>
    <phoneticPr fontId="1" type="noConversion"/>
  </si>
  <si>
    <t>A 2-2</t>
  </si>
  <si>
    <t>02.8371</t>
    <phoneticPr fontId="1" type="noConversion"/>
  </si>
  <si>
    <t>620*390*65</t>
  </si>
  <si>
    <t>02.6195</t>
    <phoneticPr fontId="1" type="noConversion"/>
  </si>
  <si>
    <t>A 3-1</t>
  </si>
  <si>
    <t>四列目吊瓦-(旧) テーパー有</t>
    <phoneticPr fontId="1" type="noConversion"/>
  </si>
  <si>
    <t>四列目吊瓦-(新) テーパー有</t>
    <phoneticPr fontId="1" type="noConversion"/>
  </si>
  <si>
    <t>A 4-1</t>
  </si>
  <si>
    <t>01.9529</t>
    <phoneticPr fontId="1" type="noConversion"/>
  </si>
  <si>
    <t>330*114*65</t>
  </si>
  <si>
    <t>01.6977</t>
    <phoneticPr fontId="1" type="noConversion"/>
  </si>
  <si>
    <t>281*114*65</t>
    <phoneticPr fontId="1" type="noConversion"/>
  </si>
  <si>
    <t>A 5-1</t>
  </si>
  <si>
    <t>A6</t>
    <phoneticPr fontId="1" type="noConversion"/>
  </si>
  <si>
    <t>EF ムライト大迫</t>
    <phoneticPr fontId="1" type="noConversion"/>
  </si>
  <si>
    <t>A 6-1</t>
  </si>
  <si>
    <t>517*147*75</t>
  </si>
  <si>
    <t>630*150*75</t>
  </si>
  <si>
    <t>34.5440</t>
    <phoneticPr fontId="1" type="noConversion"/>
  </si>
  <si>
    <t>08.6300</t>
    <phoneticPr fontId="1" type="noConversion"/>
  </si>
  <si>
    <t>THERMO COUPLE</t>
    <phoneticPr fontId="1" type="noConversion"/>
  </si>
  <si>
    <t>08.6254</t>
    <phoneticPr fontId="1" type="noConversion"/>
  </si>
  <si>
    <t>350*230*65</t>
  </si>
  <si>
    <t>34.5413</t>
    <phoneticPr fontId="1" type="noConversion"/>
  </si>
  <si>
    <t>煙道抱き瓦</t>
    <phoneticPr fontId="1" type="noConversion"/>
  </si>
  <si>
    <t>A 7</t>
  </si>
  <si>
    <t>01.9423</t>
    <phoneticPr fontId="1" type="noConversion"/>
  </si>
  <si>
    <t>230*204*114</t>
    <phoneticPr fontId="1" type="noConversion"/>
  </si>
  <si>
    <t>01.9665</t>
    <phoneticPr fontId="1" type="noConversion"/>
  </si>
  <si>
    <t>230*194*114</t>
  </si>
  <si>
    <t>230*172*65</t>
  </si>
  <si>
    <t>01.6979</t>
    <phoneticPr fontId="1" type="noConversion"/>
  </si>
  <si>
    <t>281*172*65</t>
    <phoneticPr fontId="1" type="noConversion"/>
  </si>
  <si>
    <t>345*114*65</t>
    <phoneticPr fontId="1" type="noConversion"/>
  </si>
  <si>
    <t>01.2865</t>
    <phoneticPr fontId="1" type="noConversion"/>
  </si>
  <si>
    <t>480*170*65</t>
  </si>
  <si>
    <t>01.8113</t>
    <phoneticPr fontId="1" type="noConversion"/>
  </si>
  <si>
    <t>480*230*65</t>
  </si>
  <si>
    <t>A 8-1</t>
  </si>
  <si>
    <t>M-AZ</t>
    <phoneticPr fontId="1" type="noConversion"/>
  </si>
  <si>
    <t>袋</t>
    <phoneticPr fontId="28" type="noConversion"/>
  </si>
  <si>
    <t>A 8-2</t>
  </si>
  <si>
    <t>A 8-3</t>
  </si>
  <si>
    <t>B 6</t>
  </si>
  <si>
    <t>M-34</t>
    <phoneticPr fontId="1" type="noConversion"/>
  </si>
  <si>
    <t>BRICK SEAL BOND</t>
  </si>
  <si>
    <t>B 7-1</t>
  </si>
  <si>
    <t>B 7-2</t>
  </si>
  <si>
    <t>B 7-3</t>
  </si>
  <si>
    <t>B 7-4</t>
  </si>
  <si>
    <t>B 8</t>
  </si>
  <si>
    <t>ZM2500</t>
    <phoneticPr fontId="1" type="noConversion"/>
  </si>
  <si>
    <t>C 1-1</t>
  </si>
  <si>
    <t>桶</t>
    <phoneticPr fontId="28" type="noConversion"/>
  </si>
  <si>
    <t>C 1-2</t>
  </si>
  <si>
    <t>C 2-1</t>
  </si>
  <si>
    <t>A3</t>
    <phoneticPr fontId="1" type="noConversion"/>
  </si>
  <si>
    <t>C 2-2</t>
  </si>
  <si>
    <t>C 3</t>
  </si>
  <si>
    <t>C4</t>
  </si>
  <si>
    <t>A7</t>
    <phoneticPr fontId="1" type="noConversion"/>
  </si>
  <si>
    <t>C 7-1</t>
  </si>
  <si>
    <t>02.3323</t>
    <phoneticPr fontId="1" type="noConversion"/>
  </si>
  <si>
    <t>C 7-2</t>
  </si>
  <si>
    <t>885*650*290</t>
    <phoneticPr fontId="1" type="noConversion"/>
  </si>
  <si>
    <t>C 7-3</t>
  </si>
  <si>
    <t>1050*500*210</t>
    <phoneticPr fontId="1" type="noConversion"/>
  </si>
  <si>
    <t>C 8-1</t>
  </si>
  <si>
    <t>02.2466</t>
    <phoneticPr fontId="1" type="noConversion"/>
  </si>
  <si>
    <t>573*475*70</t>
    <phoneticPr fontId="1" type="noConversion"/>
  </si>
  <si>
    <t>602*548*70</t>
    <phoneticPr fontId="1" type="noConversion"/>
  </si>
  <si>
    <t>C 8-2</t>
  </si>
  <si>
    <t>400*136*100</t>
    <phoneticPr fontId="1" type="noConversion"/>
  </si>
  <si>
    <t>01.4521</t>
    <phoneticPr fontId="1" type="noConversion"/>
  </si>
  <si>
    <t>496*400*100</t>
    <phoneticPr fontId="1" type="noConversion"/>
  </si>
  <si>
    <t>03.3387</t>
    <phoneticPr fontId="1" type="noConversion"/>
  </si>
  <si>
    <t>945*350*100</t>
    <phoneticPr fontId="1" type="noConversion"/>
  </si>
  <si>
    <t>C 9-1</t>
  </si>
  <si>
    <t>B5</t>
    <phoneticPr fontId="1" type="noConversion"/>
  </si>
  <si>
    <t>34.5023</t>
    <phoneticPr fontId="1" type="noConversion"/>
  </si>
  <si>
    <t>C 9-2</t>
  </si>
  <si>
    <t>C 10</t>
  </si>
  <si>
    <t>保温</t>
    <phoneticPr fontId="1" type="noConversion"/>
  </si>
  <si>
    <t>C 11</t>
  </si>
  <si>
    <t>RB12</t>
    <phoneticPr fontId="1" type="noConversion"/>
  </si>
  <si>
    <t>敷き保温</t>
    <phoneticPr fontId="1" type="noConversion"/>
  </si>
  <si>
    <t>RB13H</t>
    <phoneticPr fontId="1" type="noConversion"/>
  </si>
  <si>
    <t>C 12</t>
  </si>
  <si>
    <t>C 13-1</t>
  </si>
  <si>
    <t>ZB-1691VF</t>
    <phoneticPr fontId="1" type="noConversion"/>
  </si>
  <si>
    <t>01.5416</t>
    <phoneticPr fontId="1" type="noConversion"/>
  </si>
  <si>
    <t>950*760*280</t>
    <phoneticPr fontId="1" type="noConversion"/>
  </si>
  <si>
    <t>C 13-2</t>
  </si>
  <si>
    <t>920*650*280</t>
    <phoneticPr fontId="1" type="noConversion"/>
  </si>
  <si>
    <t>D 1-2</t>
  </si>
  <si>
    <t>24.7068</t>
    <phoneticPr fontId="1" type="noConversion"/>
  </si>
  <si>
    <t>D 2</t>
    <phoneticPr fontId="1" type="noConversion"/>
  </si>
  <si>
    <t>Neotex37</t>
  </si>
  <si>
    <t>29.5263</t>
    <phoneticPr fontId="1" type="noConversion"/>
  </si>
  <si>
    <t>02.6746</t>
    <phoneticPr fontId="1" type="noConversion"/>
  </si>
  <si>
    <t>647*89*50</t>
    <phoneticPr fontId="1" type="noConversion"/>
  </si>
  <si>
    <t>種保温</t>
    <phoneticPr fontId="1" type="noConversion"/>
  </si>
  <si>
    <t>24.7067</t>
    <phoneticPr fontId="1" type="noConversion"/>
  </si>
  <si>
    <t>三列目吊瓦</t>
  </si>
  <si>
    <t>24.7073</t>
    <phoneticPr fontId="1" type="noConversion"/>
  </si>
  <si>
    <t>D 3</t>
  </si>
  <si>
    <t>RT -1</t>
    <phoneticPr fontId="1" type="noConversion"/>
  </si>
  <si>
    <t>02.6370</t>
    <phoneticPr fontId="1" type="noConversion"/>
  </si>
  <si>
    <t>660*450*80</t>
    <phoneticPr fontId="1" type="noConversion"/>
  </si>
  <si>
    <t>Concrete Block</t>
    <phoneticPr fontId="1" type="noConversion"/>
  </si>
  <si>
    <t>02.6366</t>
    <phoneticPr fontId="1" type="noConversion"/>
  </si>
  <si>
    <t>989*200*160</t>
    <phoneticPr fontId="1" type="noConversion"/>
  </si>
  <si>
    <t>D 4-1</t>
  </si>
  <si>
    <t>FM-H</t>
    <phoneticPr fontId="1" type="noConversion"/>
  </si>
  <si>
    <t>D 4-2</t>
  </si>
  <si>
    <t>D 5-1</t>
  </si>
  <si>
    <t>D 5-2</t>
  </si>
  <si>
    <t>D 5-3</t>
  </si>
  <si>
    <t>D 6-1</t>
  </si>
  <si>
    <t>D 6-2</t>
  </si>
  <si>
    <t>D 7-1</t>
  </si>
  <si>
    <t>D 7-2</t>
  </si>
  <si>
    <t>D 9-1</t>
  </si>
  <si>
    <t>D 9-2</t>
  </si>
  <si>
    <t>B 10-1</t>
  </si>
  <si>
    <t>B 10-2</t>
  </si>
  <si>
    <t>D 11-1</t>
  </si>
  <si>
    <t>M-Z</t>
    <phoneticPr fontId="1" type="noConversion"/>
  </si>
  <si>
    <t>D 11-2</t>
  </si>
  <si>
    <t>D 12-1</t>
  </si>
  <si>
    <t>79.5/66.5*230*230</t>
  </si>
  <si>
    <t>D 12-2</t>
  </si>
  <si>
    <t>D 13-1</t>
  </si>
  <si>
    <t>08.6879</t>
    <phoneticPr fontId="1" type="noConversion"/>
  </si>
  <si>
    <t>79.5/66.5*230*350</t>
  </si>
  <si>
    <t>D 13-2</t>
  </si>
  <si>
    <t>46.5065</t>
    <phoneticPr fontId="1" type="noConversion"/>
  </si>
  <si>
    <t>D 14-1</t>
  </si>
  <si>
    <t>D 14-2</t>
  </si>
  <si>
    <t>D 15-1</t>
  </si>
  <si>
    <t>D 15-2</t>
  </si>
  <si>
    <t>08.6569</t>
  </si>
  <si>
    <t>F1</t>
    <phoneticPr fontId="1" type="noConversion"/>
  </si>
  <si>
    <t>02.8370</t>
    <phoneticPr fontId="1" type="noConversion"/>
  </si>
  <si>
    <t>650*390*65</t>
  </si>
  <si>
    <t>U,D SERIES</t>
    <phoneticPr fontId="1" type="noConversion"/>
  </si>
  <si>
    <t>35.6505</t>
    <phoneticPr fontId="1" type="noConversion"/>
  </si>
  <si>
    <t>F2-1</t>
    <phoneticPr fontId="1" type="noConversion"/>
  </si>
  <si>
    <t>F2-2</t>
    <phoneticPr fontId="1" type="noConversion"/>
  </si>
  <si>
    <t>F3-1</t>
    <phoneticPr fontId="1" type="noConversion"/>
  </si>
  <si>
    <t>D/Wタンプ材</t>
    <phoneticPr fontId="1" type="noConversion"/>
  </si>
  <si>
    <t>F3-2</t>
    <phoneticPr fontId="1" type="noConversion"/>
  </si>
  <si>
    <t>F4-1</t>
    <phoneticPr fontId="1" type="noConversion"/>
  </si>
  <si>
    <t>F4-2</t>
    <phoneticPr fontId="1" type="noConversion"/>
  </si>
  <si>
    <t>F5-1</t>
    <phoneticPr fontId="1" type="noConversion"/>
  </si>
  <si>
    <t>F5-2</t>
    <phoneticPr fontId="1" type="noConversion"/>
  </si>
  <si>
    <t>F6-1</t>
    <phoneticPr fontId="1" type="noConversion"/>
  </si>
  <si>
    <t>02.9949</t>
    <phoneticPr fontId="1" type="noConversion"/>
  </si>
  <si>
    <t>717*500*120</t>
  </si>
  <si>
    <t>F6-2</t>
    <phoneticPr fontId="1" type="noConversion"/>
  </si>
  <si>
    <t>400*135*120</t>
  </si>
  <si>
    <t>890*350*120</t>
  </si>
  <si>
    <t>F6-3</t>
    <phoneticPr fontId="1" type="noConversion"/>
  </si>
  <si>
    <t>230*114*65</t>
    <phoneticPr fontId="28" type="noConversion"/>
  </si>
  <si>
    <t>F7-1</t>
    <phoneticPr fontId="1" type="noConversion"/>
  </si>
  <si>
    <t>02.9349</t>
    <phoneticPr fontId="1" type="noConversion"/>
  </si>
  <si>
    <t>945*350*120</t>
  </si>
  <si>
    <t>BOTTOM - 3RD</t>
    <phoneticPr fontId="1" type="noConversion"/>
  </si>
  <si>
    <t>ELECTRICAL HEATING</t>
    <phoneticPr fontId="1" type="noConversion"/>
  </si>
  <si>
    <t>F7-2</t>
    <phoneticPr fontId="1" type="noConversion"/>
  </si>
  <si>
    <t>22.7148</t>
    <phoneticPr fontId="1" type="noConversion"/>
  </si>
  <si>
    <t xml:space="preserve"> TUCK SEAL</t>
    <phoneticPr fontId="28" type="noConversion"/>
  </si>
  <si>
    <t>300*150*75</t>
  </si>
  <si>
    <t>02.7770</t>
    <phoneticPr fontId="1" type="noConversion"/>
  </si>
  <si>
    <t>900*524*69</t>
    <phoneticPr fontId="1" type="noConversion"/>
  </si>
  <si>
    <t>02.6608</t>
    <phoneticPr fontId="1" type="noConversion"/>
  </si>
  <si>
    <t>580*550*70</t>
  </si>
  <si>
    <t>F7-3</t>
    <phoneticPr fontId="1" type="noConversion"/>
  </si>
  <si>
    <t>530*530*120</t>
    <phoneticPr fontId="1" type="noConversion"/>
  </si>
  <si>
    <t>F8</t>
    <phoneticPr fontId="1" type="noConversion"/>
  </si>
  <si>
    <t>煙道</t>
    <phoneticPr fontId="28" type="noConversion"/>
  </si>
  <si>
    <t>230*245*75</t>
    <phoneticPr fontId="1" type="noConversion"/>
  </si>
  <si>
    <t>230*197*75</t>
  </si>
  <si>
    <t>F9</t>
    <phoneticPr fontId="1" type="noConversion"/>
  </si>
  <si>
    <t>300*230*75</t>
  </si>
  <si>
    <t>300*200*75</t>
  </si>
  <si>
    <t>01.0588</t>
    <phoneticPr fontId="1" type="noConversion"/>
  </si>
  <si>
    <t>300*150*65</t>
    <phoneticPr fontId="1" type="noConversion"/>
  </si>
  <si>
    <t xml:space="preserve"> BY-PASS</t>
    <phoneticPr fontId="1" type="noConversion"/>
  </si>
  <si>
    <t>EF-S-15</t>
    <phoneticPr fontId="28" type="noConversion"/>
  </si>
  <si>
    <t>F10</t>
    <phoneticPr fontId="28" type="noConversion"/>
  </si>
  <si>
    <t xml:space="preserve"> BRIDGE WALL</t>
  </si>
  <si>
    <t>G-M-75DZ</t>
    <phoneticPr fontId="28" type="noConversion"/>
  </si>
  <si>
    <t>01.0477</t>
    <phoneticPr fontId="28" type="noConversion"/>
  </si>
  <si>
    <t>400*300*100</t>
    <phoneticPr fontId="28" type="noConversion"/>
  </si>
  <si>
    <t>01.1097</t>
    <phoneticPr fontId="28" type="noConversion"/>
  </si>
  <si>
    <t>400*400*100</t>
    <phoneticPr fontId="28" type="noConversion"/>
  </si>
  <si>
    <t>02.0673</t>
    <phoneticPr fontId="28" type="noConversion"/>
  </si>
  <si>
    <t>600*400*100</t>
    <phoneticPr fontId="28" type="noConversion"/>
  </si>
  <si>
    <t>02.9068</t>
    <phoneticPr fontId="28" type="noConversion"/>
  </si>
  <si>
    <t>600*300*50</t>
    <phoneticPr fontId="28" type="noConversion"/>
  </si>
  <si>
    <t>22.7479</t>
    <phoneticPr fontId="28" type="noConversion"/>
  </si>
  <si>
    <t>BRIDGE WALL</t>
  </si>
  <si>
    <t>22.7480</t>
    <phoneticPr fontId="28" type="noConversion"/>
  </si>
  <si>
    <t>22.7484</t>
    <phoneticPr fontId="28" type="noConversion"/>
  </si>
  <si>
    <t>22.7489</t>
    <phoneticPr fontId="28" type="noConversion"/>
  </si>
  <si>
    <t>22.7490</t>
    <phoneticPr fontId="28" type="noConversion"/>
  </si>
  <si>
    <t>EF-N-12</t>
    <phoneticPr fontId="1" type="noConversion"/>
  </si>
  <si>
    <t>G1-1</t>
    <phoneticPr fontId="1" type="noConversion"/>
  </si>
  <si>
    <t>G1-2</t>
    <phoneticPr fontId="1" type="noConversion"/>
  </si>
  <si>
    <t>G1-3</t>
    <phoneticPr fontId="1" type="noConversion"/>
  </si>
  <si>
    <t>G2-1</t>
    <phoneticPr fontId="1" type="noConversion"/>
  </si>
  <si>
    <t>G2-2</t>
    <phoneticPr fontId="1" type="noConversion"/>
  </si>
  <si>
    <t>G3-1</t>
    <phoneticPr fontId="1" type="noConversion"/>
  </si>
  <si>
    <t>G3-2</t>
    <phoneticPr fontId="1" type="noConversion"/>
  </si>
  <si>
    <t>G4-1</t>
    <phoneticPr fontId="1" type="noConversion"/>
  </si>
  <si>
    <t>G4-2</t>
    <phoneticPr fontId="1" type="noConversion"/>
  </si>
  <si>
    <t>G5-1</t>
    <phoneticPr fontId="1" type="noConversion"/>
  </si>
  <si>
    <t>G5-2</t>
    <phoneticPr fontId="1" type="noConversion"/>
  </si>
  <si>
    <t>G6-1</t>
    <phoneticPr fontId="1" type="noConversion"/>
  </si>
  <si>
    <t>230*124*65</t>
  </si>
  <si>
    <t>230*102*85</t>
  </si>
  <si>
    <t>G6-2</t>
    <phoneticPr fontId="1" type="noConversion"/>
  </si>
  <si>
    <t>34.5028</t>
    <phoneticPr fontId="1" type="noConversion"/>
  </si>
  <si>
    <t>EF-N-14</t>
    <phoneticPr fontId="1" type="noConversion"/>
  </si>
  <si>
    <t>A-1</t>
  </si>
  <si>
    <t>22.5300</t>
    <phoneticPr fontId="1" type="noConversion"/>
  </si>
  <si>
    <t>YK-BNP-1</t>
  </si>
  <si>
    <t>YK-BNP-2</t>
  </si>
  <si>
    <t>YK-BNP-3</t>
  </si>
  <si>
    <t>FW-17</t>
  </si>
  <si>
    <t>160*70*105</t>
    <phoneticPr fontId="1" type="noConversion"/>
  </si>
  <si>
    <t>CV-7</t>
  </si>
  <si>
    <t>G-M-75DH</t>
  </si>
  <si>
    <t>A-2</t>
  </si>
  <si>
    <t>600*220*20</t>
    <phoneticPr fontId="1" type="noConversion"/>
  </si>
  <si>
    <t>03.6391</t>
    <phoneticPr fontId="1" type="noConversion"/>
  </si>
  <si>
    <t>205*183*65</t>
    <phoneticPr fontId="1" type="noConversion"/>
  </si>
  <si>
    <t>75*65*65</t>
    <phoneticPr fontId="1" type="noConversion"/>
  </si>
  <si>
    <t>MTH.1</t>
    <phoneticPr fontId="1" type="noConversion"/>
  </si>
  <si>
    <t>220*140*15</t>
    <phoneticPr fontId="1" type="noConversion"/>
  </si>
  <si>
    <t>A-3</t>
  </si>
  <si>
    <t>220*140*20</t>
    <phoneticPr fontId="1" type="noConversion"/>
  </si>
  <si>
    <t>01.3952</t>
    <phoneticPr fontId="1" type="noConversion"/>
  </si>
  <si>
    <t>275.5*197*50</t>
    <phoneticPr fontId="1" type="noConversion"/>
  </si>
  <si>
    <t>種下台座</t>
    <phoneticPr fontId="1" type="noConversion"/>
  </si>
  <si>
    <t>450*90*30</t>
    <phoneticPr fontId="1" type="noConversion"/>
  </si>
  <si>
    <t>300*283*30</t>
    <phoneticPr fontId="1" type="noConversion"/>
  </si>
  <si>
    <t>300*40*25*27</t>
    <phoneticPr fontId="1" type="noConversion"/>
  </si>
  <si>
    <t>BS-4</t>
  </si>
  <si>
    <t>29.5033</t>
    <phoneticPr fontId="1" type="noConversion"/>
  </si>
  <si>
    <t>350*74*98*99</t>
    <phoneticPr fontId="1" type="noConversion"/>
  </si>
  <si>
    <t>250*222*64</t>
  </si>
  <si>
    <t>RPB-1</t>
  </si>
  <si>
    <t>A-4</t>
  </si>
  <si>
    <t>25.6046</t>
    <phoneticPr fontId="1" type="noConversion"/>
  </si>
  <si>
    <t>AIR COMBUSTION</t>
    <phoneticPr fontId="1" type="noConversion"/>
  </si>
  <si>
    <t>YK-PHP1</t>
  </si>
  <si>
    <t>YK-PHP2</t>
  </si>
  <si>
    <t>YK-PHP4</t>
  </si>
  <si>
    <t>YK-PHP5</t>
  </si>
  <si>
    <t>21.5537</t>
    <phoneticPr fontId="1" type="noConversion"/>
  </si>
  <si>
    <t>21.5535</t>
    <phoneticPr fontId="1" type="noConversion"/>
  </si>
  <si>
    <t>21.5536</t>
    <phoneticPr fontId="1" type="noConversion"/>
  </si>
  <si>
    <t>25.6331</t>
    <phoneticPr fontId="1" type="noConversion"/>
  </si>
  <si>
    <t>OXYGEN COMBUSTION</t>
    <phoneticPr fontId="1" type="noConversion"/>
  </si>
  <si>
    <t>25.6898</t>
    <phoneticPr fontId="1" type="noConversion"/>
  </si>
  <si>
    <t>B-2</t>
  </si>
  <si>
    <t>333*65*15</t>
    <phoneticPr fontId="1" type="noConversion"/>
  </si>
  <si>
    <t>N-333</t>
  </si>
  <si>
    <t>300*65*15</t>
    <phoneticPr fontId="1" type="noConversion"/>
  </si>
  <si>
    <t>N-300</t>
  </si>
  <si>
    <t>H-T204</t>
  </si>
  <si>
    <t>230*110*40</t>
    <phoneticPr fontId="1" type="noConversion"/>
  </si>
  <si>
    <t>H-T302</t>
  </si>
  <si>
    <t>W-300</t>
  </si>
  <si>
    <t>B-3</t>
  </si>
  <si>
    <t>375*80*25</t>
    <phoneticPr fontId="1" type="noConversion"/>
  </si>
  <si>
    <t>H-T215</t>
  </si>
  <si>
    <t>350*92*25</t>
    <phoneticPr fontId="1" type="noConversion"/>
  </si>
  <si>
    <t>H-T211</t>
  </si>
  <si>
    <t>318*130*15</t>
    <phoneticPr fontId="1" type="noConversion"/>
  </si>
  <si>
    <t>W-318</t>
  </si>
  <si>
    <t>440*230*25</t>
    <phoneticPr fontId="1" type="noConversion"/>
  </si>
  <si>
    <t>H-T205</t>
  </si>
  <si>
    <t>01.5049</t>
    <phoneticPr fontId="1" type="noConversion"/>
  </si>
  <si>
    <t>300*255*20</t>
    <phoneticPr fontId="1" type="noConversion"/>
  </si>
  <si>
    <t>01.3221</t>
    <phoneticPr fontId="1" type="noConversion"/>
  </si>
  <si>
    <t>375*55*40</t>
    <phoneticPr fontId="1" type="noConversion"/>
  </si>
  <si>
    <t>B-4</t>
  </si>
  <si>
    <t>400*300*75</t>
    <phoneticPr fontId="1" type="noConversion"/>
  </si>
  <si>
    <t>水處理區</t>
  </si>
  <si>
    <t>層架</t>
    <phoneticPr fontId="1" type="noConversion"/>
  </si>
  <si>
    <t>AL96</t>
    <phoneticPr fontId="1" type="noConversion"/>
  </si>
  <si>
    <t>01.5555</t>
  </si>
  <si>
    <t>3*40*100</t>
  </si>
  <si>
    <t>01.5556</t>
  </si>
  <si>
    <t>4*40*100</t>
  </si>
  <si>
    <t>01.6748</t>
    <phoneticPr fontId="1" type="noConversion"/>
  </si>
  <si>
    <t>6*40*100</t>
  </si>
  <si>
    <t>01.5501</t>
    <phoneticPr fontId="1" type="noConversion"/>
  </si>
  <si>
    <t>15*75*100</t>
    <phoneticPr fontId="1" type="noConversion"/>
  </si>
  <si>
    <t>01.5556</t>
    <phoneticPr fontId="1" type="noConversion"/>
  </si>
  <si>
    <t>01.5557</t>
  </si>
  <si>
    <t>3*100*100</t>
    <phoneticPr fontId="1" type="noConversion"/>
  </si>
  <si>
    <t>01.5558</t>
  </si>
  <si>
    <t>4*100*100</t>
    <phoneticPr fontId="1" type="noConversion"/>
  </si>
  <si>
    <t>01.5801</t>
  </si>
  <si>
    <t>40*65*480</t>
    <phoneticPr fontId="1" type="noConversion"/>
  </si>
  <si>
    <t>01.6031</t>
  </si>
  <si>
    <t>3*100*200</t>
    <phoneticPr fontId="1" type="noConversion"/>
  </si>
  <si>
    <t>01.7108</t>
  </si>
  <si>
    <t>6*100*100</t>
    <phoneticPr fontId="1" type="noConversion"/>
  </si>
  <si>
    <t>01.7109</t>
  </si>
  <si>
    <t>8*100*100</t>
    <phoneticPr fontId="1" type="noConversion"/>
  </si>
  <si>
    <t>01.5555</t>
    <phoneticPr fontId="1" type="noConversion"/>
  </si>
  <si>
    <t>08.5034</t>
    <phoneticPr fontId="1" type="noConversion"/>
  </si>
  <si>
    <t>SEAL FOR EXPANSION</t>
    <phoneticPr fontId="30" type="noConversion"/>
  </si>
  <si>
    <t>MB-G VF</t>
    <phoneticPr fontId="30" type="noConversion"/>
  </si>
  <si>
    <t>01.7110</t>
  </si>
  <si>
    <t>6*40*200</t>
  </si>
  <si>
    <t>08.6901</t>
    <phoneticPr fontId="30" type="noConversion"/>
  </si>
  <si>
    <t>隙間仕舞</t>
    <phoneticPr fontId="1" type="noConversion"/>
  </si>
  <si>
    <t>01.5419</t>
  </si>
  <si>
    <t>220*140*15</t>
  </si>
  <si>
    <t>32.5045</t>
    <phoneticPr fontId="1" type="noConversion"/>
  </si>
  <si>
    <t>120*240*40</t>
  </si>
  <si>
    <t>32.5044</t>
    <phoneticPr fontId="1" type="noConversion"/>
  </si>
  <si>
    <t>120*160*40</t>
  </si>
  <si>
    <t>01.5420</t>
    <phoneticPr fontId="1" type="noConversion"/>
  </si>
  <si>
    <t>140*220*20</t>
  </si>
  <si>
    <t>32.5045</t>
  </si>
  <si>
    <t>32.5044</t>
  </si>
  <si>
    <t>01.5420</t>
  </si>
  <si>
    <t>01.5500</t>
  </si>
  <si>
    <t>350*50*40</t>
  </si>
  <si>
    <t>150*250*50</t>
  </si>
  <si>
    <t>01.5477</t>
  </si>
  <si>
    <t>220*110*40</t>
  </si>
  <si>
    <t>01.5455</t>
  </si>
  <si>
    <t>317*130*15</t>
  </si>
  <si>
    <t>01.5443</t>
  </si>
  <si>
    <t>300*65*15</t>
  </si>
  <si>
    <t>01.5977</t>
  </si>
  <si>
    <t>230*110*25</t>
  </si>
  <si>
    <t>01.5077</t>
  </si>
  <si>
    <t>230*110*40</t>
  </si>
  <si>
    <t>01.7095</t>
  </si>
  <si>
    <t>197*65*15</t>
  </si>
  <si>
    <t>01.5380</t>
  </si>
  <si>
    <t>450*150*50</t>
  </si>
  <si>
    <t>375*80*25</t>
  </si>
  <si>
    <t>01.5380</t>
    <phoneticPr fontId="1" type="noConversion"/>
  </si>
  <si>
    <t>450*150*80</t>
  </si>
  <si>
    <t>T215</t>
  </si>
  <si>
    <t>450*230*25</t>
  </si>
  <si>
    <t>01.5457</t>
    <phoneticPr fontId="1" type="noConversion"/>
  </si>
  <si>
    <t>230*325*15</t>
  </si>
  <si>
    <t>22.5624</t>
    <phoneticPr fontId="1" type="noConversion"/>
  </si>
  <si>
    <t>200*350*25</t>
  </si>
  <si>
    <t>01.5457</t>
  </si>
  <si>
    <t>01.5381</t>
  </si>
  <si>
    <t>450*200*50</t>
  </si>
  <si>
    <t>01.5461</t>
  </si>
  <si>
    <t>22.5624</t>
  </si>
  <si>
    <t>25.6874</t>
    <phoneticPr fontId="1" type="noConversion"/>
  </si>
  <si>
    <t>peep hole</t>
  </si>
  <si>
    <t>386*230*40</t>
  </si>
  <si>
    <t>01.6905</t>
  </si>
  <si>
    <t>333*130*15</t>
  </si>
  <si>
    <t>450*90*30</t>
  </si>
  <si>
    <t>230*90*65</t>
    <phoneticPr fontId="1" type="noConversion"/>
  </si>
  <si>
    <t>01.3106</t>
    <phoneticPr fontId="1" type="noConversion"/>
  </si>
  <si>
    <t>230*65*65</t>
    <phoneticPr fontId="1" type="noConversion"/>
  </si>
  <si>
    <t>ZMP</t>
    <phoneticPr fontId="1" type="noConversion"/>
  </si>
  <si>
    <t>ZMP</t>
  </si>
  <si>
    <t>70.0000</t>
  </si>
  <si>
    <t>I-S-01</t>
  </si>
  <si>
    <t>I-R-01</t>
  </si>
  <si>
    <t>I-R-02</t>
  </si>
  <si>
    <t>230*11*65</t>
  </si>
  <si>
    <t>I-R-03</t>
  </si>
  <si>
    <t>I-R-04</t>
  </si>
  <si>
    <t>I-R-05</t>
  </si>
  <si>
    <t>230*65*57</t>
  </si>
  <si>
    <t>I-B-01</t>
  </si>
  <si>
    <t>SUPER BOARD H</t>
    <phoneticPr fontId="1" type="noConversion"/>
  </si>
  <si>
    <t>02.5161</t>
    <phoneticPr fontId="1" type="noConversion"/>
  </si>
  <si>
    <t>910*610*50</t>
  </si>
  <si>
    <t>I-S-02</t>
  </si>
  <si>
    <t>I-T-01</t>
  </si>
  <si>
    <t>HAKOTHERM-1200</t>
    <phoneticPr fontId="1" type="noConversion"/>
  </si>
  <si>
    <t>02.5188</t>
    <phoneticPr fontId="1" type="noConversion"/>
  </si>
  <si>
    <t>10000*1000*25</t>
  </si>
  <si>
    <t>02.5189</t>
    <phoneticPr fontId="1" type="noConversion"/>
  </si>
  <si>
    <t>30000*1000*3</t>
    <phoneticPr fontId="1" type="noConversion"/>
  </si>
  <si>
    <t>68.2800</t>
    <phoneticPr fontId="1" type="noConversion"/>
  </si>
  <si>
    <t>ROPES (m)   φ3mm</t>
    <phoneticPr fontId="1" type="noConversion"/>
  </si>
  <si>
    <t>I-A-01</t>
  </si>
  <si>
    <t>ALFRAX BI-57</t>
    <phoneticPr fontId="1" type="noConversion"/>
  </si>
  <si>
    <t>I-S-03</t>
  </si>
  <si>
    <t>SP10</t>
    <phoneticPr fontId="1" type="noConversion"/>
  </si>
  <si>
    <t>I-T-02</t>
  </si>
  <si>
    <t>I-T-03</t>
  </si>
  <si>
    <t>I-N-01</t>
  </si>
  <si>
    <t>02.5151</t>
    <phoneticPr fontId="1" type="noConversion"/>
  </si>
  <si>
    <t>600*307*50</t>
    <phoneticPr fontId="1" type="noConversion"/>
  </si>
  <si>
    <t>35.5063</t>
    <phoneticPr fontId="1" type="noConversion"/>
  </si>
  <si>
    <t>ZR-TG</t>
    <phoneticPr fontId="1" type="noConversion"/>
  </si>
  <si>
    <t>I-A-02</t>
  </si>
  <si>
    <t>I-C-01</t>
  </si>
  <si>
    <t>C-ZOP-U2</t>
    <phoneticPr fontId="1" type="noConversion"/>
  </si>
  <si>
    <t>15kg/桶</t>
    <phoneticPr fontId="1" type="noConversion"/>
  </si>
  <si>
    <t>桶</t>
  </si>
  <si>
    <t>EF4 ~ 期限4個月</t>
    <phoneticPr fontId="1" type="noConversion"/>
  </si>
  <si>
    <t>EF-N-18</t>
    <phoneticPr fontId="1" type="noConversion"/>
  </si>
  <si>
    <t>I-M-01</t>
  </si>
  <si>
    <t>J,K管</t>
  </si>
  <si>
    <t>MB-G VF</t>
    <phoneticPr fontId="1" type="noConversion"/>
  </si>
  <si>
    <t>35.5004</t>
    <phoneticPr fontId="1" type="noConversion"/>
  </si>
  <si>
    <t>I-SR-01</t>
  </si>
  <si>
    <t>SR 2792N</t>
    <phoneticPr fontId="1" type="noConversion"/>
  </si>
  <si>
    <t>35.5036</t>
    <phoneticPr fontId="1" type="noConversion"/>
  </si>
  <si>
    <t>I-Z-05</t>
  </si>
  <si>
    <t>ZM-C</t>
    <phoneticPr fontId="1" type="noConversion"/>
  </si>
  <si>
    <t>35.5051</t>
    <phoneticPr fontId="1" type="noConversion"/>
  </si>
  <si>
    <t>形状確認お願い</t>
    <phoneticPr fontId="1" type="noConversion"/>
  </si>
  <si>
    <t>I-M-02</t>
  </si>
  <si>
    <t>35.5058</t>
    <phoneticPr fontId="1" type="noConversion"/>
  </si>
  <si>
    <t>35.5002</t>
    <phoneticPr fontId="1" type="noConversion"/>
  </si>
  <si>
    <t>35.5254</t>
    <phoneticPr fontId="1" type="noConversion"/>
  </si>
  <si>
    <t>I-Z-06</t>
  </si>
  <si>
    <t>35.5052</t>
    <phoneticPr fontId="1" type="noConversion"/>
  </si>
  <si>
    <t>I-N-02</t>
  </si>
  <si>
    <t>01.6697</t>
    <phoneticPr fontId="1" type="noConversion"/>
  </si>
  <si>
    <t>456*149*104</t>
    <phoneticPr fontId="1" type="noConversion"/>
  </si>
  <si>
    <t>01.6698</t>
    <phoneticPr fontId="1" type="noConversion"/>
  </si>
  <si>
    <t>421*149*104</t>
    <phoneticPr fontId="1" type="noConversion"/>
  </si>
  <si>
    <t>I-N-03</t>
  </si>
  <si>
    <t>35.5217</t>
    <phoneticPr fontId="1" type="noConversion"/>
  </si>
  <si>
    <t>I-SR-02</t>
  </si>
  <si>
    <t>TKR</t>
    <phoneticPr fontId="1" type="noConversion"/>
  </si>
  <si>
    <t>I-T-04</t>
  </si>
  <si>
    <t>I-BP-01</t>
  </si>
  <si>
    <t>01.5132</t>
    <phoneticPr fontId="1" type="noConversion"/>
  </si>
  <si>
    <t>01.5342</t>
    <phoneticPr fontId="1" type="noConversion"/>
  </si>
  <si>
    <t>01.5339</t>
    <phoneticPr fontId="1" type="noConversion"/>
  </si>
  <si>
    <t>285*200*75</t>
  </si>
  <si>
    <t>01.5343</t>
    <phoneticPr fontId="1" type="noConversion"/>
  </si>
  <si>
    <t>230*200*75</t>
  </si>
  <si>
    <t>BY-PASS</t>
    <phoneticPr fontId="1" type="noConversion"/>
  </si>
  <si>
    <t>01.5340</t>
    <phoneticPr fontId="1" type="noConversion"/>
  </si>
  <si>
    <t>200*172.5*75</t>
    <phoneticPr fontId="1" type="noConversion"/>
  </si>
  <si>
    <t>I/F倉庫</t>
  </si>
  <si>
    <t>I-BP-02</t>
  </si>
  <si>
    <t>430*430*10mm</t>
    <phoneticPr fontId="1" type="noConversion"/>
  </si>
  <si>
    <t>BYPASS SPACER</t>
  </si>
  <si>
    <t>430*430*15mm</t>
  </si>
  <si>
    <t>430*430*20mm</t>
  </si>
  <si>
    <t>430*430*25mm</t>
  </si>
  <si>
    <t>430*430*30mm</t>
  </si>
  <si>
    <t>430*430*45mm</t>
  </si>
  <si>
    <t>430*430*50mm</t>
  </si>
  <si>
    <t>430*430*55mm</t>
  </si>
  <si>
    <t>EF OFF</t>
    <phoneticPr fontId="1" type="noConversion"/>
  </si>
  <si>
    <t>I-S-04</t>
    <phoneticPr fontId="1" type="noConversion"/>
  </si>
  <si>
    <t>0.70</t>
    <phoneticPr fontId="1" type="noConversion"/>
  </si>
  <si>
    <t>I-S-05</t>
    <phoneticPr fontId="1" type="noConversion"/>
  </si>
  <si>
    <t>0.90</t>
    <phoneticPr fontId="1" type="noConversion"/>
  </si>
  <si>
    <t>I-S-06</t>
    <phoneticPr fontId="1" type="noConversion"/>
  </si>
  <si>
    <t>I-R-06</t>
    <phoneticPr fontId="1" type="noConversion"/>
  </si>
  <si>
    <t>I-R-07</t>
    <phoneticPr fontId="1" type="noConversion"/>
  </si>
  <si>
    <t>2.40</t>
    <phoneticPr fontId="1" type="noConversion"/>
  </si>
  <si>
    <t>1.20</t>
    <phoneticPr fontId="1" type="noConversion"/>
  </si>
  <si>
    <t>D</t>
    <phoneticPr fontId="1" type="noConversion"/>
  </si>
  <si>
    <t>棧板</t>
    <phoneticPr fontId="9" type="noConversion"/>
  </si>
  <si>
    <t>ZMM</t>
    <phoneticPr fontId="1" type="noConversion"/>
  </si>
  <si>
    <t>LC10</t>
    <phoneticPr fontId="1" type="noConversion"/>
  </si>
  <si>
    <t>LC13</t>
    <phoneticPr fontId="1" type="noConversion"/>
  </si>
  <si>
    <t>ALOSUPER</t>
    <phoneticPr fontId="1" type="noConversion"/>
  </si>
  <si>
    <t>ALFRAX BI-57</t>
  </si>
  <si>
    <t>C</t>
    <phoneticPr fontId="17"/>
  </si>
  <si>
    <t>N18</t>
  </si>
  <si>
    <t>A3上</t>
  </si>
  <si>
    <t>BATH</t>
    <phoneticPr fontId="1" type="noConversion"/>
  </si>
  <si>
    <t>INLET LINTEL</t>
    <phoneticPr fontId="1" type="noConversion"/>
  </si>
  <si>
    <t>01.6049</t>
    <phoneticPr fontId="1" type="noConversion"/>
  </si>
  <si>
    <t>316.5*152*123</t>
    <phoneticPr fontId="1" type="noConversion"/>
  </si>
  <si>
    <r>
      <t>F/L上方保</t>
    </r>
    <r>
      <rPr>
        <sz val="12"/>
        <color theme="1"/>
        <rFont val="新細明體"/>
        <family val="2"/>
      </rPr>
      <t>溫</t>
    </r>
    <phoneticPr fontId="1" type="noConversion"/>
  </si>
  <si>
    <t>B2中</t>
  </si>
  <si>
    <t>40.5053</t>
    <phoneticPr fontId="1" type="noConversion"/>
  </si>
  <si>
    <t>INSULATION</t>
    <phoneticPr fontId="1" type="noConversion"/>
  </si>
  <si>
    <r>
      <t>F/L上方保</t>
    </r>
    <r>
      <rPr>
        <sz val="12"/>
        <color theme="1"/>
        <rFont val="新細明體"/>
        <family val="2"/>
      </rPr>
      <t>溫</t>
    </r>
  </si>
  <si>
    <t>B1上</t>
  </si>
  <si>
    <t>40.5055</t>
    <phoneticPr fontId="1" type="noConversion"/>
  </si>
  <si>
    <t>F3上</t>
  </si>
  <si>
    <t>SP13</t>
    <phoneticPr fontId="1" type="noConversion"/>
  </si>
  <si>
    <t>40.5055</t>
  </si>
  <si>
    <t>4</t>
  </si>
  <si>
    <t>C1上</t>
  </si>
  <si>
    <t>RADIATION GATE</t>
    <phoneticPr fontId="1" type="noConversion"/>
  </si>
  <si>
    <t>40.5173</t>
    <phoneticPr fontId="1" type="noConversion"/>
  </si>
  <si>
    <r>
      <t>R/G上方保</t>
    </r>
    <r>
      <rPr>
        <sz val="12"/>
        <color theme="1"/>
        <rFont val="新細明體"/>
        <family val="2"/>
      </rPr>
      <t>溫</t>
    </r>
  </si>
  <si>
    <t>F2上</t>
  </si>
  <si>
    <t>40.5184</t>
    <phoneticPr fontId="1" type="noConversion"/>
  </si>
  <si>
    <t>D2上</t>
  </si>
  <si>
    <t>40.5339</t>
    <phoneticPr fontId="1" type="noConversion"/>
  </si>
  <si>
    <t>BREASTWALL</t>
    <phoneticPr fontId="1" type="noConversion"/>
  </si>
  <si>
    <t>6</t>
  </si>
  <si>
    <t>SIDE  WALL煉瓦</t>
  </si>
  <si>
    <t>01.3866</t>
    <phoneticPr fontId="1" type="noConversion"/>
  </si>
  <si>
    <t>427*304*55</t>
    <phoneticPr fontId="1" type="noConversion"/>
  </si>
  <si>
    <t>3</t>
  </si>
  <si>
    <t>A1上</t>
  </si>
  <si>
    <t>SP9</t>
    <phoneticPr fontId="1" type="noConversion"/>
  </si>
  <si>
    <t>01.3871</t>
    <phoneticPr fontId="1" type="noConversion"/>
  </si>
  <si>
    <t>442*150*65</t>
    <phoneticPr fontId="1" type="noConversion"/>
  </si>
  <si>
    <t>16</t>
  </si>
  <si>
    <t>01.5376</t>
    <phoneticPr fontId="1" type="noConversion"/>
  </si>
  <si>
    <t>304*110*65</t>
    <phoneticPr fontId="1" type="noConversion"/>
  </si>
  <si>
    <t>19</t>
  </si>
  <si>
    <t>G3下</t>
  </si>
  <si>
    <t>40.5013</t>
    <phoneticPr fontId="1" type="noConversion"/>
  </si>
  <si>
    <t>42</t>
  </si>
  <si>
    <t>40.5202</t>
    <phoneticPr fontId="1" type="noConversion"/>
  </si>
  <si>
    <t>9</t>
  </si>
  <si>
    <t>1</t>
  </si>
  <si>
    <t>F1下</t>
  </si>
  <si>
    <t>40.5340</t>
    <phoneticPr fontId="1" type="noConversion"/>
  </si>
  <si>
    <t>D1上</t>
  </si>
  <si>
    <t>40.5379</t>
    <phoneticPr fontId="1" type="noConversion"/>
  </si>
  <si>
    <t>ROOF BREASTWALL</t>
    <phoneticPr fontId="1" type="noConversion"/>
  </si>
  <si>
    <t>H3下</t>
  </si>
  <si>
    <t>40.6577</t>
    <phoneticPr fontId="1" type="noConversion"/>
  </si>
  <si>
    <t>I2下</t>
  </si>
  <si>
    <t>40.6578</t>
    <phoneticPr fontId="1" type="noConversion"/>
  </si>
  <si>
    <t>40.6578</t>
  </si>
  <si>
    <t>G1下</t>
  </si>
  <si>
    <t>40.6919</t>
    <phoneticPr fontId="1" type="noConversion"/>
  </si>
  <si>
    <t>40.6921</t>
    <phoneticPr fontId="1" type="noConversion"/>
  </si>
  <si>
    <t>37.5384</t>
    <phoneticPr fontId="1" type="noConversion"/>
  </si>
  <si>
    <t>FLAT ARCH</t>
    <phoneticPr fontId="1" type="noConversion"/>
  </si>
  <si>
    <t>40.5056</t>
    <phoneticPr fontId="1" type="noConversion"/>
  </si>
  <si>
    <t>F/L上-上游Hanger保溫(側邊)</t>
    <phoneticPr fontId="1" type="noConversion"/>
  </si>
  <si>
    <t>B1中</t>
  </si>
  <si>
    <t>40.5057</t>
    <phoneticPr fontId="1" type="noConversion"/>
  </si>
  <si>
    <t>F/L上-上游Hanger保溫(中間)</t>
    <phoneticPr fontId="1" type="noConversion"/>
  </si>
  <si>
    <t>40.5058</t>
  </si>
  <si>
    <t>40.5054</t>
    <phoneticPr fontId="1" type="noConversion"/>
  </si>
  <si>
    <t>F/L上-下游Hanger保溫(中間)</t>
    <phoneticPr fontId="1" type="noConversion"/>
  </si>
  <si>
    <t>40.5059</t>
    <phoneticPr fontId="1" type="noConversion"/>
  </si>
  <si>
    <t>40.5060</t>
    <phoneticPr fontId="1" type="noConversion"/>
  </si>
  <si>
    <t>2,91</t>
    <phoneticPr fontId="1" type="noConversion"/>
  </si>
  <si>
    <t>D1中</t>
  </si>
  <si>
    <t>40.5407</t>
    <phoneticPr fontId="1" type="noConversion"/>
  </si>
  <si>
    <t>E1上</t>
  </si>
  <si>
    <t>40.5509</t>
    <phoneticPr fontId="1" type="noConversion"/>
  </si>
  <si>
    <t>F/L上-下游Hanger保溫(兩側)</t>
    <phoneticPr fontId="1" type="noConversion"/>
  </si>
  <si>
    <t>40.5510</t>
    <phoneticPr fontId="1" type="noConversion"/>
  </si>
  <si>
    <t>F/L上-上游Hanger保溫(兩側)</t>
    <phoneticPr fontId="1" type="noConversion"/>
  </si>
  <si>
    <t>40.5511</t>
    <phoneticPr fontId="1" type="noConversion"/>
  </si>
  <si>
    <t>E1中</t>
  </si>
  <si>
    <t>40.5512</t>
    <phoneticPr fontId="1" type="noConversion"/>
  </si>
  <si>
    <t>F1上</t>
  </si>
  <si>
    <t>ROOF BLOCK</t>
    <phoneticPr fontId="1" type="noConversion"/>
  </si>
  <si>
    <t>40.5279</t>
    <phoneticPr fontId="1" type="noConversion"/>
  </si>
  <si>
    <t>F/L下游第一排-中間底層</t>
    <phoneticPr fontId="1" type="noConversion"/>
  </si>
  <si>
    <t>D3上</t>
  </si>
  <si>
    <t>40.5318</t>
    <phoneticPr fontId="1" type="noConversion"/>
  </si>
  <si>
    <t>F/L下游第一排-中間上層</t>
    <phoneticPr fontId="1" type="noConversion"/>
  </si>
  <si>
    <t>D3中</t>
  </si>
  <si>
    <t>40.5319</t>
    <phoneticPr fontId="1" type="noConversion"/>
  </si>
  <si>
    <t>F/L下游第一排-側邊上層</t>
    <phoneticPr fontId="1" type="noConversion"/>
  </si>
  <si>
    <t>40.5320</t>
    <phoneticPr fontId="1" type="noConversion"/>
  </si>
  <si>
    <t>H3中</t>
  </si>
  <si>
    <t>40.5501</t>
    <phoneticPr fontId="1" type="noConversion"/>
  </si>
  <si>
    <t>F/L下游第一排-側邊下層</t>
    <phoneticPr fontId="1" type="noConversion"/>
  </si>
  <si>
    <t>40.5502</t>
  </si>
  <si>
    <t>37.5020</t>
    <phoneticPr fontId="1" type="noConversion"/>
  </si>
  <si>
    <t>SPOUT SIDE WALL</t>
    <phoneticPr fontId="1" type="noConversion"/>
  </si>
  <si>
    <t>2</t>
  </si>
  <si>
    <t>Heater瓦-右側上層</t>
    <phoneticPr fontId="1" type="noConversion"/>
  </si>
  <si>
    <t>37.5021</t>
  </si>
  <si>
    <t>Heater瓦-左側上層</t>
    <phoneticPr fontId="1" type="noConversion"/>
  </si>
  <si>
    <t>37.5022</t>
  </si>
  <si>
    <t>Heater瓦-右側下層</t>
    <phoneticPr fontId="1" type="noConversion"/>
  </si>
  <si>
    <t>37.5023</t>
  </si>
  <si>
    <t>Heater瓦-左側下層</t>
    <phoneticPr fontId="1" type="noConversion"/>
  </si>
  <si>
    <t>PBA層架</t>
  </si>
  <si>
    <t>40.6906</t>
    <phoneticPr fontId="1" type="noConversion"/>
  </si>
  <si>
    <t>PBA - BLANK (L)</t>
    <phoneticPr fontId="1" type="noConversion"/>
  </si>
  <si>
    <t>PBA-完整上游0孔</t>
    <phoneticPr fontId="1" type="noConversion"/>
  </si>
  <si>
    <t>PBA - 3HOLES (L)</t>
    <phoneticPr fontId="1" type="noConversion"/>
  </si>
  <si>
    <t>PBA-完整上游3孔</t>
    <phoneticPr fontId="1" type="noConversion"/>
  </si>
  <si>
    <t>PBA - BLANK (S)</t>
    <phoneticPr fontId="1" type="noConversion"/>
  </si>
  <si>
    <t>PBA-完整下游0孔</t>
    <phoneticPr fontId="1" type="noConversion"/>
  </si>
  <si>
    <t>40.6908</t>
    <phoneticPr fontId="1" type="noConversion"/>
  </si>
  <si>
    <t>PBA - 3HOLES (S)</t>
    <phoneticPr fontId="1" type="noConversion"/>
  </si>
  <si>
    <t>PBA-完整下游3孔</t>
    <phoneticPr fontId="1" type="noConversion"/>
  </si>
  <si>
    <t>40.5027</t>
    <phoneticPr fontId="1" type="noConversion"/>
  </si>
  <si>
    <t>0孔頂</t>
    <phoneticPr fontId="1" type="noConversion"/>
  </si>
  <si>
    <t>6孔頂</t>
    <phoneticPr fontId="9" type="noConversion"/>
  </si>
  <si>
    <t>40.5029</t>
    <phoneticPr fontId="1" type="noConversion"/>
  </si>
  <si>
    <t>3孔頂</t>
    <phoneticPr fontId="1" type="noConversion"/>
  </si>
  <si>
    <t>40.5035</t>
    <phoneticPr fontId="1" type="noConversion"/>
  </si>
  <si>
    <t>0孔中</t>
    <phoneticPr fontId="1" type="noConversion"/>
  </si>
  <si>
    <t>6孔中</t>
    <phoneticPr fontId="9" type="noConversion"/>
  </si>
  <si>
    <t>3孔中</t>
    <phoneticPr fontId="1" type="noConversion"/>
  </si>
  <si>
    <t>40.5066</t>
    <phoneticPr fontId="1" type="noConversion"/>
  </si>
  <si>
    <t>0孔底</t>
    <phoneticPr fontId="1" type="noConversion"/>
  </si>
  <si>
    <t>6孔底</t>
    <phoneticPr fontId="9" type="noConversion"/>
  </si>
  <si>
    <t>PBA層架</t>
    <phoneticPr fontId="1" type="noConversion"/>
  </si>
  <si>
    <t>3孔底</t>
    <phoneticPr fontId="1" type="noConversion"/>
  </si>
  <si>
    <t>F2中</t>
    <phoneticPr fontId="9" type="noConversion"/>
  </si>
  <si>
    <t>40.5067</t>
  </si>
  <si>
    <t>70</t>
  </si>
  <si>
    <t>C3中</t>
  </si>
  <si>
    <t>40.5296</t>
    <phoneticPr fontId="1" type="noConversion"/>
  </si>
  <si>
    <r>
      <t>PBA兩側保</t>
    </r>
    <r>
      <rPr>
        <sz val="12"/>
        <color theme="1"/>
        <rFont val="新細明體"/>
        <family val="2"/>
      </rPr>
      <t>溫</t>
    </r>
    <r>
      <rPr>
        <sz val="12"/>
        <color theme="1"/>
        <rFont val="Yu Gothic"/>
        <family val="2"/>
      </rPr>
      <t>-上游三層(上)</t>
    </r>
    <phoneticPr fontId="9" type="noConversion"/>
  </si>
  <si>
    <t>B2上</t>
  </si>
  <si>
    <t>40.5038</t>
    <phoneticPr fontId="1" type="noConversion"/>
  </si>
  <si>
    <r>
      <t>PBA兩側保</t>
    </r>
    <r>
      <rPr>
        <sz val="12"/>
        <color theme="1"/>
        <rFont val="新細明體"/>
        <family val="2"/>
      </rPr>
      <t>溫</t>
    </r>
    <r>
      <rPr>
        <sz val="12"/>
        <color theme="1"/>
        <rFont val="Yu Gothic"/>
        <family val="2"/>
      </rPr>
      <t>-下游兩層(上)</t>
    </r>
    <phoneticPr fontId="9" type="noConversion"/>
  </si>
  <si>
    <t>40.5069</t>
    <phoneticPr fontId="1" type="noConversion"/>
  </si>
  <si>
    <r>
      <t>PBA兩側保</t>
    </r>
    <r>
      <rPr>
        <sz val="12"/>
        <color theme="1"/>
        <rFont val="新細明體"/>
        <family val="2"/>
      </rPr>
      <t>溫</t>
    </r>
    <r>
      <rPr>
        <sz val="12"/>
        <color theme="1"/>
        <rFont val="Yu Gothic"/>
        <family val="2"/>
      </rPr>
      <t>-下游兩層(下)</t>
    </r>
    <phoneticPr fontId="9" type="noConversion"/>
  </si>
  <si>
    <t>G2中</t>
  </si>
  <si>
    <t>40.5285</t>
    <phoneticPr fontId="1" type="noConversion"/>
  </si>
  <si>
    <r>
      <t>PBA兩側保</t>
    </r>
    <r>
      <rPr>
        <sz val="12"/>
        <color theme="1"/>
        <rFont val="新細明體"/>
        <family val="2"/>
      </rPr>
      <t>溫</t>
    </r>
    <r>
      <rPr>
        <sz val="12"/>
        <color theme="1"/>
        <rFont val="Yu Gothic"/>
        <family val="2"/>
      </rPr>
      <t>-上游三層(下)</t>
    </r>
    <phoneticPr fontId="9" type="noConversion"/>
  </si>
  <si>
    <t>C3上</t>
  </si>
  <si>
    <t>40.5295</t>
    <phoneticPr fontId="1" type="noConversion"/>
  </si>
  <si>
    <r>
      <t>PBA兩側保</t>
    </r>
    <r>
      <rPr>
        <sz val="12"/>
        <color theme="1"/>
        <rFont val="新細明體"/>
        <family val="2"/>
      </rPr>
      <t>溫</t>
    </r>
    <r>
      <rPr>
        <sz val="12"/>
        <color theme="1"/>
        <rFont val="Yu Gothic"/>
        <family val="2"/>
      </rPr>
      <t>-上游三層(中)</t>
    </r>
    <phoneticPr fontId="9" type="noConversion"/>
  </si>
  <si>
    <t>E2中</t>
  </si>
  <si>
    <t>40.6027</t>
    <phoneticPr fontId="1" type="noConversion"/>
  </si>
  <si>
    <t xml:space="preserve"> RADIATION GATE</t>
    <phoneticPr fontId="1" type="noConversion"/>
  </si>
  <si>
    <t>40.5127</t>
    <phoneticPr fontId="1" type="noConversion"/>
  </si>
  <si>
    <t>R/G上-上層保溫(中間)</t>
    <phoneticPr fontId="1" type="noConversion"/>
  </si>
  <si>
    <t>40.5181</t>
    <phoneticPr fontId="1" type="noConversion"/>
  </si>
  <si>
    <t>R/G上-下層保溫(中間)</t>
    <phoneticPr fontId="1" type="noConversion"/>
  </si>
  <si>
    <t>E3中</t>
  </si>
  <si>
    <t>40.6301</t>
    <phoneticPr fontId="1" type="noConversion"/>
  </si>
  <si>
    <t>8</t>
  </si>
  <si>
    <t>R/G上-上層保溫(側邊)</t>
    <phoneticPr fontId="1" type="noConversion"/>
  </si>
  <si>
    <t>G1上</t>
  </si>
  <si>
    <t>40.5301</t>
    <phoneticPr fontId="1" type="noConversion"/>
  </si>
  <si>
    <t>R/G上游第一排-側邊下層</t>
    <phoneticPr fontId="1" type="noConversion"/>
  </si>
  <si>
    <t>40.5302</t>
    <phoneticPr fontId="1" type="noConversion"/>
  </si>
  <si>
    <t>G2上</t>
  </si>
  <si>
    <t>40.5305</t>
    <phoneticPr fontId="1" type="noConversion"/>
  </si>
  <si>
    <t>R/G上游第一排-中間下層</t>
    <phoneticPr fontId="1" type="noConversion"/>
  </si>
  <si>
    <t>40.5308</t>
    <phoneticPr fontId="1" type="noConversion"/>
  </si>
  <si>
    <t>R/G上游第一排-側邊上層</t>
    <phoneticPr fontId="1" type="noConversion"/>
  </si>
  <si>
    <t>40.5309</t>
    <phoneticPr fontId="1" type="noConversion"/>
  </si>
  <si>
    <t>40.5507</t>
    <phoneticPr fontId="1" type="noConversion"/>
  </si>
  <si>
    <t>R/G上游第一排-中間上層</t>
    <phoneticPr fontId="1" type="noConversion"/>
  </si>
  <si>
    <t>40.5041</t>
    <phoneticPr fontId="1" type="noConversion"/>
  </si>
  <si>
    <t>40.5042</t>
    <phoneticPr fontId="1" type="noConversion"/>
  </si>
  <si>
    <t>40.5303</t>
    <phoneticPr fontId="1" type="noConversion"/>
  </si>
  <si>
    <t>40.5304</t>
    <phoneticPr fontId="1" type="noConversion"/>
  </si>
  <si>
    <t>40.5306</t>
    <phoneticPr fontId="1" type="noConversion"/>
  </si>
  <si>
    <t>R/G上游第一排中間下層</t>
    <phoneticPr fontId="1" type="noConversion"/>
  </si>
  <si>
    <t>40.7058</t>
    <phoneticPr fontId="1" type="noConversion"/>
  </si>
  <si>
    <t>RADIATION PYROMETER</t>
    <phoneticPr fontId="1" type="noConversion"/>
  </si>
  <si>
    <t>R/P-Roofing溫度計</t>
    <phoneticPr fontId="1" type="noConversion"/>
  </si>
  <si>
    <t>K下</t>
  </si>
  <si>
    <t>40.5101</t>
    <phoneticPr fontId="1" type="noConversion"/>
  </si>
  <si>
    <t>R/P底部煉瓦</t>
    <phoneticPr fontId="1" type="noConversion"/>
  </si>
  <si>
    <t>40.5297</t>
    <phoneticPr fontId="1" type="noConversion"/>
  </si>
  <si>
    <t>D2下</t>
  </si>
  <si>
    <t>40.5236</t>
    <phoneticPr fontId="1" type="noConversion"/>
  </si>
  <si>
    <t>RAIL TILE</t>
    <phoneticPr fontId="1" type="noConversion"/>
  </si>
  <si>
    <t>Roofing跨橋煉瓦</t>
    <phoneticPr fontId="1" type="noConversion"/>
  </si>
  <si>
    <t>F1中</t>
  </si>
  <si>
    <t>40.5282</t>
    <phoneticPr fontId="1" type="noConversion"/>
  </si>
  <si>
    <t>中間底層</t>
    <phoneticPr fontId="1" type="noConversion"/>
  </si>
  <si>
    <t>D2中</t>
  </si>
  <si>
    <t>40.5321</t>
    <phoneticPr fontId="1" type="noConversion"/>
  </si>
  <si>
    <r>
      <t>Section中保</t>
    </r>
    <r>
      <rPr>
        <sz val="12"/>
        <color theme="1"/>
        <rFont val="新細明體"/>
        <family val="2"/>
      </rPr>
      <t>溫</t>
    </r>
    <r>
      <rPr>
        <sz val="12"/>
        <color theme="1"/>
        <rFont val="Yu Gothic"/>
        <family val="2"/>
      </rPr>
      <t>(上游)-中間中/上層</t>
    </r>
    <phoneticPr fontId="1" type="noConversion"/>
  </si>
  <si>
    <t>40.5322</t>
    <phoneticPr fontId="1" type="noConversion"/>
  </si>
  <si>
    <r>
      <t>Section中保</t>
    </r>
    <r>
      <rPr>
        <sz val="12"/>
        <color theme="1"/>
        <rFont val="新細明體"/>
        <family val="2"/>
      </rPr>
      <t>溫</t>
    </r>
    <r>
      <rPr>
        <sz val="12"/>
        <color theme="1"/>
        <rFont val="Yu Gothic"/>
        <family val="2"/>
      </rPr>
      <t>(上游)-側邊中/上層</t>
    </r>
    <phoneticPr fontId="1" type="noConversion"/>
  </si>
  <si>
    <t>40.5323</t>
    <phoneticPr fontId="1" type="noConversion"/>
  </si>
  <si>
    <t>40.5503</t>
    <phoneticPr fontId="1" type="noConversion"/>
  </si>
  <si>
    <r>
      <t>Section中保</t>
    </r>
    <r>
      <rPr>
        <sz val="12"/>
        <color theme="1"/>
        <rFont val="新細明體"/>
        <family val="2"/>
      </rPr>
      <t>溫</t>
    </r>
    <r>
      <rPr>
        <sz val="12"/>
        <color theme="1"/>
        <rFont val="Yu Gothic"/>
        <family val="2"/>
      </rPr>
      <t>(上游)-側邊下層</t>
    </r>
    <phoneticPr fontId="1" type="noConversion"/>
  </si>
  <si>
    <t>H2上</t>
  </si>
  <si>
    <t>40.5504</t>
  </si>
  <si>
    <t>40.5032</t>
    <phoneticPr fontId="1" type="noConversion"/>
  </si>
  <si>
    <r>
      <t>Section中保</t>
    </r>
    <r>
      <rPr>
        <sz val="12"/>
        <color theme="1"/>
        <rFont val="新細明體"/>
        <family val="2"/>
      </rPr>
      <t>溫</t>
    </r>
    <r>
      <rPr>
        <sz val="12"/>
        <color theme="1"/>
        <rFont val="Yu Gothic"/>
        <family val="2"/>
      </rPr>
      <t>(下游)-中間上層</t>
    </r>
    <phoneticPr fontId="1" type="noConversion"/>
  </si>
  <si>
    <t>40.5033</t>
    <phoneticPr fontId="1" type="noConversion"/>
  </si>
  <si>
    <r>
      <t>Section中保</t>
    </r>
    <r>
      <rPr>
        <sz val="12"/>
        <color theme="1"/>
        <rFont val="新細明體"/>
        <family val="2"/>
      </rPr>
      <t>溫</t>
    </r>
    <r>
      <rPr>
        <sz val="12"/>
        <color theme="1"/>
        <rFont val="Yu Gothic"/>
        <family val="2"/>
      </rPr>
      <t>(下游)-側邊上層</t>
    </r>
    <phoneticPr fontId="1" type="noConversion"/>
  </si>
  <si>
    <t>G3上</t>
  </si>
  <si>
    <t>40.5312</t>
    <phoneticPr fontId="1" type="noConversion"/>
  </si>
  <si>
    <r>
      <t>Section中保</t>
    </r>
    <r>
      <rPr>
        <sz val="12"/>
        <color theme="1"/>
        <rFont val="新細明體"/>
        <family val="2"/>
      </rPr>
      <t>溫</t>
    </r>
    <r>
      <rPr>
        <sz val="12"/>
        <color theme="1"/>
        <rFont val="Yu Gothic"/>
        <family val="2"/>
      </rPr>
      <t>(下游)-側邊下層</t>
    </r>
    <phoneticPr fontId="1" type="noConversion"/>
  </si>
  <si>
    <t>40.5313</t>
    <phoneticPr fontId="1" type="noConversion"/>
  </si>
  <si>
    <t>G3中</t>
  </si>
  <si>
    <t>40.5314</t>
    <phoneticPr fontId="1" type="noConversion"/>
  </si>
  <si>
    <r>
      <t>Section中保</t>
    </r>
    <r>
      <rPr>
        <sz val="12"/>
        <color theme="1"/>
        <rFont val="新細明體"/>
        <family val="2"/>
      </rPr>
      <t>溫</t>
    </r>
    <r>
      <rPr>
        <sz val="12"/>
        <color theme="1"/>
        <rFont val="Yu Gothic"/>
        <family val="2"/>
      </rPr>
      <t>(下游)-中間下層</t>
    </r>
    <phoneticPr fontId="1" type="noConversion"/>
  </si>
  <si>
    <t>C2中</t>
  </si>
  <si>
    <t>40.5292</t>
    <phoneticPr fontId="1" type="noConversion"/>
  </si>
  <si>
    <r>
      <t>Section間保</t>
    </r>
    <r>
      <rPr>
        <sz val="12"/>
        <color theme="1"/>
        <rFont val="新細明體"/>
        <family val="2"/>
      </rPr>
      <t>溫</t>
    </r>
    <r>
      <rPr>
        <sz val="12"/>
        <color theme="1"/>
        <rFont val="Yu Gothic"/>
        <family val="2"/>
      </rPr>
      <t>(上游)-中間中上層</t>
    </r>
    <phoneticPr fontId="1" type="noConversion"/>
  </si>
  <si>
    <t>C2上</t>
  </si>
  <si>
    <t>40.5293</t>
    <phoneticPr fontId="1" type="noConversion"/>
  </si>
  <si>
    <r>
      <t>Section間保</t>
    </r>
    <r>
      <rPr>
        <sz val="12"/>
        <color theme="1"/>
        <rFont val="新細明體"/>
        <family val="2"/>
      </rPr>
      <t>溫</t>
    </r>
    <r>
      <rPr>
        <sz val="12"/>
        <color theme="1"/>
        <rFont val="Yu Gothic"/>
        <family val="2"/>
      </rPr>
      <t>(上游)-側邊中/上層</t>
    </r>
    <phoneticPr fontId="1" type="noConversion"/>
  </si>
  <si>
    <t>40.5294</t>
    <phoneticPr fontId="1" type="noConversion"/>
  </si>
  <si>
    <t>G1中</t>
  </si>
  <si>
    <t>40.5284</t>
    <phoneticPr fontId="1" type="noConversion"/>
  </si>
  <si>
    <r>
      <t>Section間保</t>
    </r>
    <r>
      <rPr>
        <sz val="12"/>
        <color theme="1"/>
        <rFont val="新細明體"/>
        <family val="2"/>
      </rPr>
      <t>溫</t>
    </r>
    <r>
      <rPr>
        <sz val="12"/>
        <color theme="1"/>
        <rFont val="Yu Gothic"/>
        <family val="2"/>
      </rPr>
      <t>(上游)-中間底層</t>
    </r>
    <phoneticPr fontId="1" type="noConversion"/>
  </si>
  <si>
    <t>40.5505</t>
    <phoneticPr fontId="1" type="noConversion"/>
  </si>
  <si>
    <r>
      <t>Section間保</t>
    </r>
    <r>
      <rPr>
        <sz val="12"/>
        <color theme="1"/>
        <rFont val="新細明體"/>
        <family val="2"/>
      </rPr>
      <t>溫</t>
    </r>
    <r>
      <rPr>
        <sz val="12"/>
        <color theme="1"/>
        <rFont val="Yu Gothic"/>
        <family val="2"/>
      </rPr>
      <t>(上游)-側邊下層</t>
    </r>
    <phoneticPr fontId="1" type="noConversion"/>
  </si>
  <si>
    <t>40.5506</t>
    <phoneticPr fontId="1" type="noConversion"/>
  </si>
  <si>
    <t>E2上</t>
  </si>
  <si>
    <t>40.6046</t>
  </si>
  <si>
    <r>
      <t>Section間保</t>
    </r>
    <r>
      <rPr>
        <sz val="12"/>
        <color theme="1"/>
        <rFont val="新細明體"/>
        <family val="2"/>
      </rPr>
      <t>溫</t>
    </r>
    <r>
      <rPr>
        <sz val="12"/>
        <color theme="1"/>
        <rFont val="Yu Gothic"/>
        <family val="2"/>
      </rPr>
      <t>(上游)-中間上層</t>
    </r>
    <phoneticPr fontId="1" type="noConversion"/>
  </si>
  <si>
    <t>40.6047</t>
    <phoneticPr fontId="1" type="noConversion"/>
  </si>
  <si>
    <r>
      <t>Section間保</t>
    </r>
    <r>
      <rPr>
        <sz val="12"/>
        <color theme="1"/>
        <rFont val="新細明體"/>
        <family val="2"/>
      </rPr>
      <t>溫</t>
    </r>
    <r>
      <rPr>
        <sz val="12"/>
        <color theme="1"/>
        <rFont val="Yu Gothic"/>
        <family val="2"/>
      </rPr>
      <t>(上游)-側邊上層</t>
    </r>
    <phoneticPr fontId="1" type="noConversion"/>
  </si>
  <si>
    <t>A3下</t>
  </si>
  <si>
    <t>40.5030</t>
    <phoneticPr fontId="1" type="noConversion"/>
  </si>
  <si>
    <r>
      <t>Section間保</t>
    </r>
    <r>
      <rPr>
        <sz val="12"/>
        <color theme="1"/>
        <rFont val="新細明體"/>
        <family val="2"/>
      </rPr>
      <t>溫</t>
    </r>
    <r>
      <rPr>
        <sz val="12"/>
        <color theme="1"/>
        <rFont val="Yu Gothic"/>
        <family val="2"/>
      </rPr>
      <t>(下游)-中間上層</t>
    </r>
    <phoneticPr fontId="1" type="noConversion"/>
  </si>
  <si>
    <t>40.5031</t>
    <phoneticPr fontId="1" type="noConversion"/>
  </si>
  <si>
    <r>
      <t>Section間保</t>
    </r>
    <r>
      <rPr>
        <sz val="12"/>
        <color theme="1"/>
        <rFont val="新細明體"/>
        <family val="2"/>
      </rPr>
      <t>溫</t>
    </r>
    <r>
      <rPr>
        <sz val="12"/>
        <color theme="1"/>
        <rFont val="Yu Gothic"/>
        <family val="2"/>
      </rPr>
      <t>(下游)-側邊上層</t>
    </r>
    <phoneticPr fontId="1" type="noConversion"/>
  </si>
  <si>
    <t>40.5311</t>
    <phoneticPr fontId="1" type="noConversion"/>
  </si>
  <si>
    <r>
      <t>Section間保</t>
    </r>
    <r>
      <rPr>
        <sz val="12"/>
        <color theme="1"/>
        <rFont val="新細明體"/>
        <family val="2"/>
      </rPr>
      <t>溫</t>
    </r>
    <r>
      <rPr>
        <sz val="12"/>
        <color theme="1"/>
        <rFont val="Yu Gothic"/>
        <family val="2"/>
      </rPr>
      <t>(下游)-中間下層</t>
    </r>
    <phoneticPr fontId="1" type="noConversion"/>
  </si>
  <si>
    <t>40.5315</t>
    <phoneticPr fontId="1" type="noConversion"/>
  </si>
  <si>
    <r>
      <t>Section間保</t>
    </r>
    <r>
      <rPr>
        <sz val="12"/>
        <color theme="1"/>
        <rFont val="新細明體"/>
        <family val="2"/>
      </rPr>
      <t>溫</t>
    </r>
    <r>
      <rPr>
        <sz val="12"/>
        <color theme="1"/>
        <rFont val="Yu Gothic"/>
        <family val="2"/>
      </rPr>
      <t>(下游)-側邊下層</t>
    </r>
    <phoneticPr fontId="1" type="noConversion"/>
  </si>
  <si>
    <t>40.5316</t>
    <phoneticPr fontId="1" type="noConversion"/>
  </si>
  <si>
    <t>J中</t>
  </si>
  <si>
    <t>SIDE SEAL</t>
    <phoneticPr fontId="1" type="noConversion"/>
  </si>
  <si>
    <t>39.5023</t>
    <phoneticPr fontId="1" type="noConversion"/>
  </si>
  <si>
    <t>ROOF SIDE SEAL</t>
    <phoneticPr fontId="1" type="noConversion"/>
  </si>
  <si>
    <t>39.5024</t>
    <phoneticPr fontId="1" type="noConversion"/>
  </si>
  <si>
    <t>J下</t>
  </si>
  <si>
    <t>39.5017</t>
    <phoneticPr fontId="1" type="noConversion"/>
  </si>
  <si>
    <t>39.5027</t>
    <phoneticPr fontId="1" type="noConversion"/>
  </si>
  <si>
    <t>F2下</t>
  </si>
  <si>
    <t>40.5011</t>
    <phoneticPr fontId="9" type="noConversion"/>
  </si>
  <si>
    <t>ROOF BREASTWALL</t>
    <phoneticPr fontId="9" type="noConversion"/>
  </si>
  <si>
    <t>280mm</t>
    <phoneticPr fontId="1" type="noConversion"/>
  </si>
  <si>
    <t>40.5324</t>
    <phoneticPr fontId="1" type="noConversion"/>
  </si>
  <si>
    <t>Sec 5~7上游第一層</t>
    <phoneticPr fontId="1" type="noConversion"/>
  </si>
  <si>
    <t>H2下</t>
  </si>
  <si>
    <t>40.5325</t>
    <phoneticPr fontId="1" type="noConversion"/>
  </si>
  <si>
    <t>40.5329</t>
    <phoneticPr fontId="1" type="noConversion"/>
  </si>
  <si>
    <t>Shoulder第一層</t>
    <phoneticPr fontId="1" type="noConversion"/>
  </si>
  <si>
    <t>40.5331</t>
    <phoneticPr fontId="1" type="noConversion"/>
  </si>
  <si>
    <t>Shoulder第一層</t>
  </si>
  <si>
    <t>H3上</t>
  </si>
  <si>
    <t>40.7056</t>
    <phoneticPr fontId="1" type="noConversion"/>
  </si>
  <si>
    <t>Shoulder處第12層</t>
  </si>
  <si>
    <t>40.7063</t>
    <phoneticPr fontId="1" type="noConversion"/>
  </si>
  <si>
    <t>最上游Side Wall第7層</t>
  </si>
  <si>
    <t>40.7104</t>
    <phoneticPr fontId="1" type="noConversion"/>
  </si>
  <si>
    <t>最上游Side Wall第12層</t>
  </si>
  <si>
    <t>40.7658</t>
    <phoneticPr fontId="1" type="noConversion"/>
  </si>
  <si>
    <t>20</t>
  </si>
  <si>
    <t>Sec 1~7Side Wall最頂層</t>
    <phoneticPr fontId="1" type="noConversion"/>
  </si>
  <si>
    <t>最上游SIDE WALL填塞用</t>
    <phoneticPr fontId="1" type="noConversion"/>
  </si>
  <si>
    <t>01.5374</t>
    <phoneticPr fontId="1" type="noConversion"/>
  </si>
  <si>
    <t>304*114*72</t>
    <phoneticPr fontId="1" type="noConversion"/>
  </si>
  <si>
    <t>41</t>
  </si>
  <si>
    <r>
      <t>Shoulder處第6層</t>
    </r>
    <r>
      <rPr>
        <sz val="12"/>
        <color theme="1"/>
        <rFont val="新細明體"/>
        <family val="2"/>
        <charset val="136"/>
      </rPr>
      <t>內</t>
    </r>
    <r>
      <rPr>
        <sz val="12"/>
        <color theme="1"/>
        <rFont val="Yu Gothic"/>
        <family val="2"/>
      </rPr>
      <t>側</t>
    </r>
  </si>
  <si>
    <t>I1中</t>
  </si>
  <si>
    <t>01.6044</t>
    <phoneticPr fontId="1" type="noConversion"/>
  </si>
  <si>
    <t>304*302*65</t>
    <phoneticPr fontId="1" type="noConversion"/>
  </si>
  <si>
    <t>272</t>
  </si>
  <si>
    <t>Sec 1~4第2~5層外側</t>
    <phoneticPr fontId="1" type="noConversion"/>
  </si>
  <si>
    <t>F3中</t>
  </si>
  <si>
    <t>01.6044</t>
  </si>
  <si>
    <t>Sec 5~7第2~5層外側</t>
    <phoneticPr fontId="1" type="noConversion"/>
  </si>
  <si>
    <t>A1中</t>
  </si>
  <si>
    <t>01.6045</t>
    <phoneticPr fontId="1" type="noConversion"/>
  </si>
  <si>
    <t>304*114*65</t>
    <phoneticPr fontId="1" type="noConversion"/>
  </si>
  <si>
    <t>374</t>
  </si>
  <si>
    <r>
      <t>Side Wall第2~5層</t>
    </r>
    <r>
      <rPr>
        <sz val="12"/>
        <color theme="1"/>
        <rFont val="新細明體"/>
        <family val="2"/>
        <charset val="136"/>
      </rPr>
      <t>內</t>
    </r>
    <r>
      <rPr>
        <sz val="12"/>
        <color theme="1"/>
        <rFont val="Yu Gothic"/>
        <family val="2"/>
      </rPr>
      <t>側</t>
    </r>
  </si>
  <si>
    <t>B3</t>
  </si>
  <si>
    <t>692</t>
  </si>
  <si>
    <t>Side Wall第8~11層外側</t>
  </si>
  <si>
    <t>A2中</t>
  </si>
  <si>
    <t>01.6048</t>
    <phoneticPr fontId="1" type="noConversion"/>
  </si>
  <si>
    <t>304*143*65</t>
    <phoneticPr fontId="1" type="noConversion"/>
  </si>
  <si>
    <t>438</t>
  </si>
  <si>
    <r>
      <t>Side Wall第8~11層</t>
    </r>
    <r>
      <rPr>
        <sz val="12"/>
        <color theme="1"/>
        <rFont val="新細明體"/>
        <family val="2"/>
        <charset val="136"/>
      </rPr>
      <t>內</t>
    </r>
    <r>
      <rPr>
        <sz val="12"/>
        <color theme="1"/>
        <rFont val="Yu Gothic"/>
        <family val="2"/>
      </rPr>
      <t>側</t>
    </r>
  </si>
  <si>
    <t>A3中</t>
  </si>
  <si>
    <t>01.6050</t>
    <phoneticPr fontId="1" type="noConversion"/>
  </si>
  <si>
    <t>304*177.5*65</t>
    <phoneticPr fontId="1" type="noConversion"/>
  </si>
  <si>
    <t>Sec 8~12第2~5層外側</t>
    <phoneticPr fontId="1" type="noConversion"/>
  </si>
  <si>
    <t>A2上</t>
  </si>
  <si>
    <t>01.6051</t>
    <phoneticPr fontId="1" type="noConversion"/>
  </si>
  <si>
    <t>304*126*65</t>
    <phoneticPr fontId="1" type="noConversion"/>
  </si>
  <si>
    <r>
      <t>Sec 8~12第2層</t>
    </r>
    <r>
      <rPr>
        <sz val="12"/>
        <color theme="1"/>
        <rFont val="新細明體"/>
        <family val="2"/>
        <charset val="134"/>
      </rPr>
      <t>內</t>
    </r>
    <r>
      <rPr>
        <sz val="12"/>
        <color theme="1"/>
        <rFont val="Yu Gothic"/>
        <family val="2"/>
      </rPr>
      <t>側</t>
    </r>
    <phoneticPr fontId="1" type="noConversion"/>
  </si>
  <si>
    <t>01.6052</t>
    <phoneticPr fontId="1" type="noConversion"/>
  </si>
  <si>
    <t>304*65*46</t>
    <phoneticPr fontId="1" type="noConversion"/>
  </si>
  <si>
    <t>30</t>
  </si>
  <si>
    <r>
      <t>Sec 8~12第8~11層</t>
    </r>
    <r>
      <rPr>
        <sz val="12"/>
        <color theme="1"/>
        <rFont val="新細明體"/>
        <family val="2"/>
        <charset val="136"/>
      </rPr>
      <t>內</t>
    </r>
    <r>
      <rPr>
        <sz val="12"/>
        <color theme="1"/>
        <rFont val="Yu Gothic"/>
        <family val="2"/>
      </rPr>
      <t>側</t>
    </r>
    <phoneticPr fontId="1" type="noConversion"/>
  </si>
  <si>
    <t>03.6405</t>
    <phoneticPr fontId="1" type="noConversion"/>
  </si>
  <si>
    <t>479*227*55</t>
    <phoneticPr fontId="1" type="noConversion"/>
  </si>
  <si>
    <t>40.5010</t>
    <phoneticPr fontId="1" type="noConversion"/>
  </si>
  <si>
    <t>ROOF BREASTWALL</t>
  </si>
  <si>
    <t>Sec 8~12最頂層</t>
    <phoneticPr fontId="1" type="noConversion"/>
  </si>
  <si>
    <t>13</t>
  </si>
  <si>
    <t>Sec 8~12第7層 (340mm)</t>
    <phoneticPr fontId="9" type="noConversion"/>
  </si>
  <si>
    <t>EXIT LINTEL</t>
    <phoneticPr fontId="1" type="noConversion"/>
  </si>
  <si>
    <t>40.5021</t>
    <phoneticPr fontId="1" type="noConversion"/>
  </si>
  <si>
    <t>Exit側邊 第2層</t>
    <phoneticPr fontId="9" type="noConversion"/>
  </si>
  <si>
    <t>40.5022</t>
    <phoneticPr fontId="1" type="noConversion"/>
  </si>
  <si>
    <t>40.5025</t>
  </si>
  <si>
    <t>Exit側邊 第3層</t>
    <phoneticPr fontId="9" type="noConversion"/>
  </si>
  <si>
    <t>40.5026</t>
  </si>
  <si>
    <t>40.5246</t>
    <phoneticPr fontId="1" type="noConversion"/>
  </si>
  <si>
    <t>40.5270</t>
    <phoneticPr fontId="1" type="noConversion"/>
  </si>
  <si>
    <t>Exit側邊 第1層</t>
    <phoneticPr fontId="9" type="noConversion"/>
  </si>
  <si>
    <t>C1中</t>
  </si>
  <si>
    <t>40.5271</t>
  </si>
  <si>
    <t>H1下</t>
  </si>
  <si>
    <t>49</t>
  </si>
  <si>
    <t>Sec 1~4上游第一層</t>
    <phoneticPr fontId="1" type="noConversion"/>
  </si>
  <si>
    <t>I1下</t>
  </si>
  <si>
    <t>40.5325</t>
  </si>
  <si>
    <t>22</t>
  </si>
  <si>
    <t>Sec1~4上游第一層</t>
  </si>
  <si>
    <t>40.5326</t>
  </si>
  <si>
    <t>40.5327</t>
  </si>
  <si>
    <t>I1上</t>
  </si>
  <si>
    <t>40.5328</t>
  </si>
  <si>
    <t>26</t>
  </si>
  <si>
    <t>Sec1~4第6層外側</t>
  </si>
  <si>
    <t>40.5328</t>
    <phoneticPr fontId="1" type="noConversion"/>
  </si>
  <si>
    <t>40</t>
  </si>
  <si>
    <t>Sec5~7第6層外側</t>
  </si>
  <si>
    <t>40.5330</t>
    <phoneticPr fontId="1" type="noConversion"/>
  </si>
  <si>
    <t>40.5333</t>
    <phoneticPr fontId="9" type="noConversion"/>
  </si>
  <si>
    <t>Sec 8~12第一層 (205mm)</t>
    <phoneticPr fontId="9" type="noConversion"/>
  </si>
  <si>
    <t>Sec 8~12第一層 (370mm)</t>
    <phoneticPr fontId="9" type="noConversion"/>
  </si>
  <si>
    <t>40.5334</t>
    <phoneticPr fontId="1" type="noConversion"/>
  </si>
  <si>
    <t>Sec 8~12第一層</t>
    <phoneticPr fontId="1" type="noConversion"/>
  </si>
  <si>
    <t>40.5335</t>
  </si>
  <si>
    <t>40.5337</t>
    <phoneticPr fontId="1" type="noConversion"/>
  </si>
  <si>
    <t>Sec 8~12第6層外側</t>
    <phoneticPr fontId="1" type="noConversion"/>
  </si>
  <si>
    <t>40.5338</t>
  </si>
  <si>
    <t>24</t>
  </si>
  <si>
    <t>Sec 1~7第7層</t>
    <phoneticPr fontId="1" type="noConversion"/>
  </si>
  <si>
    <t>40.5341</t>
    <phoneticPr fontId="1" type="noConversion"/>
  </si>
  <si>
    <t>Shoulder處第7層</t>
  </si>
  <si>
    <t>40.5342</t>
  </si>
  <si>
    <t>40.5343</t>
  </si>
  <si>
    <t>40.5344</t>
  </si>
  <si>
    <t>40.5345</t>
  </si>
  <si>
    <t>40.5346</t>
  </si>
  <si>
    <t>40.5386</t>
    <phoneticPr fontId="1" type="noConversion"/>
  </si>
  <si>
    <t>40.5387</t>
  </si>
  <si>
    <t>G2下</t>
  </si>
  <si>
    <t>40.7050</t>
    <phoneticPr fontId="1" type="noConversion"/>
  </si>
  <si>
    <t>40.7051</t>
  </si>
  <si>
    <t>40.7052</t>
    <phoneticPr fontId="1" type="noConversion"/>
  </si>
  <si>
    <t>Sec1~7 第12層-SIDE  WALL煉瓦</t>
    <phoneticPr fontId="1" type="noConversion"/>
  </si>
  <si>
    <t>40.7053</t>
    <phoneticPr fontId="1" type="noConversion"/>
  </si>
  <si>
    <t>40.7054</t>
  </si>
  <si>
    <t>40.7055</t>
  </si>
  <si>
    <t>40.7366</t>
    <phoneticPr fontId="1" type="noConversion"/>
  </si>
  <si>
    <t>最上游第一層</t>
  </si>
  <si>
    <t>40.7367</t>
  </si>
  <si>
    <t>J上</t>
  </si>
  <si>
    <t xml:space="preserve">SPOUT &amp; LIP </t>
    <phoneticPr fontId="1" type="noConversion"/>
  </si>
  <si>
    <t>01.5360</t>
    <phoneticPr fontId="1" type="noConversion"/>
  </si>
  <si>
    <t>410*100*25</t>
    <phoneticPr fontId="1" type="noConversion"/>
  </si>
  <si>
    <t>SIDE JAMB前方填塞煉瓦</t>
    <phoneticPr fontId="1" type="noConversion"/>
  </si>
  <si>
    <t>01.5372</t>
    <phoneticPr fontId="1" type="noConversion"/>
  </si>
  <si>
    <t>410*100*22</t>
    <phoneticPr fontId="1" type="noConversion"/>
  </si>
  <si>
    <t>14</t>
  </si>
  <si>
    <t>40.5252</t>
    <phoneticPr fontId="1" type="noConversion"/>
  </si>
  <si>
    <t>SUPPORT TILE</t>
    <phoneticPr fontId="1" type="noConversion"/>
  </si>
  <si>
    <t xml:space="preserve">F/L下游第一排-雙長溝 </t>
    <phoneticPr fontId="1" type="noConversion"/>
  </si>
  <si>
    <t>40.5253</t>
  </si>
  <si>
    <t>F/L下游第一排-雙短溝</t>
    <phoneticPr fontId="1" type="noConversion"/>
  </si>
  <si>
    <t>E2下</t>
  </si>
  <si>
    <t>40.5254</t>
  </si>
  <si>
    <t>R/G上下游第一排-雙長溝</t>
    <phoneticPr fontId="1" type="noConversion"/>
  </si>
  <si>
    <t>40.5255</t>
    <phoneticPr fontId="1" type="noConversion"/>
  </si>
  <si>
    <t xml:space="preserve">R/G上下游第一排-雙短溝 </t>
    <phoneticPr fontId="1" type="noConversion"/>
  </si>
  <si>
    <t>40.5299</t>
  </si>
  <si>
    <t xml:space="preserve">R/G上下游第一排-單邊長溝 </t>
    <phoneticPr fontId="1" type="noConversion"/>
  </si>
  <si>
    <t>40.5300</t>
    <phoneticPr fontId="1" type="noConversion"/>
  </si>
  <si>
    <t>E3下</t>
  </si>
  <si>
    <t>40.5256</t>
  </si>
  <si>
    <t xml:space="preserve">Section中-單邊長溝 </t>
    <phoneticPr fontId="1" type="noConversion"/>
  </si>
  <si>
    <t>40.5262</t>
  </si>
  <si>
    <t xml:space="preserve">Section中-雙長溝 </t>
    <phoneticPr fontId="1" type="noConversion"/>
  </si>
  <si>
    <t>F3下</t>
  </si>
  <si>
    <t>40.5263</t>
  </si>
  <si>
    <t>50</t>
  </si>
  <si>
    <t xml:space="preserve">Section中-雙短溝 </t>
    <phoneticPr fontId="1" type="noConversion"/>
  </si>
  <si>
    <t>E1下</t>
  </si>
  <si>
    <t>40.5273</t>
  </si>
  <si>
    <t xml:space="preserve">Section間-雙短溝 </t>
    <phoneticPr fontId="1" type="noConversion"/>
  </si>
  <si>
    <t>40.5274</t>
  </si>
  <si>
    <t>Section間-雙長溝</t>
    <phoneticPr fontId="1" type="noConversion"/>
  </si>
  <si>
    <t>40.5275</t>
  </si>
  <si>
    <t xml:space="preserve">Section間-單邊長溝 </t>
    <phoneticPr fontId="1" type="noConversion"/>
  </si>
  <si>
    <t>40.5276</t>
    <phoneticPr fontId="1" type="noConversion"/>
  </si>
  <si>
    <t>01.5356</t>
    <phoneticPr fontId="1" type="noConversion"/>
  </si>
  <si>
    <t>450*75*68</t>
  </si>
  <si>
    <t>SPOUT下方仕舞煉瓦</t>
    <phoneticPr fontId="1" type="noConversion"/>
  </si>
  <si>
    <t>37.5017</t>
    <phoneticPr fontId="1" type="noConversion"/>
  </si>
  <si>
    <t>SPOUT BOTTOM</t>
    <phoneticPr fontId="1" type="noConversion"/>
  </si>
  <si>
    <t>五邊形</t>
  </si>
  <si>
    <t>01.5357</t>
    <phoneticPr fontId="1" type="noConversion"/>
  </si>
  <si>
    <t>300*80*65</t>
    <phoneticPr fontId="1" type="noConversion"/>
  </si>
  <si>
    <t>SPOUT内下層</t>
    <phoneticPr fontId="1" type="noConversion"/>
  </si>
  <si>
    <t>01.5378</t>
    <phoneticPr fontId="1" type="noConversion"/>
  </si>
  <si>
    <t>405*80*65</t>
    <phoneticPr fontId="1" type="noConversion"/>
  </si>
  <si>
    <t>SPOUT内上層</t>
    <phoneticPr fontId="1" type="noConversion"/>
  </si>
  <si>
    <t>D1下</t>
  </si>
  <si>
    <t>40.5265</t>
    <phoneticPr fontId="1" type="noConversion"/>
  </si>
  <si>
    <t>單邊長溝</t>
  </si>
  <si>
    <t>40.5266</t>
  </si>
  <si>
    <t>雙長溝</t>
  </si>
  <si>
    <t>40.5267</t>
  </si>
  <si>
    <t>雙短溝</t>
  </si>
  <si>
    <t>64mm</t>
    <phoneticPr fontId="1" type="noConversion"/>
  </si>
  <si>
    <t>K中</t>
  </si>
  <si>
    <t>01.5367</t>
    <phoneticPr fontId="1" type="noConversion"/>
  </si>
  <si>
    <t>150*90*70</t>
    <phoneticPr fontId="1" type="noConversion"/>
  </si>
  <si>
    <t>90mm</t>
    <phoneticPr fontId="1" type="noConversion"/>
  </si>
  <si>
    <t>01.5368</t>
    <phoneticPr fontId="1" type="noConversion"/>
  </si>
  <si>
    <t>150*85*70</t>
    <phoneticPr fontId="1" type="noConversion"/>
  </si>
  <si>
    <t>85mm</t>
    <phoneticPr fontId="1" type="noConversion"/>
  </si>
  <si>
    <t>01.5369</t>
  </si>
  <si>
    <t>150*80*70</t>
    <phoneticPr fontId="1" type="noConversion"/>
  </si>
  <si>
    <t>80mm 仕舞煉瓦</t>
    <phoneticPr fontId="1" type="noConversion"/>
  </si>
  <si>
    <t>01.5370</t>
    <phoneticPr fontId="1" type="noConversion"/>
  </si>
  <si>
    <t>150*75*70</t>
    <phoneticPr fontId="1" type="noConversion"/>
  </si>
  <si>
    <t>75mm 仕舞煉瓦</t>
    <phoneticPr fontId="1" type="noConversion"/>
  </si>
  <si>
    <t>01.5371</t>
    <phoneticPr fontId="1" type="noConversion"/>
  </si>
  <si>
    <t>150*70*70</t>
    <phoneticPr fontId="1" type="noConversion"/>
  </si>
  <si>
    <t>70mm 仕舞煉瓦</t>
    <phoneticPr fontId="1" type="noConversion"/>
  </si>
  <si>
    <t>37.7092</t>
    <phoneticPr fontId="1" type="noConversion"/>
  </si>
  <si>
    <t>SEAL BRICK</t>
    <phoneticPr fontId="1" type="noConversion"/>
  </si>
  <si>
    <t>21</t>
  </si>
  <si>
    <t>35mm 仙貝煉瓦</t>
    <phoneticPr fontId="1" type="noConversion"/>
  </si>
  <si>
    <t>37.7093</t>
    <phoneticPr fontId="1" type="noConversion"/>
  </si>
  <si>
    <t>23</t>
  </si>
  <si>
    <t>30mm 仙貝煉瓦</t>
    <phoneticPr fontId="1" type="noConversion"/>
  </si>
  <si>
    <t>37.7094</t>
    <phoneticPr fontId="1" type="noConversion"/>
  </si>
  <si>
    <t>28</t>
  </si>
  <si>
    <t>25mm 仙貝煉瓦</t>
    <phoneticPr fontId="1" type="noConversion"/>
  </si>
  <si>
    <t>37.7095</t>
  </si>
  <si>
    <t>20mm 仙貝煉瓦</t>
    <phoneticPr fontId="1" type="noConversion"/>
  </si>
  <si>
    <t>37.7096</t>
  </si>
  <si>
    <t>11</t>
  </si>
  <si>
    <t>15mm 仙貝煉瓦</t>
    <phoneticPr fontId="1" type="noConversion"/>
  </si>
  <si>
    <t>37.7097</t>
  </si>
  <si>
    <t>17</t>
  </si>
  <si>
    <t>10mm 仙貝煉瓦</t>
    <phoneticPr fontId="1" type="noConversion"/>
  </si>
  <si>
    <t>37.7954</t>
    <phoneticPr fontId="1" type="noConversion"/>
  </si>
  <si>
    <t>75mm 仙貝煉瓦</t>
    <phoneticPr fontId="1" type="noConversion"/>
  </si>
  <si>
    <t>02.5327</t>
    <phoneticPr fontId="1" type="noConversion"/>
  </si>
  <si>
    <t>1300*80*40</t>
    <phoneticPr fontId="1" type="noConversion"/>
  </si>
  <si>
    <t>羊羹煉瓦</t>
    <phoneticPr fontId="1" type="noConversion"/>
  </si>
  <si>
    <t>SPRAY MIX S-506</t>
    <phoneticPr fontId="1" type="noConversion"/>
  </si>
  <si>
    <t>ASD-H</t>
    <phoneticPr fontId="1" type="noConversion"/>
  </si>
  <si>
    <t>J上</t>
    <phoneticPr fontId="9" type="noConversion"/>
  </si>
  <si>
    <t>37.5366</t>
    <phoneticPr fontId="1" type="noConversion"/>
  </si>
  <si>
    <t>WEDGE FOR WBT</t>
    <phoneticPr fontId="1" type="noConversion"/>
  </si>
  <si>
    <t>15</t>
  </si>
  <si>
    <t>契煉瓦</t>
  </si>
  <si>
    <t>37.5367</t>
  </si>
  <si>
    <t>18</t>
  </si>
  <si>
    <t>37.5368</t>
  </si>
  <si>
    <t>10</t>
  </si>
  <si>
    <t>▲彙整のボタン使用方法</t>
    <phoneticPr fontId="1" type="noConversion"/>
  </si>
  <si>
    <t>左側儲存格第二列的標題必須保留，</t>
    <phoneticPr fontId="1" type="noConversion"/>
  </si>
  <si>
    <t>按下1, 清除，讓儲存格全部空白 (如下圖)</t>
    <phoneticPr fontId="1" type="noConversion"/>
  </si>
  <si>
    <t>▼再按下2, 彙整按鈕，</t>
    <phoneticPr fontId="1" type="noConversion"/>
  </si>
  <si>
    <t>此時 4區的炉材會自動全部彙整統合。(如下圖)</t>
    <phoneticPr fontId="1" type="noConversion"/>
  </si>
  <si>
    <t>ZF-1F-BCF後方</t>
    <phoneticPr fontId="1" type="noConversion"/>
  </si>
  <si>
    <t>SPOUT 煉瓦</t>
    <phoneticPr fontId="1" type="noConversion"/>
  </si>
  <si>
    <t>-</t>
    <phoneticPr fontId="1" type="noConversion"/>
  </si>
  <si>
    <t>---</t>
    <phoneticPr fontId="1" type="noConversion"/>
  </si>
  <si>
    <t>682*64*52</t>
    <phoneticPr fontId="1" type="noConversion"/>
  </si>
  <si>
    <t>個</t>
    <phoneticPr fontId="1" type="noConversion"/>
  </si>
  <si>
    <t>RB 13</t>
    <phoneticPr fontId="1" type="noConversion"/>
  </si>
  <si>
    <t>HC 10P</t>
    <phoneticPr fontId="1" type="noConversion"/>
  </si>
  <si>
    <t>B2</t>
    <phoneticPr fontId="1" type="noConversion"/>
  </si>
  <si>
    <r>
      <t>素1-F-7</t>
    </r>
    <r>
      <rPr>
        <sz val="12"/>
        <rFont val="細明體"/>
        <family val="2"/>
        <charset val="136"/>
      </rPr>
      <t>9</t>
    </r>
    <phoneticPr fontId="1" type="noConversion"/>
  </si>
  <si>
    <t>01.5121</t>
    <phoneticPr fontId="1" type="noConversion"/>
  </si>
  <si>
    <t>230*114*65</t>
    <phoneticPr fontId="1" type="noConversion"/>
  </si>
  <si>
    <t>B</t>
    <phoneticPr fontId="1" type="noConversion"/>
  </si>
  <si>
    <t>新增日期</t>
    <phoneticPr fontId="1" type="noConversion"/>
  </si>
  <si>
    <t>窯</t>
    <phoneticPr fontId="1" type="noConversion"/>
  </si>
  <si>
    <t>個</t>
    <phoneticPr fontId="1" type="noConversion"/>
  </si>
  <si>
    <t>2023/08/18 新增</t>
    <phoneticPr fontId="1" type="noConversion"/>
  </si>
  <si>
    <t>A</t>
    <phoneticPr fontId="1" type="noConversion"/>
  </si>
  <si>
    <t>---</t>
    <phoneticPr fontId="1" type="noConversion"/>
  </si>
  <si>
    <t>01.7860</t>
    <phoneticPr fontId="1" type="noConversion"/>
  </si>
  <si>
    <t>PEEP HOLE</t>
  </si>
  <si>
    <r>
      <t>KF-1F-Bath</t>
    </r>
    <r>
      <rPr>
        <sz val="12"/>
        <color theme="1"/>
        <rFont val="細明體"/>
        <family val="3"/>
        <charset val="136"/>
      </rPr>
      <t>下</t>
    </r>
    <phoneticPr fontId="1" type="noConversion"/>
  </si>
  <si>
    <t>01.5121</t>
    <phoneticPr fontId="1" type="noConversion"/>
  </si>
  <si>
    <t>230*114*65</t>
    <phoneticPr fontId="1" type="noConversion"/>
  </si>
  <si>
    <t>枚</t>
    <phoneticPr fontId="1" type="noConversion"/>
  </si>
  <si>
    <r>
      <t>KF-1F-Bath下</t>
    </r>
    <r>
      <rPr>
        <sz val="12"/>
        <color theme="1"/>
        <rFont val="細明體"/>
        <family val="3"/>
        <charset val="136"/>
      </rPr>
      <t/>
    </r>
    <phoneticPr fontId="1" type="noConversion"/>
  </si>
  <si>
    <t>窯</t>
    <phoneticPr fontId="1" type="noConversion"/>
  </si>
  <si>
    <t>AZ-GS</t>
    <phoneticPr fontId="1" type="noConversion"/>
  </si>
  <si>
    <t>01.5032</t>
    <phoneticPr fontId="1" type="noConversion"/>
  </si>
  <si>
    <t>300*150*78</t>
    <phoneticPr fontId="1" type="noConversion"/>
  </si>
  <si>
    <r>
      <t>KF-1F-</t>
    </r>
    <r>
      <rPr>
        <sz val="12"/>
        <color theme="1"/>
        <rFont val="細明體"/>
        <family val="3"/>
        <charset val="136"/>
      </rPr>
      <t>窯下</t>
    </r>
    <phoneticPr fontId="1" type="noConversion"/>
  </si>
  <si>
    <t>01.5032</t>
    <phoneticPr fontId="1" type="noConversion"/>
  </si>
  <si>
    <t>300*150*78</t>
    <phoneticPr fontId="1" type="noConversion"/>
  </si>
  <si>
    <t>01.5131</t>
    <phoneticPr fontId="1" type="noConversion"/>
  </si>
  <si>
    <t>300*150*75</t>
    <phoneticPr fontId="1" type="noConversion"/>
  </si>
  <si>
    <t>已標記CF5冷修引當</t>
    <phoneticPr fontId="1" type="noConversion"/>
  </si>
  <si>
    <t>CWK-8</t>
    <phoneticPr fontId="1" type="noConversion"/>
  </si>
  <si>
    <t>01.6360</t>
    <phoneticPr fontId="1" type="noConversion"/>
  </si>
  <si>
    <t>100*50*40</t>
    <phoneticPr fontId="1" type="noConversion"/>
  </si>
  <si>
    <r>
      <t>KF-1F-Bath下</t>
    </r>
    <r>
      <rPr>
        <sz val="12"/>
        <color theme="1"/>
        <rFont val="細明體"/>
        <family val="3"/>
        <charset val="136"/>
      </rPr>
      <t/>
    </r>
    <phoneticPr fontId="1" type="noConversion"/>
  </si>
  <si>
    <t>NEOTEX37</t>
    <phoneticPr fontId="1" type="noConversion"/>
  </si>
  <si>
    <t>01.5131</t>
    <phoneticPr fontId="1" type="noConversion"/>
  </si>
  <si>
    <t>300*150*75</t>
    <phoneticPr fontId="1" type="noConversion"/>
  </si>
  <si>
    <t>NEOTEX37</t>
    <phoneticPr fontId="1" type="noConversion"/>
  </si>
  <si>
    <t>01.5970</t>
    <phoneticPr fontId="1" type="noConversion"/>
  </si>
  <si>
    <t>300*75*75</t>
    <phoneticPr fontId="1" type="noConversion"/>
  </si>
  <si>
    <t>02.8371</t>
    <phoneticPr fontId="1" type="noConversion"/>
  </si>
  <si>
    <t>620*390*65</t>
    <phoneticPr fontId="1" type="noConversion"/>
  </si>
  <si>
    <t>29.5571</t>
    <phoneticPr fontId="1" type="noConversion"/>
  </si>
  <si>
    <r>
      <t>L</t>
    </r>
    <r>
      <rPr>
        <sz val="12"/>
        <color theme="1"/>
        <rFont val="細明體"/>
        <family val="3"/>
        <charset val="136"/>
      </rPr>
      <t>型</t>
    </r>
    <phoneticPr fontId="1" type="noConversion"/>
  </si>
  <si>
    <t>數量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</si>
</sst>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0_);[Red]\(0.00\)"/>
    <numFmt numFmtId="178" formatCode="0.0_ "/>
  </numFmts>
  <fonts count="50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Yu Gothic"/>
      <family val="2"/>
      <charset val="128"/>
    </font>
    <font>
      <sz val="12"/>
      <color theme="1"/>
      <name val="Yu Gothic UI"/>
      <family val="2"/>
    </font>
    <font>
      <sz val="12"/>
      <color theme="1"/>
      <name val="新細明體"/>
      <family val="2"/>
      <charset val="136"/>
      <scheme val="minor"/>
    </font>
    <font>
      <sz val="11"/>
      <name val="ＭＳ Ｐゴシック"/>
      <family val="3"/>
      <charset val="128"/>
    </font>
    <font>
      <sz val="11"/>
      <name val="Yu Gothic"/>
      <family val="2"/>
      <charset val="128"/>
    </font>
    <font>
      <sz val="11"/>
      <color theme="1"/>
      <name val="Yu Gothic"/>
      <family val="2"/>
      <charset val="128"/>
    </font>
    <font>
      <b/>
      <sz val="12"/>
      <name val="Yu Gothic"/>
      <family val="2"/>
      <charset val="128"/>
    </font>
    <font>
      <sz val="6"/>
      <name val="新細明體"/>
      <family val="3"/>
      <charset val="128"/>
      <scheme val="minor"/>
    </font>
    <font>
      <b/>
      <sz val="12"/>
      <color theme="1"/>
      <name val="Yu Gothic"/>
      <family val="2"/>
    </font>
    <font>
      <sz val="12"/>
      <color theme="1"/>
      <name val="Yu Gothic"/>
      <family val="2"/>
    </font>
    <font>
      <sz val="11"/>
      <name val="Yu Gothic"/>
      <family val="2"/>
    </font>
    <font>
      <b/>
      <sz val="11"/>
      <name val="Yu Gothic"/>
      <family val="2"/>
    </font>
    <font>
      <b/>
      <sz val="12"/>
      <color rgb="FFFF0000"/>
      <name val="Yu Gothic"/>
      <family val="2"/>
    </font>
    <font>
      <b/>
      <sz val="11"/>
      <color rgb="FFFF0000"/>
      <name val="Yu Gothic"/>
      <family val="2"/>
    </font>
    <font>
      <sz val="11"/>
      <name val="ＭＳ Ｐゴシック"/>
      <family val="2"/>
    </font>
    <font>
      <sz val="12"/>
      <color theme="1"/>
      <name val="新細明體"/>
      <family val="2"/>
      <scheme val="minor"/>
    </font>
    <font>
      <sz val="11"/>
      <color theme="1"/>
      <name val="Yu Gothic"/>
      <family val="2"/>
    </font>
    <font>
      <sz val="10"/>
      <name val="Yu Gothic"/>
      <family val="2"/>
    </font>
    <font>
      <sz val="11"/>
      <color rgb="FFFF0000"/>
      <name val="Yu Gothic"/>
      <family val="2"/>
    </font>
    <font>
      <sz val="12"/>
      <color theme="1"/>
      <name val="新細明體"/>
      <family val="1"/>
      <charset val="136"/>
      <scheme val="minor"/>
    </font>
    <font>
      <sz val="12"/>
      <color rgb="FF006100"/>
      <name val="新細明體"/>
      <family val="1"/>
      <charset val="136"/>
      <scheme val="minor"/>
    </font>
    <font>
      <sz val="12"/>
      <color rgb="FF9C0006"/>
      <name val="新細明體"/>
      <family val="1"/>
      <charset val="136"/>
      <scheme val="minor"/>
    </font>
    <font>
      <sz val="12"/>
      <color theme="1"/>
      <name val="新細明體"/>
      <family val="2"/>
      <charset val="136"/>
    </font>
    <font>
      <sz val="12"/>
      <name val="Yu Gothic"/>
      <family val="2"/>
      <charset val="128"/>
    </font>
    <font>
      <sz val="12"/>
      <name val="Yu Gothic"/>
      <family val="2"/>
    </font>
    <font>
      <sz val="12"/>
      <name val="微軟正黑體"/>
      <family val="2"/>
      <charset val="136"/>
    </font>
    <font>
      <sz val="6"/>
      <name val="新細明體"/>
      <family val="2"/>
      <charset val="128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2"/>
      <name val="Yu Gothic"/>
      <family val="2"/>
    </font>
    <font>
      <sz val="12"/>
      <color rgb="FFFF0000"/>
      <name val="Yu Gothic"/>
      <family val="2"/>
    </font>
    <font>
      <sz val="12"/>
      <color theme="1"/>
      <name val="新細明體"/>
      <family val="2"/>
    </font>
    <font>
      <sz val="12"/>
      <color theme="1"/>
      <name val="新細明體"/>
      <family val="2"/>
      <charset val="134"/>
    </font>
    <font>
      <sz val="12"/>
      <color indexed="8"/>
      <name val="Yu Gothic"/>
      <family val="2"/>
    </font>
    <font>
      <sz val="12"/>
      <color rgb="FF000000"/>
      <name val="Yu Gothic"/>
      <family val="2"/>
    </font>
    <font>
      <b/>
      <sz val="11"/>
      <color theme="1"/>
      <name val="Yu Gothic"/>
      <family val="2"/>
    </font>
    <font>
      <sz val="11"/>
      <color theme="1"/>
      <name val="Calibri"/>
      <family val="2"/>
    </font>
    <font>
      <sz val="11"/>
      <color theme="1"/>
      <name val="細明體"/>
      <family val="2"/>
      <charset val="136"/>
    </font>
    <font>
      <b/>
      <sz val="9"/>
      <color indexed="81"/>
      <name val="細明體"/>
      <family val="3"/>
      <charset val="136"/>
    </font>
    <font>
      <sz val="9"/>
      <color indexed="81"/>
      <name val="Tahoma"/>
      <family val="2"/>
    </font>
    <font>
      <sz val="12"/>
      <name val="細明體"/>
      <family val="2"/>
      <charset val="136"/>
    </font>
    <font>
      <sz val="12"/>
      <color theme="1"/>
      <name val="細明體"/>
      <family val="2"/>
      <charset val="136"/>
    </font>
    <font>
      <sz val="12"/>
      <color theme="1"/>
      <name val="微軟正黑體"/>
      <family val="2"/>
      <charset val="136"/>
    </font>
    <font>
      <sz val="16"/>
      <color theme="1"/>
      <name val="新細明體"/>
      <family val="1"/>
      <charset val="136"/>
    </font>
    <font>
      <b/>
      <sz val="13"/>
      <color rgb="FF000000"/>
      <name val="Microsoft YaHei"/>
      <family val="2"/>
      <charset val="134"/>
    </font>
    <font>
      <sz val="12"/>
      <color rgb="FFFF0000"/>
      <name val="細明體"/>
      <family val="2"/>
      <charset val="136"/>
    </font>
    <font>
      <sz val="12"/>
      <color theme="1"/>
      <name val="細明體"/>
      <family val="3"/>
      <charset val="136"/>
    </font>
    <font>
      <b/>
      <sz val="12"/>
      <color theme="1"/>
      <name val="細明體"/>
      <family val="2"/>
      <charset val="136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4">
    <xf numFmtId="0" fontId="0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21" fillId="0" borderId="0">
      <alignment vertical="center"/>
    </xf>
    <xf numFmtId="0" fontId="22" fillId="2" borderId="0" applyNumberFormat="0" applyBorder="0" applyAlignment="0" applyProtection="0">
      <alignment vertical="center"/>
    </xf>
    <xf numFmtId="0" fontId="16" fillId="0" borderId="0">
      <alignment vertical="center"/>
    </xf>
    <xf numFmtId="0" fontId="23" fillId="3" borderId="0" applyNumberFormat="0" applyBorder="0" applyAlignment="0" applyProtection="0">
      <alignment vertical="center"/>
    </xf>
    <xf numFmtId="0" fontId="21" fillId="0" borderId="0">
      <alignment vertical="center"/>
    </xf>
    <xf numFmtId="0" fontId="29" fillId="0" borderId="0"/>
    <xf numFmtId="0" fontId="16" fillId="0" borderId="0">
      <alignment vertical="center"/>
    </xf>
    <xf numFmtId="0" fontId="21" fillId="0" borderId="0">
      <alignment vertical="center"/>
    </xf>
    <xf numFmtId="0" fontId="16" fillId="0" borderId="0">
      <alignment vertical="center"/>
    </xf>
  </cellStyleXfs>
  <cellXfs count="43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6" fillId="0" borderId="0" xfId="2" applyFont="1">
      <alignment vertical="center"/>
    </xf>
    <xf numFmtId="38" fontId="6" fillId="0" borderId="0" xfId="1" applyFont="1" applyFill="1" applyAlignment="1">
      <alignment horizontal="right" vertical="center"/>
    </xf>
    <xf numFmtId="38" fontId="6" fillId="0" borderId="0" xfId="1" applyFont="1" applyFill="1" applyAlignment="1"/>
    <xf numFmtId="177" fontId="6" fillId="0" borderId="0" xfId="1" applyNumberFormat="1" applyFont="1" applyFill="1" applyAlignment="1"/>
    <xf numFmtId="0" fontId="6" fillId="0" borderId="0" xfId="2" applyFont="1" applyAlignment="1">
      <alignment horizontal="center" vertical="center"/>
    </xf>
    <xf numFmtId="49" fontId="6" fillId="0" borderId="0" xfId="2" applyNumberFormat="1" applyFont="1" applyAlignment="1">
      <alignment horizontal="center" vertical="center"/>
    </xf>
    <xf numFmtId="0" fontId="7" fillId="0" borderId="0" xfId="2" applyFont="1" applyAlignment="1">
      <alignment horizontal="center" vertical="center"/>
    </xf>
    <xf numFmtId="176" fontId="6" fillId="0" borderId="0" xfId="2" applyNumberFormat="1" applyFont="1" applyAlignment="1">
      <alignment horizontal="center" vertical="center"/>
    </xf>
    <xf numFmtId="38" fontId="6" fillId="0" borderId="0" xfId="1" applyFont="1" applyFill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49" fontId="11" fillId="0" borderId="1" xfId="0" applyNumberFormat="1" applyFont="1" applyBorder="1" applyAlignment="1">
      <alignment horizontal="center" vertical="center"/>
    </xf>
    <xf numFmtId="0" fontId="12" fillId="0" borderId="0" xfId="2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49" fontId="12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177" fontId="12" fillId="0" borderId="4" xfId="2" applyNumberFormat="1" applyFont="1" applyBorder="1" applyAlignment="1">
      <alignment horizontal="center"/>
    </xf>
    <xf numFmtId="0" fontId="12" fillId="0" borderId="5" xfId="2" applyFont="1" applyBorder="1" applyAlignment="1">
      <alignment horizontal="center"/>
    </xf>
    <xf numFmtId="38" fontId="12" fillId="0" borderId="0" xfId="0" applyNumberFormat="1" applyFont="1" applyAlignment="1">
      <alignment horizontal="right" vertical="center"/>
    </xf>
    <xf numFmtId="0" fontId="12" fillId="0" borderId="0" xfId="2" applyFont="1" applyAlignment="1">
      <alignment horizontal="center"/>
    </xf>
    <xf numFmtId="0" fontId="12" fillId="0" borderId="7" xfId="2" applyFont="1" applyBorder="1" applyAlignment="1">
      <alignment horizontal="center" vertical="center"/>
    </xf>
    <xf numFmtId="177" fontId="12" fillId="0" borderId="8" xfId="2" applyNumberFormat="1" applyFont="1" applyBorder="1" applyAlignment="1">
      <alignment horizontal="center" vertical="center"/>
    </xf>
    <xf numFmtId="0" fontId="12" fillId="0" borderId="9" xfId="2" applyFont="1" applyBorder="1" applyAlignment="1">
      <alignment horizontal="center" vertical="center"/>
    </xf>
    <xf numFmtId="177" fontId="12" fillId="0" borderId="10" xfId="2" applyNumberFormat="1" applyFont="1" applyBorder="1" applyAlignment="1">
      <alignment horizontal="center" vertical="center" justifyLastLine="1"/>
    </xf>
    <xf numFmtId="177" fontId="12" fillId="0" borderId="11" xfId="2" applyNumberFormat="1" applyFont="1" applyBorder="1">
      <alignment vertical="center"/>
    </xf>
    <xf numFmtId="0" fontId="12" fillId="0" borderId="12" xfId="2" applyFont="1" applyBorder="1">
      <alignment vertical="center"/>
    </xf>
    <xf numFmtId="0" fontId="11" fillId="0" borderId="0" xfId="0" applyFont="1" applyAlignment="1">
      <alignment horizontal="center" vertical="center"/>
    </xf>
    <xf numFmtId="0" fontId="13" fillId="0" borderId="0" xfId="2" applyFont="1" applyAlignment="1">
      <alignment horizontal="center" vertical="center"/>
    </xf>
    <xf numFmtId="177" fontId="12" fillId="0" borderId="13" xfId="2" applyNumberFormat="1" applyFont="1" applyBorder="1" applyAlignment="1">
      <alignment horizontal="center" vertical="center" justifyLastLine="1"/>
    </xf>
    <xf numFmtId="177" fontId="12" fillId="0" borderId="2" xfId="2" applyNumberFormat="1" applyFont="1" applyBorder="1">
      <alignment vertical="center"/>
    </xf>
    <xf numFmtId="0" fontId="12" fillId="0" borderId="14" xfId="2" applyFont="1" applyBorder="1">
      <alignment vertical="center"/>
    </xf>
    <xf numFmtId="177" fontId="12" fillId="0" borderId="15" xfId="2" applyNumberFormat="1" applyFont="1" applyBorder="1" applyAlignment="1">
      <alignment horizontal="center" vertical="center" justifyLastLine="1"/>
    </xf>
    <xf numFmtId="177" fontId="11" fillId="0" borderId="16" xfId="2" applyNumberFormat="1" applyFont="1" applyBorder="1" applyAlignment="1">
      <alignment horizontal="left" vertical="center"/>
    </xf>
    <xf numFmtId="0" fontId="12" fillId="0" borderId="17" xfId="2" applyFont="1" applyBorder="1" applyAlignment="1">
      <alignment horizontal="left" vertical="center"/>
    </xf>
    <xf numFmtId="177" fontId="19" fillId="0" borderId="0" xfId="2" applyNumberFormat="1" applyFont="1" applyAlignment="1">
      <alignment horizontal="right" vertical="center"/>
    </xf>
    <xf numFmtId="14" fontId="12" fillId="0" borderId="0" xfId="2" applyNumberFormat="1" applyFont="1" applyAlignment="1">
      <alignment horizontal="center" vertical="center"/>
    </xf>
    <xf numFmtId="177" fontId="12" fillId="0" borderId="0" xfId="1" applyNumberFormat="1" applyFont="1" applyFill="1" applyAlignment="1">
      <alignment horizontal="centerContinuous"/>
    </xf>
    <xf numFmtId="56" fontId="12" fillId="0" borderId="0" xfId="2" applyNumberFormat="1" applyFont="1">
      <alignment vertical="center"/>
    </xf>
    <xf numFmtId="0" fontId="20" fillId="0" borderId="0" xfId="2" applyFont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3" fillId="0" borderId="19" xfId="2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2" fillId="0" borderId="13" xfId="2" applyFont="1" applyBorder="1" applyAlignment="1">
      <alignment horizontal="center" vertical="center"/>
    </xf>
    <xf numFmtId="0" fontId="11" fillId="0" borderId="1" xfId="0" quotePrefix="1" applyFont="1" applyBorder="1" applyAlignment="1">
      <alignment horizontal="center" vertical="center"/>
    </xf>
    <xf numFmtId="0" fontId="12" fillId="0" borderId="15" xfId="2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49" fontId="11" fillId="0" borderId="24" xfId="0" applyNumberFormat="1" applyFont="1" applyBorder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178" fontId="11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12" fillId="0" borderId="6" xfId="2" applyNumberFormat="1" applyFont="1" applyBorder="1" applyAlignment="1">
      <alignment horizontal="center" vertical="center"/>
    </xf>
    <xf numFmtId="177" fontId="12" fillId="0" borderId="0" xfId="2" applyNumberFormat="1" applyFont="1">
      <alignment vertical="center"/>
    </xf>
    <xf numFmtId="0" fontId="12" fillId="0" borderId="21" xfId="3" applyFont="1" applyBorder="1" applyAlignment="1">
      <alignment horizontal="center" vertical="center"/>
    </xf>
    <xf numFmtId="0" fontId="11" fillId="0" borderId="3" xfId="4" applyFont="1" applyBorder="1" applyAlignment="1">
      <alignment horizontal="center" vertical="center"/>
    </xf>
    <xf numFmtId="49" fontId="11" fillId="0" borderId="3" xfId="4" applyNumberFormat="1" applyFont="1" applyBorder="1" applyAlignment="1">
      <alignment horizontal="center" vertical="center"/>
    </xf>
    <xf numFmtId="178" fontId="11" fillId="0" borderId="22" xfId="4" applyNumberFormat="1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2" fillId="0" borderId="13" xfId="3" applyFont="1" applyBorder="1" applyAlignment="1">
      <alignment horizontal="center" vertical="center"/>
    </xf>
    <xf numFmtId="0" fontId="11" fillId="0" borderId="1" xfId="4" applyFont="1" applyBorder="1" applyAlignment="1">
      <alignment horizontal="center" vertical="center"/>
    </xf>
    <xf numFmtId="49" fontId="11" fillId="0" borderId="1" xfId="4" applyNumberFormat="1" applyFont="1" applyBorder="1" applyAlignment="1">
      <alignment horizontal="center" vertical="center"/>
    </xf>
    <xf numFmtId="178" fontId="11" fillId="0" borderId="23" xfId="4" applyNumberFormat="1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1" xfId="4" quotePrefix="1" applyFont="1" applyBorder="1" applyAlignment="1">
      <alignment horizontal="center" vertical="center"/>
    </xf>
    <xf numFmtId="176" fontId="11" fillId="0" borderId="23" xfId="4" applyNumberFormat="1" applyFont="1" applyBorder="1" applyAlignment="1">
      <alignment horizontal="center" vertical="center"/>
    </xf>
    <xf numFmtId="55" fontId="11" fillId="0" borderId="23" xfId="0" applyNumberFormat="1" applyFont="1" applyBorder="1" applyAlignment="1">
      <alignment horizontal="center" vertical="center"/>
    </xf>
    <xf numFmtId="49" fontId="11" fillId="0" borderId="1" xfId="4" quotePrefix="1" applyNumberFormat="1" applyFont="1" applyBorder="1" applyAlignment="1">
      <alignment horizontal="center" vertical="center"/>
    </xf>
    <xf numFmtId="178" fontId="11" fillId="0" borderId="23" xfId="4" quotePrefix="1" applyNumberFormat="1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49" fontId="26" fillId="0" borderId="0" xfId="0" applyNumberFormat="1" applyFont="1" applyAlignment="1">
      <alignment horizontal="center" vertical="center"/>
    </xf>
    <xf numFmtId="38" fontId="26" fillId="0" borderId="0" xfId="0" applyNumberFormat="1" applyFont="1" applyAlignment="1">
      <alignment horizontal="right" vertical="center"/>
    </xf>
    <xf numFmtId="38" fontId="26" fillId="0" borderId="0" xfId="1" applyFont="1" applyFill="1" applyAlignment="1"/>
    <xf numFmtId="0" fontId="26" fillId="0" borderId="0" xfId="2" applyFont="1" applyAlignment="1">
      <alignment horizontal="center"/>
    </xf>
    <xf numFmtId="177" fontId="26" fillId="0" borderId="6" xfId="2" applyNumberFormat="1" applyFont="1" applyBorder="1" applyAlignment="1">
      <alignment horizontal="center" vertical="center"/>
    </xf>
    <xf numFmtId="0" fontId="26" fillId="0" borderId="0" xfId="2" applyFont="1" applyAlignment="1">
      <alignment horizontal="left" vertical="center"/>
    </xf>
    <xf numFmtId="0" fontId="31" fillId="0" borderId="0" xfId="2" applyFont="1" applyAlignment="1">
      <alignment horizontal="left" vertical="center"/>
    </xf>
    <xf numFmtId="177" fontId="26" fillId="0" borderId="8" xfId="2" applyNumberFormat="1" applyFont="1" applyBorder="1" applyAlignment="1">
      <alignment horizontal="center" vertical="center"/>
    </xf>
    <xf numFmtId="0" fontId="26" fillId="0" borderId="0" xfId="2" applyFont="1">
      <alignment vertical="center"/>
    </xf>
    <xf numFmtId="49" fontId="26" fillId="0" borderId="0" xfId="2" applyNumberFormat="1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14" fontId="26" fillId="0" borderId="0" xfId="2" applyNumberFormat="1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26" fillId="0" borderId="13" xfId="2" applyFont="1" applyBorder="1" applyAlignment="1">
      <alignment horizontal="center" vertical="center"/>
    </xf>
    <xf numFmtId="0" fontId="11" fillId="0" borderId="1" xfId="9" applyFont="1" applyBorder="1" applyAlignment="1">
      <alignment horizontal="center" vertical="center"/>
    </xf>
    <xf numFmtId="0" fontId="11" fillId="0" borderId="1" xfId="9" quotePrefix="1" applyFont="1" applyBorder="1" applyAlignment="1">
      <alignment horizontal="center" vertical="center"/>
    </xf>
    <xf numFmtId="0" fontId="26" fillId="0" borderId="21" xfId="2" applyFont="1" applyBorder="1" applyAlignment="1">
      <alignment horizontal="center" vertical="center"/>
    </xf>
    <xf numFmtId="177" fontId="26" fillId="0" borderId="0" xfId="2" applyNumberFormat="1" applyFont="1" applyAlignment="1">
      <alignment horizontal="center" vertical="center"/>
    </xf>
    <xf numFmtId="177" fontId="26" fillId="0" borderId="0" xfId="1" applyNumberFormat="1" applyFont="1" applyFill="1" applyAlignment="1">
      <alignment horizontal="center" vertical="center"/>
    </xf>
    <xf numFmtId="177" fontId="26" fillId="0" borderId="4" xfId="2" applyNumberFormat="1" applyFont="1" applyBorder="1" applyAlignment="1">
      <alignment horizontal="center" vertical="center"/>
    </xf>
    <xf numFmtId="177" fontId="26" fillId="0" borderId="0" xfId="2" applyNumberFormat="1" applyFont="1" applyAlignment="1">
      <alignment horizontal="left" vertical="center"/>
    </xf>
    <xf numFmtId="38" fontId="26" fillId="0" borderId="0" xfId="0" applyNumberFormat="1" applyFont="1" applyAlignment="1">
      <alignment horizontal="center" vertical="center"/>
    </xf>
    <xf numFmtId="177" fontId="26" fillId="0" borderId="0" xfId="1" applyNumberFormat="1" applyFont="1" applyFill="1" applyAlignment="1">
      <alignment horizontal="left" vertical="center"/>
    </xf>
    <xf numFmtId="56" fontId="26" fillId="0" borderId="0" xfId="2" applyNumberFormat="1" applyFont="1" applyAlignment="1">
      <alignment horizontal="center" vertical="center"/>
    </xf>
    <xf numFmtId="177" fontId="11" fillId="0" borderId="3" xfId="4" applyNumberFormat="1" applyFont="1" applyBorder="1" applyAlignment="1">
      <alignment horizontal="center" vertical="center"/>
    </xf>
    <xf numFmtId="0" fontId="32" fillId="0" borderId="1" xfId="9" applyFont="1" applyBorder="1" applyAlignment="1">
      <alignment horizontal="center" vertical="center"/>
    </xf>
    <xf numFmtId="0" fontId="32" fillId="0" borderId="1" xfId="9" quotePrefix="1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2" fillId="0" borderId="23" xfId="0" applyFont="1" applyBorder="1" applyAlignment="1">
      <alignment horizontal="center" vertical="center"/>
    </xf>
    <xf numFmtId="177" fontId="11" fillId="0" borderId="1" xfId="4" applyNumberFormat="1" applyFont="1" applyBorder="1" applyAlignment="1">
      <alignment horizontal="center" vertical="center"/>
    </xf>
    <xf numFmtId="177" fontId="11" fillId="0" borderId="1" xfId="4" quotePrefix="1" applyNumberFormat="1" applyFont="1" applyBorder="1" applyAlignment="1">
      <alignment horizontal="center" vertical="center"/>
    </xf>
    <xf numFmtId="177" fontId="11" fillId="0" borderId="1" xfId="0" applyNumberFormat="1" applyFont="1" applyBorder="1" applyAlignment="1">
      <alignment horizontal="center" vertical="center"/>
    </xf>
    <xf numFmtId="0" fontId="32" fillId="0" borderId="1" xfId="4" quotePrefix="1" applyFont="1" applyBorder="1" applyAlignment="1">
      <alignment horizontal="center" vertical="center"/>
    </xf>
    <xf numFmtId="177" fontId="32" fillId="0" borderId="1" xfId="0" applyNumberFormat="1" applyFont="1" applyBorder="1" applyAlignment="1">
      <alignment horizontal="center" vertical="center"/>
    </xf>
    <xf numFmtId="0" fontId="26" fillId="0" borderId="15" xfId="2" applyFont="1" applyBorder="1" applyAlignment="1">
      <alignment horizontal="center" vertical="center"/>
    </xf>
    <xf numFmtId="177" fontId="11" fillId="0" borderId="24" xfId="0" applyNumberFormat="1" applyFont="1" applyBorder="1" applyAlignment="1">
      <alignment horizontal="center" vertical="center"/>
    </xf>
    <xf numFmtId="0" fontId="26" fillId="0" borderId="13" xfId="7" applyFont="1" applyBorder="1" applyAlignment="1">
      <alignment horizontal="center" vertical="center"/>
    </xf>
    <xf numFmtId="0" fontId="11" fillId="0" borderId="1" xfId="5" applyFont="1" applyBorder="1" applyAlignment="1">
      <alignment horizontal="center" vertical="center"/>
    </xf>
    <xf numFmtId="0" fontId="26" fillId="0" borderId="1" xfId="5" applyFont="1" applyBorder="1" applyAlignment="1">
      <alignment horizontal="center" vertical="center"/>
    </xf>
    <xf numFmtId="49" fontId="11" fillId="0" borderId="1" xfId="5" applyNumberFormat="1" applyFont="1" applyBorder="1" applyAlignment="1">
      <alignment horizontal="center" vertical="center"/>
    </xf>
    <xf numFmtId="0" fontId="11" fillId="0" borderId="1" xfId="5" quotePrefix="1" applyFont="1" applyBorder="1" applyAlignment="1">
      <alignment horizontal="center" vertical="center"/>
    </xf>
    <xf numFmtId="0" fontId="11" fillId="0" borderId="1" xfId="5" applyFont="1" applyBorder="1" applyAlignment="1">
      <alignment horizontal="center" vertical="center" shrinkToFit="1"/>
    </xf>
    <xf numFmtId="38" fontId="26" fillId="0" borderId="0" xfId="1" applyFont="1" applyFill="1" applyAlignment="1">
      <alignment horizontal="center" vertical="center"/>
    </xf>
    <xf numFmtId="0" fontId="11" fillId="0" borderId="0" xfId="0" applyFont="1">
      <alignment vertical="center"/>
    </xf>
    <xf numFmtId="49" fontId="11" fillId="0" borderId="1" xfId="0" quotePrefix="1" applyNumberFormat="1" applyFont="1" applyBorder="1" applyAlignment="1">
      <alignment horizontal="center" vertical="center"/>
    </xf>
    <xf numFmtId="177" fontId="25" fillId="0" borderId="0" xfId="2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77" fontId="11" fillId="0" borderId="0" xfId="0" applyNumberFormat="1" applyFont="1" applyAlignment="1">
      <alignment horizontal="center" vertical="center"/>
    </xf>
    <xf numFmtId="0" fontId="11" fillId="0" borderId="24" xfId="12" applyFont="1" applyBorder="1" applyAlignment="1">
      <alignment horizontal="center" vertical="center"/>
    </xf>
    <xf numFmtId="49" fontId="32" fillId="0" borderId="23" xfId="0" applyNumberFormat="1" applyFont="1" applyBorder="1" applyAlignment="1">
      <alignment horizontal="left" vertical="center"/>
    </xf>
    <xf numFmtId="0" fontId="32" fillId="0" borderId="1" xfId="0" quotePrefix="1" applyFont="1" applyBorder="1" applyAlignment="1">
      <alignment horizontal="center" vertical="center"/>
    </xf>
    <xf numFmtId="0" fontId="32" fillId="0" borderId="1" xfId="5" applyFont="1" applyBorder="1" applyAlignment="1">
      <alignment horizontal="center" vertical="center"/>
    </xf>
    <xf numFmtId="0" fontId="32" fillId="0" borderId="1" xfId="10" applyFont="1" applyBorder="1" applyAlignment="1">
      <alignment horizontal="center" vertical="center"/>
    </xf>
    <xf numFmtId="0" fontId="11" fillId="0" borderId="1" xfId="12" applyFont="1" applyBorder="1" applyAlignment="1">
      <alignment horizontal="center" vertical="center"/>
    </xf>
    <xf numFmtId="0" fontId="11" fillId="0" borderId="23" xfId="0" applyFont="1" applyBorder="1" applyAlignment="1">
      <alignment horizontal="left" vertical="center"/>
    </xf>
    <xf numFmtId="0" fontId="11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177" fontId="26" fillId="0" borderId="1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49" fontId="26" fillId="0" borderId="1" xfId="0" applyNumberFormat="1" applyFont="1" applyBorder="1" applyAlignment="1">
      <alignment horizontal="center" vertical="center"/>
    </xf>
    <xf numFmtId="0" fontId="26" fillId="0" borderId="1" xfId="9" applyFont="1" applyBorder="1" applyAlignment="1">
      <alignment horizontal="center" vertical="center"/>
    </xf>
    <xf numFmtId="49" fontId="32" fillId="0" borderId="1" xfId="0" applyNumberFormat="1" applyFont="1" applyBorder="1" applyAlignment="1">
      <alignment horizontal="center" vertical="center"/>
    </xf>
    <xf numFmtId="177" fontId="32" fillId="0" borderId="1" xfId="0" quotePrefix="1" applyNumberFormat="1" applyFont="1" applyBorder="1" applyAlignment="1">
      <alignment horizontal="center" vertical="center"/>
    </xf>
    <xf numFmtId="0" fontId="32" fillId="0" borderId="23" xfId="0" applyFont="1" applyBorder="1" applyAlignment="1">
      <alignment horizontal="left" vertical="center"/>
    </xf>
    <xf numFmtId="0" fontId="32" fillId="0" borderId="23" xfId="10" quotePrefix="1" applyFont="1" applyBorder="1" applyAlignment="1">
      <alignment horizontal="left" vertical="center"/>
    </xf>
    <xf numFmtId="49" fontId="32" fillId="0" borderId="1" xfId="0" quotePrefix="1" applyNumberFormat="1" applyFont="1" applyBorder="1" applyAlignment="1">
      <alignment horizontal="center" vertical="center"/>
    </xf>
    <xf numFmtId="177" fontId="26" fillId="0" borderId="1" xfId="0" quotePrefix="1" applyNumberFormat="1" applyFont="1" applyBorder="1" applyAlignment="1">
      <alignment horizontal="center" vertical="center"/>
    </xf>
    <xf numFmtId="0" fontId="32" fillId="0" borderId="0" xfId="0" applyFont="1">
      <alignment vertical="center"/>
    </xf>
    <xf numFmtId="49" fontId="11" fillId="0" borderId="1" xfId="12" applyNumberFormat="1" applyFont="1" applyBorder="1" applyAlignment="1">
      <alignment horizontal="center" vertical="center"/>
    </xf>
    <xf numFmtId="177" fontId="36" fillId="0" borderId="1" xfId="0" applyNumberFormat="1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2" fillId="0" borderId="1" xfId="4" applyFont="1" applyBorder="1" applyAlignment="1">
      <alignment horizontal="center" vertical="center"/>
    </xf>
    <xf numFmtId="0" fontId="32" fillId="0" borderId="23" xfId="0" quotePrefix="1" applyFont="1" applyBorder="1" applyAlignment="1">
      <alignment horizontal="left" vertical="center"/>
    </xf>
    <xf numFmtId="0" fontId="11" fillId="0" borderId="22" xfId="0" applyFont="1" applyBorder="1" applyAlignment="1">
      <alignment horizontal="left" vertical="center"/>
    </xf>
    <xf numFmtId="177" fontId="32" fillId="0" borderId="3" xfId="0" quotePrefix="1" applyNumberFormat="1" applyFont="1" applyBorder="1" applyAlignment="1">
      <alignment horizontal="center" vertical="center"/>
    </xf>
    <xf numFmtId="0" fontId="32" fillId="0" borderId="3" xfId="5" applyFont="1" applyBorder="1" applyAlignment="1">
      <alignment horizontal="center" vertical="center"/>
    </xf>
    <xf numFmtId="0" fontId="32" fillId="0" borderId="3" xfId="4" applyFont="1" applyBorder="1" applyAlignment="1">
      <alignment horizontal="center" vertical="center"/>
    </xf>
    <xf numFmtId="0" fontId="32" fillId="0" borderId="3" xfId="0" quotePrefix="1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177" fontId="10" fillId="0" borderId="27" xfId="0" applyNumberFormat="1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31" fillId="0" borderId="27" xfId="2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177" fontId="11" fillId="0" borderId="29" xfId="2" applyNumberFormat="1" applyFont="1" applyBorder="1" applyAlignment="1">
      <alignment horizontal="center" vertical="center"/>
    </xf>
    <xf numFmtId="177" fontId="11" fillId="0" borderId="30" xfId="2" applyNumberFormat="1" applyFont="1" applyBorder="1" applyAlignment="1">
      <alignment horizontal="center" vertical="center"/>
    </xf>
    <xf numFmtId="177" fontId="26" fillId="0" borderId="0" xfId="2" applyNumberFormat="1" applyFont="1" applyAlignment="1">
      <alignment horizontal="left" vertical="center" justifyLastLine="1"/>
    </xf>
    <xf numFmtId="177" fontId="26" fillId="0" borderId="31" xfId="2" applyNumberFormat="1" applyFont="1" applyBorder="1" applyAlignment="1">
      <alignment horizontal="left" vertical="center" justifyLastLine="1"/>
    </xf>
    <xf numFmtId="177" fontId="26" fillId="0" borderId="32" xfId="2" applyNumberFormat="1" applyFont="1" applyBorder="1" applyAlignment="1">
      <alignment horizontal="left" vertical="center" justifyLastLine="1"/>
    </xf>
    <xf numFmtId="177" fontId="26" fillId="0" borderId="33" xfId="2" applyNumberFormat="1" applyFont="1" applyBorder="1" applyAlignment="1">
      <alignment horizontal="left" vertical="center" justifyLastLine="1"/>
    </xf>
    <xf numFmtId="14" fontId="26" fillId="0" borderId="0" xfId="2" applyNumberFormat="1" applyFont="1" applyAlignment="1">
      <alignment horizontal="left" vertical="center"/>
    </xf>
    <xf numFmtId="177" fontId="26" fillId="0" borderId="9" xfId="2" applyNumberFormat="1" applyFont="1" applyBorder="1" applyAlignment="1">
      <alignment horizontal="center" vertical="center"/>
    </xf>
    <xf numFmtId="177" fontId="26" fillId="0" borderId="7" xfId="2" applyNumberFormat="1" applyFont="1" applyBorder="1" applyAlignment="1">
      <alignment horizontal="center" vertical="center"/>
    </xf>
    <xf numFmtId="0" fontId="26" fillId="0" borderId="21" xfId="7" applyFont="1" applyBorder="1" applyAlignment="1">
      <alignment horizontal="center" vertical="center"/>
    </xf>
    <xf numFmtId="0" fontId="11" fillId="0" borderId="3" xfId="5" applyFont="1" applyBorder="1" applyAlignment="1">
      <alignment horizontal="center" vertical="center"/>
    </xf>
    <xf numFmtId="49" fontId="11" fillId="0" borderId="3" xfId="5" applyNumberFormat="1" applyFont="1" applyBorder="1" applyAlignment="1">
      <alignment horizontal="center" vertical="center"/>
    </xf>
    <xf numFmtId="0" fontId="11" fillId="0" borderId="3" xfId="5" quotePrefix="1" applyFont="1" applyBorder="1" applyAlignment="1">
      <alignment horizontal="center" vertical="center"/>
    </xf>
    <xf numFmtId="177" fontId="11" fillId="0" borderId="3" xfId="4" quotePrefix="1" applyNumberFormat="1" applyFont="1" applyBorder="1" applyAlignment="1">
      <alignment horizontal="center" vertical="center"/>
    </xf>
    <xf numFmtId="177" fontId="11" fillId="0" borderId="1" xfId="5" applyNumberFormat="1" applyFont="1" applyBorder="1" applyAlignment="1">
      <alignment horizontal="center" vertical="center"/>
    </xf>
    <xf numFmtId="49" fontId="26" fillId="0" borderId="1" xfId="10" quotePrefix="1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3" xfId="9" applyFont="1" applyBorder="1" applyAlignment="1">
      <alignment horizontal="center" vertical="center"/>
    </xf>
    <xf numFmtId="0" fontId="11" fillId="0" borderId="3" xfId="9" quotePrefix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" xfId="10" quotePrefix="1" applyFont="1" applyBorder="1" applyAlignment="1">
      <alignment horizontal="center" vertical="center"/>
    </xf>
    <xf numFmtId="49" fontId="11" fillId="0" borderId="1" xfId="10" quotePrefix="1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38" fontId="25" fillId="0" borderId="0" xfId="1" applyFont="1" applyFill="1" applyAlignment="1">
      <alignment vertical="center"/>
    </xf>
    <xf numFmtId="38" fontId="26" fillId="0" borderId="0" xfId="1" applyFont="1" applyFill="1" applyAlignment="1">
      <alignment horizontal="left" vertical="center"/>
    </xf>
    <xf numFmtId="49" fontId="10" fillId="0" borderId="27" xfId="0" applyNumberFormat="1" applyFont="1" applyBorder="1" applyAlignment="1">
      <alignment horizontal="center" vertical="center"/>
    </xf>
    <xf numFmtId="0" fontId="32" fillId="0" borderId="3" xfId="10" quotePrefix="1" applyFont="1" applyBorder="1" applyAlignment="1">
      <alignment horizontal="center" vertical="center"/>
    </xf>
    <xf numFmtId="49" fontId="32" fillId="0" borderId="3" xfId="9" applyNumberFormat="1" applyFont="1" applyBorder="1" applyAlignment="1">
      <alignment horizontal="center" vertical="center"/>
    </xf>
    <xf numFmtId="0" fontId="32" fillId="0" borderId="3" xfId="9" applyFont="1" applyBorder="1" applyAlignment="1">
      <alignment horizontal="center" vertical="center"/>
    </xf>
    <xf numFmtId="177" fontId="32" fillId="0" borderId="3" xfId="10" quotePrefix="1" applyNumberFormat="1" applyFont="1" applyBorder="1" applyAlignment="1">
      <alignment horizontal="center" vertical="center"/>
    </xf>
    <xf numFmtId="0" fontId="32" fillId="0" borderId="22" xfId="0" applyFont="1" applyBorder="1">
      <alignment vertical="center"/>
    </xf>
    <xf numFmtId="0" fontId="32" fillId="0" borderId="1" xfId="10" quotePrefix="1" applyFont="1" applyBorder="1" applyAlignment="1">
      <alignment horizontal="center" vertical="center"/>
    </xf>
    <xf numFmtId="49" fontId="32" fillId="0" borderId="1" xfId="9" applyNumberFormat="1" applyFont="1" applyBorder="1" applyAlignment="1">
      <alignment horizontal="center" vertical="center"/>
    </xf>
    <xf numFmtId="177" fontId="32" fillId="0" borderId="1" xfId="10" quotePrefix="1" applyNumberFormat="1" applyFont="1" applyBorder="1" applyAlignment="1">
      <alignment horizontal="center" vertical="center"/>
    </xf>
    <xf numFmtId="0" fontId="32" fillId="0" borderId="23" xfId="0" applyFont="1" applyBorder="1">
      <alignment vertical="center"/>
    </xf>
    <xf numFmtId="49" fontId="32" fillId="0" borderId="1" xfId="9" quotePrefix="1" applyNumberFormat="1" applyFont="1" applyBorder="1" applyAlignment="1">
      <alignment horizontal="center" vertical="center"/>
    </xf>
    <xf numFmtId="0" fontId="11" fillId="0" borderId="23" xfId="0" applyFont="1" applyBorder="1">
      <alignment vertical="center"/>
    </xf>
    <xf numFmtId="49" fontId="11" fillId="0" borderId="1" xfId="9" quotePrefix="1" applyNumberFormat="1" applyFont="1" applyBorder="1" applyAlignment="1">
      <alignment horizontal="center" vertical="center"/>
    </xf>
    <xf numFmtId="177" fontId="11" fillId="0" borderId="1" xfId="10" quotePrefix="1" applyNumberFormat="1" applyFont="1" applyBorder="1" applyAlignment="1">
      <alignment horizontal="center" vertical="center"/>
    </xf>
    <xf numFmtId="49" fontId="11" fillId="0" borderId="1" xfId="9" applyNumberFormat="1" applyFont="1" applyBorder="1" applyAlignment="1">
      <alignment horizontal="center" vertical="center"/>
    </xf>
    <xf numFmtId="49" fontId="32" fillId="0" borderId="1" xfId="10" quotePrefix="1" applyNumberFormat="1" applyFont="1" applyBorder="1" applyAlignment="1">
      <alignment horizontal="center" vertical="center"/>
    </xf>
    <xf numFmtId="0" fontId="11" fillId="0" borderId="23" xfId="10" quotePrefix="1" applyFont="1" applyBorder="1" applyAlignment="1">
      <alignment vertical="center"/>
    </xf>
    <xf numFmtId="0" fontId="32" fillId="0" borderId="23" xfId="10" quotePrefix="1" applyFont="1" applyBorder="1" applyAlignment="1">
      <alignment vertical="center"/>
    </xf>
    <xf numFmtId="0" fontId="11" fillId="0" borderId="1" xfId="9" applyFont="1" applyBorder="1" applyAlignment="1">
      <alignment horizontal="center" vertical="center" wrapText="1"/>
    </xf>
    <xf numFmtId="49" fontId="11" fillId="0" borderId="1" xfId="0" applyNumberFormat="1" applyFont="1" applyBorder="1" applyAlignment="1">
      <alignment horizontal="center" vertical="center" wrapText="1"/>
    </xf>
    <xf numFmtId="0" fontId="11" fillId="0" borderId="23" xfId="9" applyFont="1" applyBorder="1">
      <alignment vertical="center"/>
    </xf>
    <xf numFmtId="49" fontId="32" fillId="0" borderId="1" xfId="0" applyNumberFormat="1" applyFont="1" applyBorder="1" applyAlignment="1">
      <alignment horizontal="center" vertical="center" wrapText="1"/>
    </xf>
    <xf numFmtId="177" fontId="26" fillId="0" borderId="1" xfId="10" quotePrefix="1" applyNumberFormat="1" applyFont="1" applyBorder="1" applyAlignment="1">
      <alignment horizontal="center" vertical="center"/>
    </xf>
    <xf numFmtId="0" fontId="11" fillId="0" borderId="23" xfId="0" quotePrefix="1" applyFont="1" applyBorder="1">
      <alignment vertical="center"/>
    </xf>
    <xf numFmtId="0" fontId="11" fillId="0" borderId="1" xfId="0" quotePrefix="1" applyFont="1" applyBorder="1" applyAlignment="1">
      <alignment horizontal="center" vertical="center" wrapText="1"/>
    </xf>
    <xf numFmtId="0" fontId="26" fillId="0" borderId="23" xfId="0" applyFont="1" applyBorder="1">
      <alignment vertical="center"/>
    </xf>
    <xf numFmtId="49" fontId="11" fillId="0" borderId="1" xfId="0" quotePrefix="1" applyNumberFormat="1" applyFont="1" applyBorder="1" applyAlignment="1">
      <alignment horizontal="center" vertical="center" wrapText="1"/>
    </xf>
    <xf numFmtId="49" fontId="32" fillId="0" borderId="23" xfId="0" applyNumberFormat="1" applyFont="1" applyBorder="1" applyAlignment="1">
      <alignment vertical="center" wrapText="1"/>
    </xf>
    <xf numFmtId="0" fontId="11" fillId="0" borderId="23" xfId="0" applyFont="1" applyBorder="1" applyAlignment="1">
      <alignment vertical="center" wrapText="1"/>
    </xf>
    <xf numFmtId="0" fontId="11" fillId="4" borderId="1" xfId="10" applyFont="1" applyFill="1" applyBorder="1" applyAlignment="1">
      <alignment horizontal="center" vertical="center"/>
    </xf>
    <xf numFmtId="49" fontId="11" fillId="4" borderId="1" xfId="10" applyNumberFormat="1" applyFont="1" applyFill="1" applyBorder="1" applyAlignment="1">
      <alignment horizontal="center" vertical="center"/>
    </xf>
    <xf numFmtId="0" fontId="26" fillId="4" borderId="1" xfId="10" applyFont="1" applyFill="1" applyBorder="1" applyAlignment="1">
      <alignment horizontal="center" vertical="center"/>
    </xf>
    <xf numFmtId="49" fontId="26" fillId="4" borderId="1" xfId="10" applyNumberFormat="1" applyFont="1" applyFill="1" applyBorder="1" applyAlignment="1">
      <alignment horizontal="center" vertical="center"/>
    </xf>
    <xf numFmtId="0" fontId="26" fillId="0" borderId="1" xfId="10" quotePrefix="1" applyFont="1" applyBorder="1" applyAlignment="1">
      <alignment horizontal="center" vertical="center"/>
    </xf>
    <xf numFmtId="49" fontId="11" fillId="0" borderId="1" xfId="10" applyNumberFormat="1" applyFont="1" applyBorder="1" applyAlignment="1">
      <alignment horizontal="center" vertical="center"/>
    </xf>
    <xf numFmtId="49" fontId="32" fillId="0" borderId="1" xfId="10" applyNumberFormat="1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49" fontId="36" fillId="0" borderId="1" xfId="0" applyNumberFormat="1" applyFont="1" applyBorder="1" applyAlignment="1">
      <alignment horizontal="center" vertical="center"/>
    </xf>
    <xf numFmtId="49" fontId="36" fillId="0" borderId="1" xfId="0" quotePrefix="1" applyNumberFormat="1" applyFont="1" applyBorder="1" applyAlignment="1">
      <alignment horizontal="center" vertical="center"/>
    </xf>
    <xf numFmtId="0" fontId="26" fillId="0" borderId="13" xfId="11" applyFont="1" applyBorder="1" applyAlignment="1">
      <alignment horizontal="center" vertical="center"/>
    </xf>
    <xf numFmtId="0" fontId="11" fillId="0" borderId="1" xfId="10" applyFont="1" applyBorder="1" applyAlignment="1">
      <alignment horizontal="center" vertical="center"/>
    </xf>
    <xf numFmtId="49" fontId="11" fillId="0" borderId="23" xfId="10" applyNumberFormat="1" applyFont="1" applyBorder="1" applyAlignment="1">
      <alignment vertical="center"/>
    </xf>
    <xf numFmtId="0" fontId="11" fillId="0" borderId="13" xfId="10" applyFont="1" applyBorder="1" applyAlignment="1">
      <alignment horizontal="center" vertical="center"/>
    </xf>
    <xf numFmtId="49" fontId="32" fillId="0" borderId="23" xfId="10" applyNumberFormat="1" applyFont="1" applyBorder="1" applyAlignment="1">
      <alignment vertical="center"/>
    </xf>
    <xf numFmtId="0" fontId="11" fillId="0" borderId="23" xfId="10" applyFont="1" applyBorder="1" applyAlignment="1">
      <alignment vertical="center"/>
    </xf>
    <xf numFmtId="0" fontId="11" fillId="0" borderId="0" xfId="10" applyFont="1" applyAlignment="1">
      <alignment horizontal="left" vertical="center"/>
    </xf>
    <xf numFmtId="0" fontId="11" fillId="0" borderId="0" xfId="10" applyFont="1" applyAlignment="1">
      <alignment horizontal="center" vertical="center"/>
    </xf>
    <xf numFmtId="0" fontId="11" fillId="0" borderId="0" xfId="10" quotePrefix="1" applyFont="1" applyAlignment="1">
      <alignment horizontal="left" vertical="center"/>
    </xf>
    <xf numFmtId="49" fontId="11" fillId="0" borderId="0" xfId="10" applyNumberFormat="1" applyFont="1" applyAlignment="1">
      <alignment horizontal="left" vertical="center"/>
    </xf>
    <xf numFmtId="49" fontId="11" fillId="0" borderId="0" xfId="10" applyNumberFormat="1" applyFont="1" applyAlignment="1">
      <alignment horizontal="center" vertical="center"/>
    </xf>
    <xf numFmtId="0" fontId="26" fillId="0" borderId="13" xfId="3" applyFont="1" applyBorder="1" applyAlignment="1">
      <alignment horizontal="center" vertical="center"/>
    </xf>
    <xf numFmtId="0" fontId="11" fillId="0" borderId="0" xfId="4" applyFont="1" applyAlignment="1">
      <alignment horizontal="left" vertical="center"/>
    </xf>
    <xf numFmtId="0" fontId="11" fillId="0" borderId="0" xfId="4" applyFont="1" applyAlignment="1">
      <alignment horizontal="center" vertical="center"/>
    </xf>
    <xf numFmtId="0" fontId="26" fillId="0" borderId="1" xfId="10" applyFont="1" applyBorder="1" applyAlignment="1">
      <alignment horizontal="center" vertical="center"/>
    </xf>
    <xf numFmtId="49" fontId="26" fillId="0" borderId="1" xfId="10" applyNumberFormat="1" applyFont="1" applyBorder="1" applyAlignment="1">
      <alignment horizontal="center" vertical="center"/>
    </xf>
    <xf numFmtId="0" fontId="36" fillId="0" borderId="1" xfId="10" applyFont="1" applyBorder="1" applyAlignment="1">
      <alignment horizontal="center" vertical="center"/>
    </xf>
    <xf numFmtId="0" fontId="11" fillId="0" borderId="23" xfId="4" quotePrefix="1" applyFont="1" applyBorder="1">
      <alignment vertical="center"/>
    </xf>
    <xf numFmtId="0" fontId="11" fillId="0" borderId="23" xfId="4" applyFont="1" applyBorder="1">
      <alignment vertical="center"/>
    </xf>
    <xf numFmtId="0" fontId="11" fillId="0" borderId="1" xfId="10" applyFont="1" applyBorder="1" applyAlignment="1">
      <alignment horizontal="center" vertical="center" wrapText="1"/>
    </xf>
    <xf numFmtId="0" fontId="11" fillId="0" borderId="15" xfId="10" applyFont="1" applyBorder="1" applyAlignment="1">
      <alignment horizontal="center" vertical="center"/>
    </xf>
    <xf numFmtId="0" fontId="11" fillId="0" borderId="24" xfId="4" applyFont="1" applyBorder="1" applyAlignment="1">
      <alignment horizontal="center" vertical="center"/>
    </xf>
    <xf numFmtId="0" fontId="11" fillId="0" borderId="24" xfId="10" applyFont="1" applyBorder="1" applyAlignment="1">
      <alignment horizontal="center" vertical="center"/>
    </xf>
    <xf numFmtId="49" fontId="11" fillId="0" borderId="24" xfId="10" quotePrefix="1" applyNumberFormat="1" applyFont="1" applyBorder="1" applyAlignment="1">
      <alignment horizontal="center" vertical="center"/>
    </xf>
    <xf numFmtId="49" fontId="11" fillId="0" borderId="24" xfId="10" applyNumberFormat="1" applyFont="1" applyBorder="1" applyAlignment="1">
      <alignment horizontal="center" vertical="center"/>
    </xf>
    <xf numFmtId="177" fontId="11" fillId="0" borderId="24" xfId="10" quotePrefix="1" applyNumberFormat="1" applyFont="1" applyBorder="1" applyAlignment="1">
      <alignment horizontal="center" vertical="center"/>
    </xf>
    <xf numFmtId="49" fontId="11" fillId="0" borderId="25" xfId="10" applyNumberFormat="1" applyFont="1" applyBorder="1" applyAlignment="1">
      <alignment vertical="center"/>
    </xf>
    <xf numFmtId="0" fontId="26" fillId="0" borderId="0" xfId="2" applyFont="1" applyAlignment="1">
      <alignment horizontal="center" vertical="center"/>
    </xf>
    <xf numFmtId="0" fontId="11" fillId="0" borderId="0" xfId="0" quotePrefix="1" applyFont="1" applyAlignment="1">
      <alignment horizontal="left" vertical="center"/>
    </xf>
    <xf numFmtId="0" fontId="26" fillId="0" borderId="3" xfId="5" applyFont="1" applyBorder="1" applyAlignment="1">
      <alignment horizontal="center" vertical="center"/>
    </xf>
    <xf numFmtId="49" fontId="26" fillId="0" borderId="23" xfId="10" applyNumberFormat="1" applyFont="1" applyBorder="1" applyAlignment="1">
      <alignment vertical="center"/>
    </xf>
    <xf numFmtId="0" fontId="26" fillId="0" borderId="23" xfId="10" applyFont="1" applyBorder="1" applyAlignment="1">
      <alignment vertical="center"/>
    </xf>
    <xf numFmtId="0" fontId="26" fillId="0" borderId="1" xfId="4" applyFont="1" applyBorder="1" applyAlignment="1">
      <alignment horizontal="center" vertical="center"/>
    </xf>
    <xf numFmtId="0" fontId="26" fillId="0" borderId="1" xfId="10" applyFont="1" applyBorder="1" applyAlignment="1">
      <alignment horizontal="center" vertical="center" wrapText="1"/>
    </xf>
    <xf numFmtId="49" fontId="26" fillId="0" borderId="1" xfId="0" quotePrefix="1" applyNumberFormat="1" applyFont="1" applyBorder="1" applyAlignment="1">
      <alignment horizontal="center" vertical="center"/>
    </xf>
    <xf numFmtId="0" fontId="36" fillId="0" borderId="0" xfId="10" applyFont="1" applyAlignment="1">
      <alignment horizontal="center" vertical="center"/>
    </xf>
    <xf numFmtId="49" fontId="11" fillId="0" borderId="0" xfId="10" quotePrefix="1" applyNumberFormat="1" applyFont="1" applyAlignment="1">
      <alignment horizontal="center" vertical="center"/>
    </xf>
    <xf numFmtId="177" fontId="11" fillId="0" borderId="0" xfId="10" quotePrefix="1" applyNumberFormat="1" applyFont="1" applyAlignment="1">
      <alignment horizontal="center" vertical="center"/>
    </xf>
    <xf numFmtId="0" fontId="11" fillId="0" borderId="0" xfId="10" applyFont="1" applyAlignment="1">
      <alignment vertical="center"/>
    </xf>
    <xf numFmtId="0" fontId="32" fillId="0" borderId="0" xfId="10" applyFont="1" applyAlignment="1">
      <alignment horizontal="center" vertical="center"/>
    </xf>
    <xf numFmtId="0" fontId="32" fillId="0" borderId="0" xfId="0" applyFont="1" applyAlignment="1">
      <alignment horizontal="left" vertical="center"/>
    </xf>
    <xf numFmtId="49" fontId="32" fillId="0" borderId="0" xfId="10" applyNumberFormat="1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177" fontId="32" fillId="0" borderId="0" xfId="10" quotePrefix="1" applyNumberFormat="1" applyFont="1" applyAlignment="1">
      <alignment horizontal="center" vertical="center"/>
    </xf>
    <xf numFmtId="0" fontId="32" fillId="0" borderId="0" xfId="10" applyFont="1" applyAlignment="1">
      <alignment vertical="center"/>
    </xf>
    <xf numFmtId="0" fontId="32" fillId="0" borderId="0" xfId="4" applyFont="1" applyAlignment="1">
      <alignment horizontal="center" vertical="center"/>
    </xf>
    <xf numFmtId="0" fontId="32" fillId="0" borderId="0" xfId="10" applyFont="1" applyAlignment="1">
      <alignment horizontal="center" vertical="center" wrapText="1"/>
    </xf>
    <xf numFmtId="49" fontId="32" fillId="0" borderId="0" xfId="0" quotePrefix="1" applyNumberFormat="1" applyFont="1" applyAlignment="1">
      <alignment horizontal="center" vertical="center"/>
    </xf>
    <xf numFmtId="49" fontId="32" fillId="0" borderId="0" xfId="10" applyNumberFormat="1" applyFont="1" applyAlignment="1">
      <alignment vertical="center"/>
    </xf>
    <xf numFmtId="0" fontId="11" fillId="0" borderId="0" xfId="10" applyFont="1" applyAlignment="1">
      <alignment horizontal="center" vertical="center" wrapText="1"/>
    </xf>
    <xf numFmtId="49" fontId="11" fillId="0" borderId="0" xfId="0" quotePrefix="1" applyNumberFormat="1" applyFont="1" applyAlignment="1">
      <alignment horizontal="center" vertical="center"/>
    </xf>
    <xf numFmtId="49" fontId="11" fillId="0" borderId="0" xfId="10" applyNumberFormat="1" applyFont="1" applyAlignment="1">
      <alignment vertical="center"/>
    </xf>
    <xf numFmtId="0" fontId="18" fillId="0" borderId="0" xfId="0" applyFont="1">
      <alignment vertical="center"/>
    </xf>
    <xf numFmtId="0" fontId="11" fillId="0" borderId="23" xfId="9" applyFont="1" applyBorder="1" applyAlignment="1">
      <alignment horizontal="center" vertical="center"/>
    </xf>
    <xf numFmtId="176" fontId="26" fillId="0" borderId="0" xfId="2" applyNumberFormat="1" applyFont="1" applyAlignment="1">
      <alignment horizontal="center" vertical="center"/>
    </xf>
    <xf numFmtId="0" fontId="31" fillId="0" borderId="0" xfId="2" applyFont="1" applyAlignment="1">
      <alignment horizontal="center" vertical="center"/>
    </xf>
    <xf numFmtId="0" fontId="37" fillId="0" borderId="34" xfId="0" applyFont="1" applyBorder="1" applyAlignment="1">
      <alignment horizontal="left" vertical="center"/>
    </xf>
    <xf numFmtId="0" fontId="18" fillId="0" borderId="0" xfId="0" quotePrefix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1" fillId="5" borderId="0" xfId="0" applyFont="1" applyFill="1" applyAlignment="1">
      <alignment horizontal="center" vertical="center"/>
    </xf>
    <xf numFmtId="0" fontId="11" fillId="5" borderId="0" xfId="0" applyFont="1" applyFill="1">
      <alignment vertical="center"/>
    </xf>
    <xf numFmtId="0" fontId="11" fillId="4" borderId="1" xfId="0" applyFont="1" applyFill="1" applyBorder="1" applyAlignment="1">
      <alignment horizontal="center" vertical="center"/>
    </xf>
    <xf numFmtId="0" fontId="31" fillId="0" borderId="19" xfId="2" applyFont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5" borderId="1" xfId="9" applyFont="1" applyFill="1" applyBorder="1" applyAlignment="1">
      <alignment horizontal="center" vertical="center"/>
    </xf>
    <xf numFmtId="0" fontId="11" fillId="5" borderId="1" xfId="4" applyFont="1" applyFill="1" applyBorder="1" applyAlignment="1">
      <alignment horizontal="center" vertical="center"/>
    </xf>
    <xf numFmtId="0" fontId="11" fillId="5" borderId="1" xfId="9" quotePrefix="1" applyFont="1" applyFill="1" applyBorder="1" applyAlignment="1">
      <alignment horizontal="center" vertical="center"/>
    </xf>
    <xf numFmtId="177" fontId="11" fillId="5" borderId="1" xfId="0" applyNumberFormat="1" applyFont="1" applyFill="1" applyBorder="1" applyAlignment="1">
      <alignment horizontal="center" vertical="center"/>
    </xf>
    <xf numFmtId="49" fontId="26" fillId="5" borderId="1" xfId="10" quotePrefix="1" applyNumberFormat="1" applyFont="1" applyFill="1" applyBorder="1" applyAlignment="1">
      <alignment horizontal="center" vertical="center"/>
    </xf>
    <xf numFmtId="0" fontId="11" fillId="5" borderId="1" xfId="5" applyFont="1" applyFill="1" applyBorder="1" applyAlignment="1">
      <alignment horizontal="center" vertical="center"/>
    </xf>
    <xf numFmtId="49" fontId="11" fillId="5" borderId="1" xfId="0" applyNumberFormat="1" applyFont="1" applyFill="1" applyBorder="1" applyAlignment="1">
      <alignment horizontal="center" vertical="center"/>
    </xf>
    <xf numFmtId="176" fontId="11" fillId="5" borderId="1" xfId="0" applyNumberFormat="1" applyFont="1" applyFill="1" applyBorder="1" applyAlignment="1">
      <alignment horizontal="center" vertical="center"/>
    </xf>
    <xf numFmtId="49" fontId="11" fillId="5" borderId="1" xfId="5" applyNumberFormat="1" applyFont="1" applyFill="1" applyBorder="1" applyAlignment="1">
      <alignment horizontal="center" vertical="center"/>
    </xf>
    <xf numFmtId="176" fontId="11" fillId="5" borderId="1" xfId="5" applyNumberFormat="1" applyFont="1" applyFill="1" applyBorder="1" applyAlignment="1">
      <alignment horizontal="center" vertical="center"/>
    </xf>
    <xf numFmtId="0" fontId="18" fillId="0" borderId="0" xfId="4" applyFont="1" applyAlignment="1">
      <alignment horizontal="left" vertical="center"/>
    </xf>
    <xf numFmtId="49" fontId="18" fillId="0" borderId="0" xfId="10" applyNumberFormat="1" applyFont="1" applyAlignment="1">
      <alignment horizontal="left" vertical="center"/>
    </xf>
    <xf numFmtId="0" fontId="18" fillId="0" borderId="0" xfId="9" applyFont="1" applyAlignment="1">
      <alignment horizontal="left" vertical="center"/>
    </xf>
    <xf numFmtId="49" fontId="32" fillId="0" borderId="3" xfId="0" applyNumberFormat="1" applyFont="1" applyBorder="1" applyAlignment="1">
      <alignment horizontal="center" vertical="center"/>
    </xf>
    <xf numFmtId="0" fontId="26" fillId="0" borderId="13" xfId="13" applyFont="1" applyBorder="1" applyAlignment="1">
      <alignment horizontal="center" vertical="center"/>
    </xf>
    <xf numFmtId="177" fontId="11" fillId="0" borderId="1" xfId="0" quotePrefix="1" applyNumberFormat="1" applyFont="1" applyBorder="1" applyAlignment="1">
      <alignment horizontal="center" vertical="center"/>
    </xf>
    <xf numFmtId="177" fontId="32" fillId="0" borderId="1" xfId="5" applyNumberFormat="1" applyFont="1" applyBorder="1" applyAlignment="1">
      <alignment horizontal="center" vertical="center"/>
    </xf>
    <xf numFmtId="49" fontId="32" fillId="0" borderId="23" xfId="0" applyNumberFormat="1" applyFont="1" applyBorder="1" applyAlignment="1">
      <alignment horizontal="center" vertical="center"/>
    </xf>
    <xf numFmtId="0" fontId="26" fillId="0" borderId="1" xfId="0" quotePrefix="1" applyFont="1" applyBorder="1" applyAlignment="1">
      <alignment horizontal="center" vertical="center"/>
    </xf>
    <xf numFmtId="0" fontId="32" fillId="0" borderId="1" xfId="12" applyFont="1" applyBorder="1" applyAlignment="1">
      <alignment horizontal="center" vertical="center"/>
    </xf>
    <xf numFmtId="0" fontId="11" fillId="0" borderId="13" xfId="12" applyFont="1" applyBorder="1" applyAlignment="1">
      <alignment horizontal="center" vertical="center"/>
    </xf>
    <xf numFmtId="177" fontId="32" fillId="0" borderId="1" xfId="12" applyNumberFormat="1" applyFont="1" applyBorder="1" applyAlignment="1">
      <alignment horizontal="center" vertical="center"/>
    </xf>
    <xf numFmtId="0" fontId="32" fillId="0" borderId="23" xfId="12" applyFont="1" applyBorder="1" applyAlignment="1">
      <alignment horizontal="center" vertical="center"/>
    </xf>
    <xf numFmtId="177" fontId="11" fillId="0" borderId="1" xfId="12" applyNumberFormat="1" applyFont="1" applyBorder="1" applyAlignment="1">
      <alignment horizontal="center" vertical="center"/>
    </xf>
    <xf numFmtId="0" fontId="11" fillId="0" borderId="23" xfId="12" applyFont="1" applyBorder="1" applyAlignment="1">
      <alignment horizontal="center" vertical="center"/>
    </xf>
    <xf numFmtId="0" fontId="11" fillId="5" borderId="1" xfId="10" applyFont="1" applyFill="1" applyBorder="1" applyAlignment="1">
      <alignment horizontal="center" vertical="center"/>
    </xf>
    <xf numFmtId="0" fontId="32" fillId="5" borderId="1" xfId="0" quotePrefix="1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49" fontId="26" fillId="5" borderId="1" xfId="0" applyNumberFormat="1" applyFont="1" applyFill="1" applyBorder="1" applyAlignment="1">
      <alignment horizontal="center" vertical="center"/>
    </xf>
    <xf numFmtId="0" fontId="26" fillId="5" borderId="1" xfId="5" applyFont="1" applyFill="1" applyBorder="1" applyAlignment="1">
      <alignment horizontal="center" vertical="center"/>
    </xf>
    <xf numFmtId="177" fontId="11" fillId="5" borderId="1" xfId="12" applyNumberFormat="1" applyFont="1" applyFill="1" applyBorder="1" applyAlignment="1">
      <alignment horizontal="center" vertical="center"/>
    </xf>
    <xf numFmtId="0" fontId="11" fillId="4" borderId="13" xfId="12" applyFont="1" applyFill="1" applyBorder="1" applyAlignment="1">
      <alignment horizontal="center" vertical="center"/>
    </xf>
    <xf numFmtId="0" fontId="11" fillId="4" borderId="1" xfId="12" applyFont="1" applyFill="1" applyBorder="1" applyAlignment="1">
      <alignment horizontal="center" vertical="center"/>
    </xf>
    <xf numFmtId="0" fontId="32" fillId="4" borderId="1" xfId="0" applyFont="1" applyFill="1" applyBorder="1" applyAlignment="1">
      <alignment horizontal="center" vertical="center"/>
    </xf>
    <xf numFmtId="177" fontId="32" fillId="4" borderId="1" xfId="12" applyNumberFormat="1" applyFont="1" applyFill="1" applyBorder="1" applyAlignment="1">
      <alignment horizontal="center" vertical="center"/>
    </xf>
    <xf numFmtId="0" fontId="32" fillId="4" borderId="23" xfId="0" applyFont="1" applyFill="1" applyBorder="1" applyAlignment="1">
      <alignment horizontal="center" vertical="center"/>
    </xf>
    <xf numFmtId="0" fontId="11" fillId="0" borderId="15" xfId="12" applyFont="1" applyBorder="1" applyAlignment="1">
      <alignment horizontal="center" vertical="center"/>
    </xf>
    <xf numFmtId="0" fontId="26" fillId="0" borderId="24" xfId="9" applyFont="1" applyBorder="1" applyAlignment="1">
      <alignment horizontal="center" vertical="center"/>
    </xf>
    <xf numFmtId="0" fontId="26" fillId="0" borderId="24" xfId="5" applyFont="1" applyBorder="1" applyAlignment="1">
      <alignment horizontal="center" vertical="center"/>
    </xf>
    <xf numFmtId="0" fontId="11" fillId="0" borderId="25" xfId="12" applyFont="1" applyBorder="1" applyAlignment="1">
      <alignment horizontal="center" vertical="center"/>
    </xf>
    <xf numFmtId="49" fontId="11" fillId="5" borderId="1" xfId="10" quotePrefix="1" applyNumberFormat="1" applyFont="1" applyFill="1" applyBorder="1" applyAlignment="1">
      <alignment horizontal="center" vertical="center"/>
    </xf>
    <xf numFmtId="177" fontId="26" fillId="0" borderId="5" xfId="2" applyNumberFormat="1" applyFont="1" applyBorder="1" applyAlignment="1">
      <alignment horizontal="center" vertical="center"/>
    </xf>
    <xf numFmtId="0" fontId="11" fillId="5" borderId="23" xfId="12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49" fontId="11" fillId="0" borderId="24" xfId="0" quotePrefix="1" applyNumberFormat="1" applyFont="1" applyBorder="1" applyAlignment="1">
      <alignment horizontal="center" vertical="center"/>
    </xf>
    <xf numFmtId="0" fontId="11" fillId="0" borderId="24" xfId="9" applyFont="1" applyBorder="1" applyAlignment="1">
      <alignment horizontal="center" vertical="center"/>
    </xf>
    <xf numFmtId="0" fontId="11" fillId="6" borderId="13" xfId="12" applyFont="1" applyFill="1" applyBorder="1" applyAlignment="1">
      <alignment horizontal="center" vertical="center"/>
    </xf>
    <xf numFmtId="0" fontId="11" fillId="6" borderId="1" xfId="12" applyFont="1" applyFill="1" applyBorder="1" applyAlignment="1">
      <alignment horizontal="center" vertical="center"/>
    </xf>
    <xf numFmtId="0" fontId="26" fillId="6" borderId="1" xfId="9" applyFont="1" applyFill="1" applyBorder="1" applyAlignment="1">
      <alignment horizontal="center" vertical="center"/>
    </xf>
    <xf numFmtId="0" fontId="43" fillId="6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/>
    </xf>
    <xf numFmtId="49" fontId="11" fillId="6" borderId="1" xfId="0" applyNumberFormat="1" applyFont="1" applyFill="1" applyBorder="1" applyAlignment="1">
      <alignment horizontal="center" vertical="center"/>
    </xf>
    <xf numFmtId="0" fontId="26" fillId="6" borderId="1" xfId="5" applyFont="1" applyFill="1" applyBorder="1" applyAlignment="1">
      <alignment horizontal="center" vertical="center"/>
    </xf>
    <xf numFmtId="177" fontId="11" fillId="6" borderId="1" xfId="0" applyNumberFormat="1" applyFont="1" applyFill="1" applyBorder="1" applyAlignment="1">
      <alignment horizontal="center" vertical="center"/>
    </xf>
    <xf numFmtId="0" fontId="11" fillId="6" borderId="23" xfId="12" applyFont="1" applyFill="1" applyBorder="1" applyAlignment="1">
      <alignment horizontal="center" vertical="center"/>
    </xf>
    <xf numFmtId="0" fontId="43" fillId="6" borderId="1" xfId="0" applyFont="1" applyFill="1" applyBorder="1" applyAlignment="1">
      <alignment horizontal="center" vertical="center"/>
    </xf>
    <xf numFmtId="0" fontId="26" fillId="6" borderId="1" xfId="0" applyFont="1" applyFill="1" applyBorder="1" applyAlignment="1">
      <alignment horizontal="center" vertical="center"/>
    </xf>
    <xf numFmtId="177" fontId="11" fillId="6" borderId="1" xfId="12" applyNumberFormat="1" applyFont="1" applyFill="1" applyBorder="1" applyAlignment="1">
      <alignment horizontal="center" vertical="center"/>
    </xf>
    <xf numFmtId="49" fontId="43" fillId="6" borderId="1" xfId="0" applyNumberFormat="1" applyFont="1" applyFill="1" applyBorder="1" applyAlignment="1">
      <alignment horizontal="center" vertical="center"/>
    </xf>
    <xf numFmtId="0" fontId="11" fillId="6" borderId="1" xfId="9" applyFont="1" applyFill="1" applyBorder="1" applyAlignment="1">
      <alignment horizontal="center" vertical="center"/>
    </xf>
    <xf numFmtId="177" fontId="43" fillId="6" borderId="1" xfId="0" applyNumberFormat="1" applyFont="1" applyFill="1" applyBorder="1" applyAlignment="1">
      <alignment horizontal="center" vertical="center"/>
    </xf>
    <xf numFmtId="0" fontId="11" fillId="6" borderId="23" xfId="0" applyFont="1" applyFill="1" applyBorder="1" applyAlignment="1">
      <alignment horizontal="center" vertical="center"/>
    </xf>
    <xf numFmtId="49" fontId="43" fillId="6" borderId="1" xfId="0" quotePrefix="1" applyNumberFormat="1" applyFont="1" applyFill="1" applyBorder="1" applyAlignment="1">
      <alignment horizontal="center" vertical="center"/>
    </xf>
    <xf numFmtId="0" fontId="42" fillId="6" borderId="1" xfId="5" applyFont="1" applyFill="1" applyBorder="1" applyAlignment="1">
      <alignment horizontal="center" vertical="center"/>
    </xf>
    <xf numFmtId="0" fontId="43" fillId="6" borderId="23" xfId="12" applyFont="1" applyFill="1" applyBorder="1" applyAlignment="1">
      <alignment horizontal="center" vertical="center"/>
    </xf>
    <xf numFmtId="0" fontId="11" fillId="6" borderId="15" xfId="12" applyFont="1" applyFill="1" applyBorder="1" applyAlignment="1">
      <alignment horizontal="center" vertical="center"/>
    </xf>
    <xf numFmtId="0" fontId="11" fillId="6" borderId="24" xfId="12" applyFont="1" applyFill="1" applyBorder="1" applyAlignment="1">
      <alignment horizontal="center" vertical="center"/>
    </xf>
    <xf numFmtId="0" fontId="26" fillId="6" borderId="24" xfId="9" applyFont="1" applyFill="1" applyBorder="1" applyAlignment="1">
      <alignment horizontal="center" vertical="center"/>
    </xf>
    <xf numFmtId="0" fontId="43" fillId="6" borderId="24" xfId="0" applyFont="1" applyFill="1" applyBorder="1" applyAlignment="1">
      <alignment horizontal="center" vertical="center" wrapText="1"/>
    </xf>
    <xf numFmtId="0" fontId="43" fillId="6" borderId="24" xfId="0" applyFont="1" applyFill="1" applyBorder="1" applyAlignment="1">
      <alignment horizontal="center" vertical="center"/>
    </xf>
    <xf numFmtId="49" fontId="43" fillId="6" borderId="24" xfId="0" applyNumberFormat="1" applyFont="1" applyFill="1" applyBorder="1" applyAlignment="1">
      <alignment horizontal="center" vertical="center"/>
    </xf>
    <xf numFmtId="0" fontId="11" fillId="6" borderId="24" xfId="0" applyFont="1" applyFill="1" applyBorder="1" applyAlignment="1">
      <alignment horizontal="center" vertical="center"/>
    </xf>
    <xf numFmtId="0" fontId="26" fillId="6" borderId="24" xfId="5" applyFont="1" applyFill="1" applyBorder="1" applyAlignment="1">
      <alignment horizontal="center" vertical="center"/>
    </xf>
    <xf numFmtId="177" fontId="11" fillId="6" borderId="24" xfId="0" applyNumberFormat="1" applyFont="1" applyFill="1" applyBorder="1" applyAlignment="1">
      <alignment horizontal="center" vertical="center"/>
    </xf>
    <xf numFmtId="0" fontId="11" fillId="6" borderId="25" xfId="12" applyFont="1" applyFill="1" applyBorder="1" applyAlignment="1">
      <alignment horizontal="center" vertical="center"/>
    </xf>
    <xf numFmtId="0" fontId="11" fillId="6" borderId="1" xfId="10" applyFont="1" applyFill="1" applyBorder="1" applyAlignment="1">
      <alignment horizontal="center" vertical="center"/>
    </xf>
    <xf numFmtId="0" fontId="11" fillId="6" borderId="1" xfId="0" quotePrefix="1" applyFont="1" applyFill="1" applyBorder="1" applyAlignment="1">
      <alignment horizontal="center" vertical="center"/>
    </xf>
    <xf numFmtId="0" fontId="43" fillId="6" borderId="1" xfId="5" applyFont="1" applyFill="1" applyBorder="1" applyAlignment="1">
      <alignment horizontal="center" vertical="center"/>
    </xf>
    <xf numFmtId="0" fontId="11" fillId="6" borderId="1" xfId="5" applyFont="1" applyFill="1" applyBorder="1" applyAlignment="1">
      <alignment horizontal="center" vertical="center"/>
    </xf>
    <xf numFmtId="177" fontId="43" fillId="6" borderId="1" xfId="12" applyNumberFormat="1" applyFont="1" applyFill="1" applyBorder="1" applyAlignment="1">
      <alignment horizontal="center" vertical="center"/>
    </xf>
    <xf numFmtId="0" fontId="44" fillId="6" borderId="1" xfId="0" applyFont="1" applyFill="1" applyBorder="1" applyAlignment="1">
      <alignment horizontal="center" vertical="center"/>
    </xf>
    <xf numFmtId="0" fontId="45" fillId="6" borderId="24" xfId="0" applyFont="1" applyFill="1" applyBorder="1" applyAlignment="1">
      <alignment horizontal="center" vertical="center"/>
    </xf>
    <xf numFmtId="0" fontId="44" fillId="6" borderId="13" xfId="12" applyFont="1" applyFill="1" applyBorder="1" applyAlignment="1">
      <alignment horizontal="center" vertical="center"/>
    </xf>
    <xf numFmtId="0" fontId="11" fillId="5" borderId="1" xfId="12" applyFont="1" applyFill="1" applyBorder="1" applyAlignment="1">
      <alignment horizontal="center" vertical="center"/>
    </xf>
    <xf numFmtId="0" fontId="11" fillId="6" borderId="3" xfId="12" applyFont="1" applyFill="1" applyBorder="1" applyAlignment="1">
      <alignment horizontal="center" vertical="center"/>
    </xf>
    <xf numFmtId="0" fontId="11" fillId="5" borderId="24" xfId="12" applyFont="1" applyFill="1" applyBorder="1" applyAlignment="1">
      <alignment horizontal="center" vertical="center"/>
    </xf>
    <xf numFmtId="0" fontId="26" fillId="5" borderId="13" xfId="2" applyFont="1" applyFill="1" applyBorder="1" applyAlignment="1">
      <alignment horizontal="center" vertical="center"/>
    </xf>
    <xf numFmtId="0" fontId="32" fillId="5" borderId="1" xfId="0" applyFont="1" applyFill="1" applyBorder="1" applyAlignment="1">
      <alignment horizontal="center" vertical="center"/>
    </xf>
    <xf numFmtId="0" fontId="32" fillId="5" borderId="1" xfId="10" applyFont="1" applyFill="1" applyBorder="1" applyAlignment="1">
      <alignment horizontal="center" vertical="center"/>
    </xf>
    <xf numFmtId="49" fontId="32" fillId="5" borderId="23" xfId="0" applyNumberFormat="1" applyFont="1" applyFill="1" applyBorder="1" applyAlignment="1">
      <alignment horizontal="center" vertical="center"/>
    </xf>
    <xf numFmtId="0" fontId="42" fillId="5" borderId="0" xfId="2" applyFont="1" applyFill="1" applyAlignment="1">
      <alignment horizontal="center" vertical="center"/>
    </xf>
    <xf numFmtId="49" fontId="47" fillId="5" borderId="1" xfId="0" quotePrefix="1" applyNumberFormat="1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47" fillId="5" borderId="1" xfId="5" applyFont="1" applyFill="1" applyBorder="1" applyAlignment="1">
      <alignment horizontal="center" vertical="center"/>
    </xf>
    <xf numFmtId="177" fontId="47" fillId="5" borderId="1" xfId="0" applyNumberFormat="1" applyFont="1" applyFill="1" applyBorder="1" applyAlignment="1">
      <alignment horizontal="center" vertical="center"/>
    </xf>
    <xf numFmtId="0" fontId="11" fillId="4" borderId="0" xfId="0" applyFont="1" applyFill="1">
      <alignment vertical="center"/>
    </xf>
    <xf numFmtId="0" fontId="11" fillId="7" borderId="13" xfId="12" applyFont="1" applyFill="1" applyBorder="1" applyAlignment="1">
      <alignment horizontal="center" vertical="center"/>
    </xf>
    <xf numFmtId="0" fontId="11" fillId="7" borderId="1" xfId="12" applyFont="1" applyFill="1" applyBorder="1" applyAlignment="1">
      <alignment horizontal="center" vertical="center"/>
    </xf>
    <xf numFmtId="0" fontId="26" fillId="7" borderId="1" xfId="9" applyFont="1" applyFill="1" applyBorder="1" applyAlignment="1">
      <alignment horizontal="center" vertical="center"/>
    </xf>
    <xf numFmtId="0" fontId="11" fillId="7" borderId="3" xfId="12" applyFont="1" applyFill="1" applyBorder="1" applyAlignment="1">
      <alignment horizontal="center" vertical="center"/>
    </xf>
    <xf numFmtId="0" fontId="11" fillId="7" borderId="3" xfId="0" applyFont="1" applyFill="1" applyBorder="1" applyAlignment="1">
      <alignment horizontal="center" vertical="center" wrapText="1"/>
    </xf>
    <xf numFmtId="0" fontId="43" fillId="7" borderId="3" xfId="0" applyFont="1" applyFill="1" applyBorder="1" applyAlignment="1">
      <alignment horizontal="center" vertical="center"/>
    </xf>
    <xf numFmtId="49" fontId="43" fillId="7" borderId="3" xfId="0" applyNumberFormat="1" applyFont="1" applyFill="1" applyBorder="1" applyAlignment="1">
      <alignment horizontal="center" vertical="center"/>
    </xf>
    <xf numFmtId="0" fontId="43" fillId="7" borderId="1" xfId="0" applyFont="1" applyFill="1" applyBorder="1" applyAlignment="1">
      <alignment horizontal="center" vertical="center"/>
    </xf>
    <xf numFmtId="0" fontId="11" fillId="7" borderId="3" xfId="0" applyFont="1" applyFill="1" applyBorder="1" applyAlignment="1">
      <alignment horizontal="center" vertical="center"/>
    </xf>
    <xf numFmtId="0" fontId="26" fillId="7" borderId="3" xfId="5" applyFont="1" applyFill="1" applyBorder="1" applyAlignment="1">
      <alignment horizontal="center" vertical="center"/>
    </xf>
    <xf numFmtId="177" fontId="43" fillId="7" borderId="3" xfId="0" applyNumberFormat="1" applyFont="1" applyFill="1" applyBorder="1" applyAlignment="1">
      <alignment horizontal="center" vertical="center"/>
    </xf>
    <xf numFmtId="0" fontId="11" fillId="7" borderId="22" xfId="12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 wrapText="1"/>
    </xf>
    <xf numFmtId="0" fontId="11" fillId="7" borderId="1" xfId="0" applyFont="1" applyFill="1" applyBorder="1" applyAlignment="1">
      <alignment horizontal="center" vertical="center"/>
    </xf>
    <xf numFmtId="0" fontId="26" fillId="7" borderId="1" xfId="5" applyFont="1" applyFill="1" applyBorder="1" applyAlignment="1">
      <alignment horizontal="center" vertical="center"/>
    </xf>
    <xf numFmtId="177" fontId="43" fillId="7" borderId="1" xfId="0" applyNumberFormat="1" applyFont="1" applyFill="1" applyBorder="1" applyAlignment="1">
      <alignment horizontal="center" vertical="center"/>
    </xf>
    <xf numFmtId="0" fontId="11" fillId="7" borderId="23" xfId="12" applyFont="1" applyFill="1" applyBorder="1" applyAlignment="1">
      <alignment horizontal="center" vertical="center"/>
    </xf>
    <xf numFmtId="49" fontId="43" fillId="7" borderId="1" xfId="0" applyNumberFormat="1" applyFont="1" applyFill="1" applyBorder="1" applyAlignment="1">
      <alignment horizontal="center" vertical="center"/>
    </xf>
    <xf numFmtId="0" fontId="11" fillId="7" borderId="1" xfId="10" applyFont="1" applyFill="1" applyBorder="1" applyAlignment="1">
      <alignment horizontal="center" vertical="center"/>
    </xf>
    <xf numFmtId="0" fontId="26" fillId="7" borderId="1" xfId="0" quotePrefix="1" applyFont="1" applyFill="1" applyBorder="1" applyAlignment="1">
      <alignment horizontal="center" vertical="center"/>
    </xf>
    <xf numFmtId="0" fontId="26" fillId="7" borderId="1" xfId="0" applyFont="1" applyFill="1" applyBorder="1" applyAlignment="1">
      <alignment horizontal="center" vertical="center"/>
    </xf>
    <xf numFmtId="49" fontId="26" fillId="7" borderId="1" xfId="0" quotePrefix="1" applyNumberFormat="1" applyFont="1" applyFill="1" applyBorder="1" applyAlignment="1">
      <alignment horizontal="center" vertical="center"/>
    </xf>
    <xf numFmtId="14" fontId="11" fillId="0" borderId="0" xfId="0" applyNumberFormat="1" applyFont="1">
      <alignment vertical="center"/>
    </xf>
    <xf numFmtId="0" fontId="43" fillId="0" borderId="0" xfId="0" applyFont="1" applyAlignment="1">
      <alignment horizontal="center" vertical="center"/>
    </xf>
    <xf numFmtId="0" fontId="11" fillId="8" borderId="1" xfId="12" applyFont="1" applyFill="1" applyBorder="1" applyAlignment="1">
      <alignment horizontal="center" vertical="center"/>
    </xf>
    <xf numFmtId="0" fontId="26" fillId="8" borderId="1" xfId="9" applyFont="1" applyFill="1" applyBorder="1" applyAlignment="1">
      <alignment horizontal="center" vertical="center"/>
    </xf>
    <xf numFmtId="0" fontId="43" fillId="0" borderId="0" xfId="0" applyFont="1">
      <alignment vertical="center"/>
    </xf>
    <xf numFmtId="0" fontId="43" fillId="8" borderId="13" xfId="12" applyFont="1" applyFill="1" applyBorder="1" applyAlignment="1">
      <alignment horizontal="center" vertical="center"/>
    </xf>
    <xf numFmtId="0" fontId="11" fillId="8" borderId="1" xfId="10" applyFont="1" applyFill="1" applyBorder="1" applyAlignment="1">
      <alignment horizontal="center" vertical="center"/>
    </xf>
    <xf numFmtId="49" fontId="47" fillId="8" borderId="1" xfId="0" applyNumberFormat="1" applyFont="1" applyFill="1" applyBorder="1" applyAlignment="1">
      <alignment horizontal="center" vertical="center"/>
    </xf>
    <xf numFmtId="0" fontId="47" fillId="8" borderId="1" xfId="0" applyFont="1" applyFill="1" applyBorder="1" applyAlignment="1">
      <alignment horizontal="center" vertical="center"/>
    </xf>
    <xf numFmtId="49" fontId="47" fillId="8" borderId="1" xfId="0" quotePrefix="1" applyNumberFormat="1" applyFont="1" applyFill="1" applyBorder="1" applyAlignment="1">
      <alignment horizontal="center" vertical="center"/>
    </xf>
    <xf numFmtId="0" fontId="32" fillId="8" borderId="1" xfId="0" quotePrefix="1" applyFont="1" applyFill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/>
    </xf>
    <xf numFmtId="0" fontId="32" fillId="8" borderId="1" xfId="5" applyFont="1" applyFill="1" applyBorder="1" applyAlignment="1">
      <alignment horizontal="center" vertical="center"/>
    </xf>
    <xf numFmtId="177" fontId="32" fillId="8" borderId="1" xfId="12" applyNumberFormat="1" applyFont="1" applyFill="1" applyBorder="1" applyAlignment="1">
      <alignment horizontal="center" vertical="center"/>
    </xf>
    <xf numFmtId="0" fontId="32" fillId="8" borderId="23" xfId="12" applyFont="1" applyFill="1" applyBorder="1" applyAlignment="1">
      <alignment horizontal="center" vertical="center"/>
    </xf>
    <xf numFmtId="0" fontId="48" fillId="0" borderId="1" xfId="5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48" fillId="0" borderId="23" xfId="0" applyFont="1" applyBorder="1" applyAlignment="1">
      <alignment horizontal="center" vertical="center"/>
    </xf>
    <xf numFmtId="0" fontId="26" fillId="0" borderId="35" xfId="2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48" fillId="0" borderId="36" xfId="5" applyFont="1" applyBorder="1" applyAlignment="1">
      <alignment horizontal="center" vertical="center"/>
    </xf>
    <xf numFmtId="49" fontId="11" fillId="0" borderId="36" xfId="0" applyNumberFormat="1" applyFont="1" applyBorder="1" applyAlignment="1">
      <alignment horizontal="center" vertical="center"/>
    </xf>
    <xf numFmtId="0" fontId="48" fillId="0" borderId="36" xfId="0" applyFont="1" applyBorder="1" applyAlignment="1">
      <alignment horizontal="center" vertical="center"/>
    </xf>
    <xf numFmtId="177" fontId="11" fillId="0" borderId="36" xfId="0" applyNumberFormat="1" applyFont="1" applyBorder="1" applyAlignment="1">
      <alignment horizontal="center" vertical="center"/>
    </xf>
    <xf numFmtId="0" fontId="48" fillId="0" borderId="37" xfId="0" applyFont="1" applyBorder="1" applyAlignment="1">
      <alignment horizontal="center" vertical="center"/>
    </xf>
    <xf numFmtId="0" fontId="49" fillId="0" borderId="19" xfId="0" applyFont="1" applyBorder="1" applyAlignment="1">
      <alignment horizontal="center" vertical="center"/>
    </xf>
    <xf numFmtId="177" fontId="26" fillId="0" borderId="10" xfId="2" applyNumberFormat="1" applyFont="1" applyBorder="1" applyAlignment="1">
      <alignment horizontal="center" vertical="center"/>
    </xf>
    <xf numFmtId="177" fontId="26" fillId="0" borderId="5" xfId="2" applyNumberFormat="1" applyFont="1" applyBorder="1" applyAlignment="1">
      <alignment horizontal="center" vertical="center"/>
    </xf>
    <xf numFmtId="177" fontId="26" fillId="0" borderId="13" xfId="2" applyNumberFormat="1" applyFont="1" applyBorder="1" applyAlignment="1">
      <alignment horizontal="center" vertical="center"/>
    </xf>
    <xf numFmtId="177" fontId="26" fillId="0" borderId="23" xfId="2" applyNumberFormat="1" applyFont="1" applyBorder="1" applyAlignment="1">
      <alignment horizontal="center" vertical="center"/>
    </xf>
    <xf numFmtId="177" fontId="11" fillId="0" borderId="15" xfId="2" applyNumberFormat="1" applyFont="1" applyBorder="1" applyAlignment="1">
      <alignment horizontal="center" vertical="center"/>
    </xf>
    <xf numFmtId="177" fontId="11" fillId="0" borderId="25" xfId="2" applyNumberFormat="1" applyFont="1" applyBorder="1" applyAlignment="1">
      <alignment horizontal="center" vertical="center"/>
    </xf>
  </cellXfs>
  <cellStyles count="14">
    <cellStyle name="一般" xfId="0" builtinId="0"/>
    <cellStyle name="一般 2" xfId="10" xr:uid="{00000000-0005-0000-0000-000001000000}"/>
    <cellStyle name="一般_工作表2" xfId="9" xr:uid="{00000000-0005-0000-0000-000002000000}"/>
    <cellStyle name="一般_例えば" xfId="4" xr:uid="{00000000-0005-0000-0000-000003000000}"/>
    <cellStyle name="一般_素材１課" xfId="12" xr:uid="{00000000-0005-0000-0000-000004000000}"/>
    <cellStyle name="一般_素材２課" xfId="5" xr:uid="{00000000-0005-0000-0000-000005000000}"/>
    <cellStyle name="千分位[0]" xfId="1" builtinId="6"/>
    <cellStyle name="好_素材２課" xfId="6" xr:uid="{00000000-0005-0000-0000-000007000000}"/>
    <cellStyle name="標準_期末未使用品資産管理要項" xfId="2" xr:uid="{00000000-0005-0000-0000-000008000000}"/>
    <cellStyle name="標準_期末未使用品資産管理要項 2" xfId="11" xr:uid="{00000000-0005-0000-0000-000009000000}"/>
    <cellStyle name="標準_期末未使用品資産管理要項_例えば" xfId="3" xr:uid="{00000000-0005-0000-0000-00000A000000}"/>
    <cellStyle name="標準_期末未使用品資産管理要項_素材１課" xfId="13" xr:uid="{00000000-0005-0000-0000-00000B000000}"/>
    <cellStyle name="標準_期末未使用品資産管理要項_素材２課" xfId="7" xr:uid="{00000000-0005-0000-0000-00000C000000}"/>
    <cellStyle name="壞_素材２課" xfId="8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880630</xdr:colOff>
      <xdr:row>0</xdr:row>
      <xdr:rowOff>73025</xdr:rowOff>
    </xdr:from>
    <xdr:to>
      <xdr:col>4</xdr:col>
      <xdr:colOff>825085</xdr:colOff>
      <xdr:row>2</xdr:row>
      <xdr:rowOff>2250</xdr:rowOff>
    </xdr:to>
    <xdr:sp macro="" textlink="">
      <xdr:nvSpPr>
        <xdr:cNvPr id="2" name="矩形: 圓角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50994" y="73025"/>
          <a:ext cx="972000" cy="264043"/>
        </a:xfrm>
        <a:prstGeom prst="round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200024</xdr:colOff>
      <xdr:row>1</xdr:row>
      <xdr:rowOff>180976</xdr:rowOff>
    </xdr:from>
    <xdr:to>
      <xdr:col>9</xdr:col>
      <xdr:colOff>25274</xdr:colOff>
      <xdr:row>4</xdr:row>
      <xdr:rowOff>76501</xdr:rowOff>
    </xdr:to>
    <xdr:sp macro="" textlink="">
      <xdr:nvSpPr>
        <xdr:cNvPr id="3" name="圖說文字: 折線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499" y="438151"/>
          <a:ext cx="2016000" cy="648000"/>
        </a:xfrm>
        <a:prstGeom prst="borderCallout2">
          <a:avLst>
            <a:gd name="adj1" fmla="val 48148"/>
            <a:gd name="adj2" fmla="val -5498"/>
            <a:gd name="adj3" fmla="val 54028"/>
            <a:gd name="adj4" fmla="val -19029"/>
            <a:gd name="adj5" fmla="val -19604"/>
            <a:gd name="adj6" fmla="val -98908"/>
          </a:avLst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zh-TW" altLang="ja-JP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每回數量點檢後，報告寄出</a:t>
          </a:r>
          <a:r>
            <a:rPr kumimoji="1" lang="zh-TW" altLang="en-US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前，</a:t>
          </a:r>
          <a:r>
            <a:rPr kumimoji="1" lang="zh-TW" altLang="ja-JP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請記得更改。</a:t>
          </a:r>
          <a:endParaRPr lang="ja-JP" altLang="ja-JP">
            <a:solidFill>
              <a:sysClr val="windowText" lastClr="000000"/>
            </a:solidFill>
            <a:effectLst/>
            <a:latin typeface="Yu Gothic" panose="020B0400000000000000" pitchFamily="34" charset="-128"/>
            <a:ea typeface="Yu Gothic" panose="020B0400000000000000" pitchFamily="34" charset="-128"/>
          </a:endParaRPr>
        </a:p>
        <a:p>
          <a:pPr algn="l"/>
          <a:endParaRPr kumimoji="1" lang="ja-JP" altLang="en-US" sz="1100">
            <a:solidFill>
              <a:sysClr val="windowText" lastClr="000000"/>
            </a:solidFill>
            <a:latin typeface="Yu Gothic" panose="020B0400000000000000" pitchFamily="34" charset="-128"/>
            <a:ea typeface="Yu Gothic" panose="020B0400000000000000" pitchFamily="34" charset="-128"/>
          </a:endParaRPr>
        </a:p>
      </xdr:txBody>
    </xdr:sp>
    <xdr:clientData/>
  </xdr:twoCellAnchor>
  <xdr:twoCellAnchor>
    <xdr:from>
      <xdr:col>1</xdr:col>
      <xdr:colOff>85725</xdr:colOff>
      <xdr:row>7</xdr:row>
      <xdr:rowOff>66674</xdr:rowOff>
    </xdr:from>
    <xdr:to>
      <xdr:col>3</xdr:col>
      <xdr:colOff>193271</xdr:colOff>
      <xdr:row>8</xdr:row>
      <xdr:rowOff>197128</xdr:rowOff>
    </xdr:to>
    <xdr:sp macro="" textlink="">
      <xdr:nvSpPr>
        <xdr:cNvPr id="4" name="圖說文字: 折線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1998" y="1694583"/>
          <a:ext cx="1620000" cy="396000"/>
        </a:xfrm>
        <a:prstGeom prst="borderCallout2">
          <a:avLst>
            <a:gd name="adj1" fmla="val 71250"/>
            <a:gd name="adj2" fmla="val 6356"/>
            <a:gd name="adj3" fmla="val 188750"/>
            <a:gd name="adj4" fmla="val 21186"/>
            <a:gd name="adj5" fmla="val 296484"/>
            <a:gd name="adj6" fmla="val 33493"/>
          </a:avLst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区分</a:t>
          </a:r>
          <a:r>
            <a:rPr kumimoji="1" lang="zh-TW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成 </a:t>
          </a:r>
          <a:r>
            <a:rPr kumimoji="1" lang="en-US" altLang="zh-TW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4</a:t>
          </a:r>
          <a:r>
            <a:rPr kumimoji="1" lang="zh-TW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大種類管理 </a:t>
          </a:r>
          <a:r>
            <a:rPr kumimoji="1" lang="en-US" altLang="zh-TW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:</a:t>
          </a:r>
          <a:r>
            <a:rPr kumimoji="1" lang="zh-TW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 </a:t>
          </a:r>
          <a:endParaRPr kumimoji="1" lang="ja-JP" altLang="en-US" sz="1100">
            <a:solidFill>
              <a:sysClr val="windowText" lastClr="000000"/>
            </a:solidFill>
            <a:latin typeface="Yu Gothic" panose="020B0400000000000000" pitchFamily="34" charset="-128"/>
            <a:ea typeface="Yu Gothic" panose="020B0400000000000000" pitchFamily="34" charset="-128"/>
          </a:endParaRPr>
        </a:p>
      </xdr:txBody>
    </xdr:sp>
    <xdr:clientData/>
  </xdr:twoCellAnchor>
  <xdr:twoCellAnchor>
    <xdr:from>
      <xdr:col>0</xdr:col>
      <xdr:colOff>152400</xdr:colOff>
      <xdr:row>10</xdr:row>
      <xdr:rowOff>190499</xdr:rowOff>
    </xdr:from>
    <xdr:to>
      <xdr:col>2</xdr:col>
      <xdr:colOff>61800</xdr:colOff>
      <xdr:row>18</xdr:row>
      <xdr:rowOff>62249</xdr:rowOff>
    </xdr:to>
    <xdr:sp macro="" textlink="">
      <xdr:nvSpPr>
        <xdr:cNvPr id="5" name="矩形: 圓角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52400" y="2705099"/>
          <a:ext cx="900000" cy="1872000"/>
        </a:xfrm>
        <a:prstGeom prst="round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1047750</xdr:colOff>
      <xdr:row>10</xdr:row>
      <xdr:rowOff>190500</xdr:rowOff>
    </xdr:from>
    <xdr:to>
      <xdr:col>4</xdr:col>
      <xdr:colOff>45000</xdr:colOff>
      <xdr:row>18</xdr:row>
      <xdr:rowOff>62250</xdr:rowOff>
    </xdr:to>
    <xdr:sp macro="" textlink="">
      <xdr:nvSpPr>
        <xdr:cNvPr id="6" name="矩形: 圓角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038350" y="2705100"/>
          <a:ext cx="1188000" cy="1872000"/>
        </a:xfrm>
        <a:prstGeom prst="round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47625</xdr:colOff>
      <xdr:row>19</xdr:row>
      <xdr:rowOff>38100</xdr:rowOff>
    </xdr:from>
    <xdr:to>
      <xdr:col>4</xdr:col>
      <xdr:colOff>894150</xdr:colOff>
      <xdr:row>22</xdr:row>
      <xdr:rowOff>140100</xdr:rowOff>
    </xdr:to>
    <xdr:sp macro="" textlink="">
      <xdr:nvSpPr>
        <xdr:cNvPr id="7" name="圖說文字: 折線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756352" y="4748645"/>
          <a:ext cx="1747071" cy="86400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144546"/>
            <a:gd name="adj6" fmla="val 7398"/>
          </a:avLst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rtl="0"/>
          <a:r>
            <a:rPr lang="zh-TW" altLang="en-US" sz="1100" b="0" i="0" u="none" strike="noStrike" baseline="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以各課為標題 </a:t>
          </a:r>
          <a:r>
            <a:rPr lang="en-US" altLang="zh-TW" sz="1100" b="0" i="0" u="none" strike="noStrike" baseline="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+</a:t>
          </a:r>
          <a:r>
            <a:rPr lang="zh-TW" altLang="en-US" sz="1100" b="0" i="0" u="none" strike="noStrike" baseline="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 區段</a:t>
          </a:r>
          <a:r>
            <a:rPr lang="en-US" altLang="ja-JP" sz="1100" b="0" i="0" u="none" strike="noStrike" baseline="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+</a:t>
          </a:r>
          <a:r>
            <a:rPr lang="zh-TW" altLang="en-US" sz="1100" b="0" i="0" u="none" strike="noStrike" baseline="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數字，進行各 </a:t>
          </a:r>
          <a:r>
            <a:rPr lang="en-US" altLang="zh-TW" sz="1100" b="0" i="0" u="none" strike="noStrike" baseline="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PL</a:t>
          </a:r>
          <a:r>
            <a:rPr lang="zh-TW" altLang="en-US" sz="1100" b="0" i="0" u="none" strike="noStrike" baseline="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上炉材數量管理。</a:t>
          </a:r>
          <a:endParaRPr lang="ja-JP" altLang="en-US" sz="1100" b="0" i="0" u="none" strike="noStrike" baseline="0">
            <a:solidFill>
              <a:sysClr val="windowText" lastClr="000000"/>
            </a:solidFill>
            <a:latin typeface="Yu Gothic" panose="020B0400000000000000" pitchFamily="34" charset="-128"/>
            <a:ea typeface="Yu Gothic" panose="020B0400000000000000" pitchFamily="34" charset="-128"/>
            <a:cs typeface="+mn-cs"/>
          </a:endParaRPr>
        </a:p>
      </xdr:txBody>
    </xdr:sp>
    <xdr:clientData/>
  </xdr:twoCellAnchor>
  <xdr:twoCellAnchor>
    <xdr:from>
      <xdr:col>9</xdr:col>
      <xdr:colOff>647413</xdr:colOff>
      <xdr:row>4</xdr:row>
      <xdr:rowOff>133348</xdr:rowOff>
    </xdr:from>
    <xdr:to>
      <xdr:col>13</xdr:col>
      <xdr:colOff>96790</xdr:colOff>
      <xdr:row>10</xdr:row>
      <xdr:rowOff>68398</xdr:rowOff>
    </xdr:to>
    <xdr:sp macro="" textlink="">
      <xdr:nvSpPr>
        <xdr:cNvPr id="8" name="矩形: 圓角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683049" y="987712"/>
          <a:ext cx="2693650" cy="1482141"/>
        </a:xfrm>
        <a:prstGeom prst="round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495300</xdr:colOff>
      <xdr:row>10</xdr:row>
      <xdr:rowOff>47625</xdr:rowOff>
    </xdr:from>
    <xdr:to>
      <xdr:col>16</xdr:col>
      <xdr:colOff>278250</xdr:colOff>
      <xdr:row>14</xdr:row>
      <xdr:rowOff>88535</xdr:rowOff>
    </xdr:to>
    <xdr:sp macro="" textlink="">
      <xdr:nvSpPr>
        <xdr:cNvPr id="9" name="圖說文字: 折線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0343573" y="2449080"/>
          <a:ext cx="1664859" cy="108000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35773"/>
            <a:gd name="adj6" fmla="val -31817"/>
          </a:avLst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実棚実施日</a:t>
          </a:r>
          <a:r>
            <a:rPr kumimoji="1" lang="zh-TW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 </a:t>
          </a:r>
          <a:r>
            <a:rPr kumimoji="1" lang="en-US" altLang="zh-TW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:</a:t>
          </a:r>
          <a:r>
            <a:rPr kumimoji="1" lang="zh-TW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 請各窯担当入力。報告日 </a:t>
          </a:r>
          <a:r>
            <a:rPr kumimoji="1" lang="en-US" altLang="zh-TW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:</a:t>
          </a:r>
          <a:r>
            <a:rPr kumimoji="1" lang="zh-TW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 請確認者</a:t>
          </a:r>
          <a:r>
            <a:rPr kumimoji="1" lang="zh-TW" altLang="ja-JP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担当</a:t>
          </a:r>
          <a:r>
            <a:rPr kumimoji="1" lang="zh-TW" altLang="en-US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，以報告寄出日為基準入力。</a:t>
          </a:r>
          <a:endParaRPr kumimoji="1" lang="en-US" altLang="zh-TW" sz="1100">
            <a:solidFill>
              <a:sysClr val="windowText" lastClr="000000"/>
            </a:solidFill>
            <a:latin typeface="Yu Gothic" panose="020B0400000000000000" pitchFamily="34" charset="-128"/>
            <a:ea typeface="Yu Gothic" panose="020B0400000000000000" pitchFamily="34" charset="-128"/>
          </a:endParaRPr>
        </a:p>
        <a:p>
          <a:pPr algn="l"/>
          <a:endParaRPr kumimoji="1" lang="ja-JP" altLang="en-US" sz="1100">
            <a:solidFill>
              <a:sysClr val="windowText" lastClr="000000"/>
            </a:solidFill>
            <a:latin typeface="Yu Gothic" panose="020B0400000000000000" pitchFamily="34" charset="-128"/>
            <a:ea typeface="Yu Gothic" panose="020B0400000000000000" pitchFamily="34" charset="-128"/>
          </a:endParaRPr>
        </a:p>
      </xdr:txBody>
    </xdr:sp>
    <xdr:clientData/>
  </xdr:twoCellAnchor>
  <xdr:twoCellAnchor>
    <xdr:from>
      <xdr:col>5</xdr:col>
      <xdr:colOff>1057273</xdr:colOff>
      <xdr:row>10</xdr:row>
      <xdr:rowOff>200025</xdr:rowOff>
    </xdr:from>
    <xdr:to>
      <xdr:col>12</xdr:col>
      <xdr:colOff>47625</xdr:colOff>
      <xdr:row>18</xdr:row>
      <xdr:rowOff>71775</xdr:rowOff>
    </xdr:to>
    <xdr:sp macro="" textlink="">
      <xdr:nvSpPr>
        <xdr:cNvPr id="10" name="矩形: 圓角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333998" y="2714625"/>
          <a:ext cx="5629277" cy="1872000"/>
        </a:xfrm>
        <a:prstGeom prst="round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685800</xdr:colOff>
      <xdr:row>19</xdr:row>
      <xdr:rowOff>38099</xdr:rowOff>
    </xdr:from>
    <xdr:to>
      <xdr:col>9</xdr:col>
      <xdr:colOff>511050</xdr:colOff>
      <xdr:row>25</xdr:row>
      <xdr:rowOff>134099</xdr:rowOff>
    </xdr:to>
    <xdr:sp macro="" textlink="">
      <xdr:nvSpPr>
        <xdr:cNvPr id="11" name="圖說文字: 折線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996709" y="4748644"/>
          <a:ext cx="1626341" cy="162000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62928"/>
            <a:gd name="adj6" fmla="val -45991"/>
          </a:avLst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zh-TW" altLang="ja-JP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各</a:t>
          </a:r>
          <a:r>
            <a:rPr kumimoji="1" lang="zh-TW" altLang="en-US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炉材</a:t>
          </a:r>
          <a:r>
            <a:rPr kumimoji="1" lang="zh-TW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請依照各項要求入力，若有不明的項目，請使用 </a:t>
          </a:r>
          <a:r>
            <a:rPr kumimoji="1" lang="en-US" altLang="zh-TW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---</a:t>
          </a:r>
          <a:r>
            <a:rPr kumimoji="1" lang="zh-TW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  代表入力，已加工</a:t>
          </a:r>
          <a:r>
            <a:rPr kumimoji="1" lang="en-US" altLang="zh-TW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(</a:t>
          </a:r>
          <a:r>
            <a:rPr kumimoji="1" lang="zh-TW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切</a:t>
          </a:r>
          <a:r>
            <a:rPr kumimoji="1" lang="en-US" altLang="zh-TW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)</a:t>
          </a:r>
          <a:r>
            <a:rPr kumimoji="1" lang="zh-TW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炉材和打開過的不定形耐火物，請不要列入數量計算中。</a:t>
          </a:r>
          <a:endParaRPr kumimoji="1" lang="en-US" altLang="zh-TW" sz="1100">
            <a:solidFill>
              <a:sysClr val="windowText" lastClr="000000"/>
            </a:solidFill>
            <a:latin typeface="Yu Gothic" panose="020B0400000000000000" pitchFamily="34" charset="-128"/>
            <a:ea typeface="Yu Gothic" panose="020B0400000000000000" pitchFamily="34" charset="-128"/>
          </a:endParaRPr>
        </a:p>
      </xdr:txBody>
    </xdr:sp>
    <xdr:clientData/>
  </xdr:twoCellAnchor>
  <xdr:twoCellAnchor>
    <xdr:from>
      <xdr:col>3</xdr:col>
      <xdr:colOff>1047750</xdr:colOff>
      <xdr:row>10</xdr:row>
      <xdr:rowOff>190500</xdr:rowOff>
    </xdr:from>
    <xdr:to>
      <xdr:col>5</xdr:col>
      <xdr:colOff>45000</xdr:colOff>
      <xdr:row>18</xdr:row>
      <xdr:rowOff>62250</xdr:rowOff>
    </xdr:to>
    <xdr:sp macro="" textlink="">
      <xdr:nvSpPr>
        <xdr:cNvPr id="12" name="矩形: 圓角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133725" y="2705100"/>
          <a:ext cx="1188000" cy="1872000"/>
        </a:xfrm>
        <a:prstGeom prst="round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733425</xdr:colOff>
      <xdr:row>4</xdr:row>
      <xdr:rowOff>114299</xdr:rowOff>
    </xdr:from>
    <xdr:to>
      <xdr:col>8</xdr:col>
      <xdr:colOff>285750</xdr:colOff>
      <xdr:row>11</xdr:row>
      <xdr:rowOff>65663</xdr:rowOff>
    </xdr:to>
    <xdr:sp macro="" textlink="">
      <xdr:nvSpPr>
        <xdr:cNvPr id="13" name="圖說文字: 折線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143789" y="968663"/>
          <a:ext cx="1353416" cy="176400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33670"/>
            <a:gd name="adj6" fmla="val -124441"/>
          </a:avLst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zh-TW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以大項目進行區分管理 </a:t>
          </a:r>
          <a:r>
            <a:rPr kumimoji="1" lang="en-US" altLang="zh-TW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:</a:t>
          </a:r>
          <a:r>
            <a:rPr kumimoji="1" lang="zh-TW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 </a:t>
          </a:r>
          <a:endParaRPr kumimoji="1" lang="en-US" altLang="zh-TW" sz="1100">
            <a:solidFill>
              <a:sysClr val="windowText" lastClr="000000"/>
            </a:solidFill>
            <a:latin typeface="Yu Gothic" panose="020B0400000000000000" pitchFamily="34" charset="-128"/>
            <a:ea typeface="Yu Gothic" panose="020B0400000000000000" pitchFamily="34" charset="-128"/>
          </a:endParaRPr>
        </a:p>
        <a:p>
          <a:pPr algn="l"/>
          <a:r>
            <a:rPr kumimoji="1" lang="zh-TW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窯</a:t>
          </a:r>
          <a:endParaRPr kumimoji="1" lang="en-US" altLang="zh-TW" sz="1100">
            <a:solidFill>
              <a:sysClr val="windowText" lastClr="000000"/>
            </a:solidFill>
            <a:latin typeface="Yu Gothic" panose="020B0400000000000000" pitchFamily="34" charset="-128"/>
            <a:ea typeface="Yu Gothic" panose="020B0400000000000000" pitchFamily="34" charset="-128"/>
          </a:endParaRPr>
        </a:p>
        <a:p>
          <a:pPr algn="l"/>
          <a:r>
            <a:rPr kumimoji="1" lang="zh-TW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煙道</a:t>
          </a:r>
          <a:endParaRPr kumimoji="1" lang="en-US" altLang="zh-TW" sz="1100">
            <a:solidFill>
              <a:sysClr val="windowText" lastClr="000000"/>
            </a:solidFill>
            <a:latin typeface="Yu Gothic" panose="020B0400000000000000" pitchFamily="34" charset="-128"/>
            <a:ea typeface="Yu Gothic" panose="020B0400000000000000" pitchFamily="34" charset="-128"/>
          </a:endParaRPr>
        </a:p>
        <a:p>
          <a:pPr algn="l"/>
          <a:r>
            <a:rPr kumimoji="1" lang="en-US" altLang="zh-TW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Interface</a:t>
          </a:r>
        </a:p>
        <a:p>
          <a:pPr algn="l"/>
          <a:r>
            <a:rPr kumimoji="1" lang="en-US" altLang="zh-TW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Bath</a:t>
          </a:r>
          <a:r>
            <a:rPr kumimoji="1" lang="zh-TW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 </a:t>
          </a:r>
          <a:r>
            <a:rPr kumimoji="1" lang="en-US" altLang="zh-TW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Roof</a:t>
          </a:r>
        </a:p>
        <a:p>
          <a:pPr algn="l"/>
          <a:r>
            <a:rPr kumimoji="1" lang="en-US" altLang="zh-TW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Bath</a:t>
          </a:r>
          <a:r>
            <a:rPr kumimoji="1" lang="zh-TW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 </a:t>
          </a:r>
          <a:r>
            <a:rPr kumimoji="1" lang="en-US" altLang="zh-TW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Bottom</a:t>
          </a:r>
        </a:p>
        <a:p>
          <a:pPr algn="l"/>
          <a:endParaRPr kumimoji="1" lang="ja-JP" altLang="en-US" sz="1100">
            <a:solidFill>
              <a:sysClr val="windowText" lastClr="000000"/>
            </a:solidFill>
            <a:latin typeface="Yu Gothic" panose="020B0400000000000000" pitchFamily="34" charset="-128"/>
            <a:ea typeface="Yu Gothic" panose="020B0400000000000000" pitchFamily="34" charset="-128"/>
          </a:endParaRPr>
        </a:p>
      </xdr:txBody>
    </xdr:sp>
    <xdr:clientData/>
  </xdr:twoCellAnchor>
  <xdr:twoCellAnchor>
    <xdr:from>
      <xdr:col>4</xdr:col>
      <xdr:colOff>1047750</xdr:colOff>
      <xdr:row>10</xdr:row>
      <xdr:rowOff>190500</xdr:rowOff>
    </xdr:from>
    <xdr:to>
      <xdr:col>6</xdr:col>
      <xdr:colOff>45000</xdr:colOff>
      <xdr:row>18</xdr:row>
      <xdr:rowOff>62250</xdr:rowOff>
    </xdr:to>
    <xdr:sp macro="" textlink="">
      <xdr:nvSpPr>
        <xdr:cNvPr id="14" name="矩形: 圓角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229100" y="2705100"/>
          <a:ext cx="1188000" cy="1872000"/>
        </a:xfrm>
        <a:prstGeom prst="round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704850</xdr:colOff>
      <xdr:row>10</xdr:row>
      <xdr:rowOff>190500</xdr:rowOff>
    </xdr:from>
    <xdr:to>
      <xdr:col>3</xdr:col>
      <xdr:colOff>45000</xdr:colOff>
      <xdr:row>18</xdr:row>
      <xdr:rowOff>62250</xdr:rowOff>
    </xdr:to>
    <xdr:sp macro="" textlink="">
      <xdr:nvSpPr>
        <xdr:cNvPr id="15" name="矩形: 圓角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42975" y="2705100"/>
          <a:ext cx="1188000" cy="1872000"/>
        </a:xfrm>
        <a:prstGeom prst="round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219075</xdr:colOff>
      <xdr:row>20</xdr:row>
      <xdr:rowOff>95248</xdr:rowOff>
    </xdr:from>
    <xdr:to>
      <xdr:col>7</xdr:col>
      <xdr:colOff>44325</xdr:colOff>
      <xdr:row>28</xdr:row>
      <xdr:rowOff>223248</xdr:rowOff>
    </xdr:to>
    <xdr:sp macro="" textlink="">
      <xdr:nvSpPr>
        <xdr:cNvPr id="16" name="圖說文字: 折線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728893" y="5059793"/>
          <a:ext cx="1626341" cy="216000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46062"/>
            <a:gd name="adj6" fmla="val 612"/>
          </a:avLst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zh-TW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請以各部位的安裝位置入力 </a:t>
          </a:r>
          <a:r>
            <a:rPr kumimoji="1" lang="en-US" altLang="zh-TW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:</a:t>
          </a:r>
          <a:r>
            <a:rPr kumimoji="1" lang="zh-TW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    </a:t>
          </a:r>
          <a:r>
            <a:rPr kumimoji="1" lang="en-US" altLang="ja-JP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【</a:t>
          </a:r>
          <a:r>
            <a:rPr kumimoji="1" lang="ja-JP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窯</a:t>
          </a:r>
          <a:r>
            <a:rPr kumimoji="1" lang="en-US" altLang="ja-JP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】</a:t>
          </a:r>
          <a:r>
            <a:rPr kumimoji="1" lang="zh-TW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大迫 </a:t>
          </a:r>
          <a:r>
            <a:rPr kumimoji="1" lang="en-US" altLang="zh-TW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.</a:t>
          </a:r>
          <a:r>
            <a:rPr kumimoji="1" lang="zh-TW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 当瓦 </a:t>
          </a:r>
          <a:r>
            <a:rPr kumimoji="1" lang="en-US" altLang="zh-TW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.</a:t>
          </a:r>
          <a:r>
            <a:rPr kumimoji="1" lang="zh-TW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 </a:t>
          </a:r>
          <a:r>
            <a:rPr kumimoji="1" lang="ja-JP" altLang="ja-JP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間隙</a:t>
          </a:r>
          <a:r>
            <a:rPr kumimoji="1" lang="zh-TW" altLang="en-US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 </a:t>
          </a:r>
          <a:r>
            <a:rPr kumimoji="1" lang="en-US" altLang="zh-TW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.</a:t>
          </a:r>
          <a:r>
            <a:rPr kumimoji="1" lang="zh-TW" altLang="en-US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 顎瓦 </a:t>
          </a:r>
          <a:r>
            <a:rPr kumimoji="1" lang="en-US" altLang="zh-TW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.</a:t>
          </a:r>
          <a:r>
            <a:rPr kumimoji="1" lang="zh-TW" altLang="en-US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 橫壁 </a:t>
          </a:r>
          <a:r>
            <a:rPr kumimoji="1" lang="en-US" altLang="zh-TW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.</a:t>
          </a:r>
          <a:r>
            <a:rPr kumimoji="1" lang="zh-TW" altLang="en-US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 敷 </a:t>
          </a:r>
          <a:r>
            <a:rPr kumimoji="1" lang="en-US" altLang="zh-TW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.</a:t>
          </a:r>
          <a:r>
            <a:rPr kumimoji="1" lang="zh-TW" altLang="en-US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 電極 </a:t>
          </a:r>
          <a:r>
            <a:rPr kumimoji="1" lang="en-US" altLang="zh-TW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.</a:t>
          </a:r>
          <a:r>
            <a:rPr kumimoji="1" lang="zh-TW" altLang="en-US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 </a:t>
          </a:r>
          <a:r>
            <a:rPr kumimoji="1" lang="en-US" altLang="zh-TW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Pave</a:t>
          </a:r>
          <a:r>
            <a:rPr kumimoji="1" lang="zh-TW" altLang="en-US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 </a:t>
          </a:r>
          <a:r>
            <a:rPr kumimoji="1" lang="en-US" altLang="zh-TW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.</a:t>
          </a:r>
          <a:r>
            <a:rPr kumimoji="1" lang="zh-TW" altLang="en-US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 </a:t>
          </a:r>
          <a:r>
            <a:rPr kumimoji="1" lang="en-US" altLang="zh-TW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SubPave</a:t>
          </a:r>
          <a:r>
            <a:rPr kumimoji="1" lang="zh-TW" altLang="en-US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 </a:t>
          </a:r>
          <a:r>
            <a:rPr kumimoji="1" lang="en-US" altLang="zh-TW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.</a:t>
          </a:r>
          <a:r>
            <a:rPr kumimoji="1" lang="zh-TW" altLang="en-US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                      </a:t>
          </a:r>
          <a:r>
            <a:rPr kumimoji="1" lang="en-US" altLang="ja-JP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【</a:t>
          </a:r>
          <a:r>
            <a:rPr kumimoji="1" lang="en-US" altLang="zh-TW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Interface</a:t>
          </a:r>
          <a:r>
            <a:rPr kumimoji="1" lang="en-US" altLang="ja-JP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】</a:t>
          </a:r>
          <a:r>
            <a:rPr kumimoji="1" lang="zh-TW" altLang="en-US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 </a:t>
          </a:r>
          <a:r>
            <a:rPr kumimoji="1" lang="en-US" altLang="zh-TW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UD</a:t>
          </a:r>
          <a:r>
            <a:rPr kumimoji="1" lang="zh-TW" altLang="en-US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 </a:t>
          </a:r>
          <a:r>
            <a:rPr kumimoji="1" lang="en-US" altLang="zh-TW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.</a:t>
          </a:r>
          <a:r>
            <a:rPr kumimoji="1" lang="zh-TW" altLang="en-US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 </a:t>
          </a:r>
          <a:r>
            <a:rPr kumimoji="1" lang="en-US" altLang="zh-TW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JK</a:t>
          </a:r>
          <a:r>
            <a:rPr kumimoji="1" lang="ja-JP" altLang="en-US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管</a:t>
          </a:r>
          <a:r>
            <a:rPr kumimoji="1" lang="zh-TW" altLang="en-US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 </a:t>
          </a:r>
          <a:r>
            <a:rPr kumimoji="1" lang="en-US" altLang="zh-TW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.</a:t>
          </a:r>
          <a:r>
            <a:rPr kumimoji="1" lang="zh-TW" altLang="en-US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 </a:t>
          </a:r>
          <a:r>
            <a:rPr kumimoji="1" lang="en-US" altLang="zh-TW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G</a:t>
          </a:r>
          <a:r>
            <a:rPr kumimoji="1" lang="zh-TW" altLang="en-US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管 </a:t>
          </a:r>
          <a:r>
            <a:rPr kumimoji="1" lang="en-US" altLang="zh-TW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.</a:t>
          </a:r>
          <a:r>
            <a:rPr kumimoji="1" lang="zh-TW" altLang="en-US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 </a:t>
          </a:r>
          <a:r>
            <a:rPr kumimoji="1" lang="en-US" altLang="zh-TW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BYPASS</a:t>
          </a:r>
          <a:r>
            <a:rPr kumimoji="1" lang="zh-TW" altLang="en-US" sz="1100">
              <a:solidFill>
                <a:sysClr val="windowText" lastClr="000000"/>
              </a:solidFill>
              <a:effectLst/>
              <a:latin typeface="Yu Gothic" panose="020B0400000000000000" pitchFamily="34" charset="-128"/>
              <a:ea typeface="Yu Gothic" panose="020B0400000000000000" pitchFamily="34" charset="-128"/>
              <a:cs typeface="+mn-cs"/>
            </a:rPr>
            <a:t>                  </a:t>
          </a:r>
          <a:r>
            <a:rPr kumimoji="1"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kumimoji="1" lang="en-US" altLang="zh-TW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Bath</a:t>
          </a:r>
          <a:r>
            <a:rPr kumimoji="1"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】</a:t>
          </a:r>
          <a:r>
            <a:rPr kumimoji="1" lang="en-US" altLang="zh-TW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Bath</a:t>
          </a:r>
          <a:r>
            <a:rPr kumimoji="1"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壁</a:t>
          </a:r>
          <a:r>
            <a:rPr kumimoji="1" lang="zh-TW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zh-TW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kumimoji="1" lang="zh-TW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Bath</a:t>
          </a:r>
          <a:r>
            <a:rPr kumimoji="1" lang="zh-TW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zh-TW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Bottom</a:t>
          </a:r>
          <a:r>
            <a:rPr kumimoji="1" lang="zh-TW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zh-TW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  <a:endParaRPr kumimoji="1" lang="en-US" altLang="zh-TW" sz="1100">
            <a:solidFill>
              <a:sysClr val="windowText" lastClr="000000"/>
            </a:solidFill>
            <a:latin typeface="Yu Gothic" panose="020B0400000000000000" pitchFamily="34" charset="-128"/>
            <a:ea typeface="Yu Gothic" panose="020B0400000000000000" pitchFamily="34" charset="-128"/>
          </a:endParaRPr>
        </a:p>
        <a:p>
          <a:pPr algn="l"/>
          <a:r>
            <a:rPr kumimoji="1" lang="zh-TW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 </a:t>
          </a:r>
          <a:endParaRPr kumimoji="1" lang="ja-JP" altLang="en-US" sz="1100">
            <a:solidFill>
              <a:sysClr val="windowText" lastClr="000000"/>
            </a:solidFill>
            <a:latin typeface="Yu Gothic" panose="020B0400000000000000" pitchFamily="34" charset="-128"/>
            <a:ea typeface="Yu Gothic" panose="020B0400000000000000" pitchFamily="34" charset="-128"/>
          </a:endParaRPr>
        </a:p>
      </xdr:txBody>
    </xdr:sp>
    <xdr:clientData/>
  </xdr:twoCellAnchor>
  <xdr:twoCellAnchor>
    <xdr:from>
      <xdr:col>9</xdr:col>
      <xdr:colOff>671879</xdr:colOff>
      <xdr:row>0</xdr:row>
      <xdr:rowOff>19783</xdr:rowOff>
    </xdr:from>
    <xdr:to>
      <xdr:col>12</xdr:col>
      <xdr:colOff>63860</xdr:colOff>
      <xdr:row>4</xdr:row>
      <xdr:rowOff>55108</xdr:rowOff>
    </xdr:to>
    <xdr:sp macro="" textlink="">
      <xdr:nvSpPr>
        <xdr:cNvPr id="17" name="矩形: 圓角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9330104" y="19783"/>
          <a:ext cx="1649406" cy="864000"/>
        </a:xfrm>
        <a:prstGeom prst="round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704850</xdr:colOff>
      <xdr:row>0</xdr:row>
      <xdr:rowOff>237393</xdr:rowOff>
    </xdr:from>
    <xdr:to>
      <xdr:col>15</xdr:col>
      <xdr:colOff>170544</xdr:colOff>
      <xdr:row>3</xdr:row>
      <xdr:rowOff>132185</xdr:rowOff>
    </xdr:to>
    <xdr:sp macro="" textlink="">
      <xdr:nvSpPr>
        <xdr:cNvPr id="18" name="圖說文字: 折線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1620500" y="237393"/>
          <a:ext cx="2085069" cy="647267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83424"/>
            <a:gd name="adj6" fmla="val -36842"/>
          </a:avLst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1"/>
              </a:solidFill>
              <a:latin typeface="+mn-ea"/>
              <a:ea typeface="+mn-ea"/>
            </a:rPr>
            <a:t>経理</a:t>
          </a:r>
          <a:r>
            <a:rPr kumimoji="1" lang="ja-JP" altLang="ja-JP" sz="1100">
              <a:solidFill>
                <a:schemeClr val="tx1"/>
              </a:solidFill>
              <a:effectLst/>
              <a:latin typeface="+mn-ea"/>
              <a:ea typeface="+mn-ea"/>
              <a:cs typeface="+mn-cs"/>
            </a:rPr>
            <a:t>印</a:t>
          </a:r>
          <a:r>
            <a:rPr kumimoji="1" lang="en-US" altLang="zh-TW" sz="1100">
              <a:solidFill>
                <a:schemeClr val="tx1"/>
              </a:solidFill>
              <a:latin typeface="+mn-ea"/>
              <a:ea typeface="+mn-ea"/>
            </a:rPr>
            <a:t>/</a:t>
          </a:r>
          <a:r>
            <a:rPr kumimoji="1" lang="ja-JP" altLang="en-US" sz="1100">
              <a:solidFill>
                <a:schemeClr val="tx1"/>
              </a:solidFill>
              <a:latin typeface="+mn-ea"/>
              <a:ea typeface="+mn-ea"/>
            </a:rPr>
            <a:t>担当者印</a:t>
          </a:r>
          <a:r>
            <a:rPr kumimoji="1" lang="zh-TW" altLang="en-US" sz="1100">
              <a:solidFill>
                <a:schemeClr val="tx1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 </a:t>
          </a:r>
          <a:r>
            <a:rPr kumimoji="1" lang="en-US" altLang="zh-TW" sz="1100">
              <a:solidFill>
                <a:schemeClr val="tx1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:</a:t>
          </a:r>
          <a:r>
            <a:rPr kumimoji="1" lang="zh-TW" altLang="en-US" sz="1100">
              <a:solidFill>
                <a:schemeClr val="tx1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 請入力最新人員姓名。</a:t>
          </a:r>
          <a:endParaRPr kumimoji="1" lang="ja-JP" altLang="en-US" sz="1100">
            <a:solidFill>
              <a:schemeClr val="tx1"/>
            </a:solidFill>
            <a:latin typeface="Yu Gothic" panose="020B0400000000000000" pitchFamily="34" charset="-128"/>
            <a:ea typeface="Yu Gothic" panose="020B0400000000000000" pitchFamily="34" charset="-128"/>
          </a:endParaRPr>
        </a:p>
      </xdr:txBody>
    </xdr:sp>
    <xdr:clientData/>
  </xdr:twoCellAnchor>
  <xdr:twoCellAnchor>
    <xdr:from>
      <xdr:col>11</xdr:col>
      <xdr:colOff>695325</xdr:colOff>
      <xdr:row>10</xdr:row>
      <xdr:rowOff>190500</xdr:rowOff>
    </xdr:from>
    <xdr:to>
      <xdr:col>13</xdr:col>
      <xdr:colOff>35475</xdr:colOff>
      <xdr:row>18</xdr:row>
      <xdr:rowOff>62250</xdr:rowOff>
    </xdr:to>
    <xdr:sp macro="" textlink="">
      <xdr:nvSpPr>
        <xdr:cNvPr id="19" name="矩形: 圓角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0858500" y="2705100"/>
          <a:ext cx="1188000" cy="1872000"/>
        </a:xfrm>
        <a:prstGeom prst="round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180975</xdr:colOff>
      <xdr:row>18</xdr:row>
      <xdr:rowOff>209550</xdr:rowOff>
    </xdr:from>
    <xdr:to>
      <xdr:col>16</xdr:col>
      <xdr:colOff>2025</xdr:colOff>
      <xdr:row>22</xdr:row>
      <xdr:rowOff>93550</xdr:rowOff>
    </xdr:to>
    <xdr:sp macro="" textlink="">
      <xdr:nvSpPr>
        <xdr:cNvPr id="20" name="圖說文字: 折線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029248" y="4666095"/>
          <a:ext cx="1702959" cy="90000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64877"/>
            <a:gd name="adj6" fmla="val -35923"/>
          </a:avLst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  <a:latin typeface="+mn-ea"/>
              <a:ea typeface="+mn-ea"/>
            </a:rPr>
            <a:t>ポイント</a:t>
          </a:r>
          <a:r>
            <a:rPr kumimoji="1" lang="en-US" altLang="zh-TW" sz="1100">
              <a:solidFill>
                <a:sysClr val="windowText" lastClr="000000"/>
              </a:solidFill>
              <a:latin typeface="+mn-ea"/>
              <a:ea typeface="+mn-ea"/>
            </a:rPr>
            <a:t>:</a:t>
          </a:r>
          <a:r>
            <a:rPr kumimoji="1" lang="zh-TW" altLang="en-US" sz="1100">
              <a:solidFill>
                <a:sysClr val="windowText" lastClr="000000"/>
              </a:solidFill>
              <a:latin typeface="+mn-ea"/>
              <a:ea typeface="+mn-ea"/>
            </a:rPr>
            <a:t> </a:t>
          </a:r>
          <a:r>
            <a:rPr kumimoji="1" lang="ja-JP" altLang="en-US" sz="1100">
              <a:solidFill>
                <a:sysClr val="windowText" lastClr="000000"/>
              </a:solidFill>
              <a:latin typeface="+mn-ea"/>
              <a:ea typeface="+mn-ea"/>
            </a:rPr>
            <a:t>炉材使用</a:t>
          </a:r>
          <a:r>
            <a:rPr kumimoji="1" lang="zh-TW" altLang="en-US" sz="1100">
              <a:solidFill>
                <a:sysClr val="windowText" lastClr="000000"/>
              </a:solidFill>
              <a:latin typeface="Yu Gothic" panose="020B0400000000000000" pitchFamily="34" charset="-128"/>
              <a:ea typeface="Yu Gothic" panose="020B0400000000000000" pitchFamily="34" charset="-128"/>
            </a:rPr>
            <a:t>重點記入，不定形耐火物使用期限記入。</a:t>
          </a:r>
          <a:endParaRPr kumimoji="1" lang="en-US" altLang="zh-TW" sz="1100">
            <a:solidFill>
              <a:sysClr val="windowText" lastClr="000000"/>
            </a:solidFill>
            <a:latin typeface="Yu Gothic" panose="020B0400000000000000" pitchFamily="34" charset="-128"/>
            <a:ea typeface="Yu Gothic" panose="020B0400000000000000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438150</xdr:colOff>
          <xdr:row>1</xdr:row>
          <xdr:rowOff>19050</xdr:rowOff>
        </xdr:from>
        <xdr:to>
          <xdr:col>15</xdr:col>
          <xdr:colOff>647700</xdr:colOff>
          <xdr:row>1</xdr:row>
          <xdr:rowOff>323850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300" b="1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2、彙整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34637</xdr:colOff>
      <xdr:row>6</xdr:row>
      <xdr:rowOff>105381</xdr:rowOff>
    </xdr:from>
    <xdr:to>
      <xdr:col>19</xdr:col>
      <xdr:colOff>591921</xdr:colOff>
      <xdr:row>15</xdr:row>
      <xdr:rowOff>36531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30501" r="26081" b="9676"/>
        <a:stretch/>
      </xdr:blipFill>
      <xdr:spPr>
        <a:xfrm>
          <a:off x="14788862" y="1496031"/>
          <a:ext cx="4691134" cy="21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28819</xdr:colOff>
      <xdr:row>19</xdr:row>
      <xdr:rowOff>19050</xdr:rowOff>
    </xdr:from>
    <xdr:to>
      <xdr:col>21</xdr:col>
      <xdr:colOff>34296</xdr:colOff>
      <xdr:row>30</xdr:row>
      <xdr:rowOff>187600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1762" r="22542" b="6192"/>
        <a:stretch/>
      </xdr:blipFill>
      <xdr:spPr>
        <a:xfrm>
          <a:off x="14783044" y="4629150"/>
          <a:ext cx="5504576" cy="288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1</xdr:row>
          <xdr:rowOff>19050</xdr:rowOff>
        </xdr:from>
        <xdr:to>
          <xdr:col>14</xdr:col>
          <xdr:colOff>247650</xdr:colOff>
          <xdr:row>1</xdr:row>
          <xdr:rowOff>323850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300" b="1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1、清除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FF0000"/>
  </sheetPr>
  <dimension ref="B1:T73"/>
  <sheetViews>
    <sheetView zoomScale="85" zoomScaleNormal="85" workbookViewId="0">
      <selection activeCell="E9" sqref="E9"/>
    </sheetView>
  </sheetViews>
  <sheetFormatPr defaultColWidth="8.875" defaultRowHeight="19.5"/>
  <cols>
    <col min="1" max="1" width="2.75" style="1" customWidth="1"/>
    <col min="2" max="2" width="9.25" style="29" bestFit="1" customWidth="1"/>
    <col min="3" max="9" width="14.625" style="29" customWidth="1"/>
    <col min="10" max="12" width="10.625" style="29" customWidth="1"/>
    <col min="13" max="13" width="14.625" style="29" customWidth="1"/>
    <col min="14" max="15" width="8.875" style="1"/>
    <col min="16" max="16" width="9.125" style="1" bestFit="1" customWidth="1"/>
    <col min="17" max="16384" width="8.875" style="1"/>
  </cols>
  <sheetData>
    <row r="1" spans="2:20" ht="6" customHeight="1" thickBot="1">
      <c r="B1" s="7"/>
      <c r="C1" s="7"/>
      <c r="D1" s="7"/>
      <c r="E1" s="7"/>
      <c r="F1" s="7"/>
      <c r="G1" s="7"/>
      <c r="H1" s="8"/>
      <c r="I1" s="9"/>
      <c r="J1" s="7"/>
      <c r="K1" s="7"/>
      <c r="L1" s="10"/>
      <c r="M1" s="11"/>
      <c r="N1" s="4"/>
      <c r="O1" s="5"/>
      <c r="P1" s="5"/>
      <c r="Q1" s="6"/>
      <c r="R1" s="6"/>
      <c r="S1" s="3"/>
      <c r="T1" s="3"/>
    </row>
    <row r="2" spans="2:20">
      <c r="B2" s="7"/>
      <c r="C2" s="7"/>
      <c r="D2" s="7"/>
      <c r="E2" s="7"/>
      <c r="F2" s="12" t="s">
        <v>0</v>
      </c>
      <c r="H2" s="17"/>
      <c r="I2" s="18"/>
      <c r="J2" s="6"/>
      <c r="K2" s="19" t="s">
        <v>1</v>
      </c>
      <c r="L2" s="20" t="s">
        <v>2</v>
      </c>
      <c r="N2" s="21"/>
      <c r="O2" s="5"/>
      <c r="P2" s="5"/>
      <c r="T2" s="22"/>
    </row>
    <row r="3" spans="2:20">
      <c r="B3" s="7" t="s">
        <v>3</v>
      </c>
      <c r="C3" s="7"/>
      <c r="D3" s="7"/>
      <c r="E3" s="7" t="s">
        <v>4</v>
      </c>
      <c r="F3" s="7"/>
      <c r="G3" s="53"/>
      <c r="H3" s="17"/>
      <c r="I3" s="18"/>
      <c r="J3" s="6"/>
      <c r="K3" s="54" t="s">
        <v>5</v>
      </c>
      <c r="L3" s="23" t="s">
        <v>6</v>
      </c>
      <c r="T3" s="7"/>
    </row>
    <row r="4" spans="2:20" ht="20.25" thickBot="1">
      <c r="B4" s="7" t="s">
        <v>7</v>
      </c>
      <c r="C4" s="7" t="s">
        <v>8</v>
      </c>
      <c r="D4" s="7"/>
      <c r="E4" s="16" t="s">
        <v>9</v>
      </c>
      <c r="F4" s="15" t="s">
        <v>10</v>
      </c>
      <c r="G4" s="53"/>
      <c r="H4" s="17"/>
      <c r="I4" s="18"/>
      <c r="J4" s="6"/>
      <c r="K4" s="24"/>
      <c r="L4" s="25"/>
      <c r="T4" s="7"/>
    </row>
    <row r="5" spans="2:20" ht="20.25" thickBot="1">
      <c r="B5" s="7" t="s">
        <v>11</v>
      </c>
      <c r="C5" s="7" t="s">
        <v>12</v>
      </c>
      <c r="D5" s="7"/>
      <c r="E5" s="16" t="s">
        <v>13</v>
      </c>
      <c r="F5" s="15" t="s">
        <v>14</v>
      </c>
      <c r="G5" s="53"/>
      <c r="H5" s="17"/>
      <c r="I5" s="18"/>
      <c r="J5" s="6"/>
      <c r="K5" s="6"/>
      <c r="L5" s="55"/>
      <c r="M5" s="3"/>
      <c r="T5" s="3"/>
    </row>
    <row r="6" spans="2:20">
      <c r="B6" s="7" t="s">
        <v>15</v>
      </c>
      <c r="C6" s="7" t="s">
        <v>16</v>
      </c>
      <c r="D6" s="7"/>
      <c r="E6" s="16" t="s">
        <v>17</v>
      </c>
      <c r="F6" s="15" t="s">
        <v>18</v>
      </c>
      <c r="G6" s="7"/>
      <c r="H6" s="8"/>
      <c r="I6" s="9"/>
      <c r="K6" s="26" t="s">
        <v>19</v>
      </c>
      <c r="L6" s="27" t="s">
        <v>20</v>
      </c>
      <c r="M6" s="28"/>
      <c r="T6" s="3"/>
    </row>
    <row r="7" spans="2:20">
      <c r="B7" s="7" t="s">
        <v>21</v>
      </c>
      <c r="C7" s="7" t="s">
        <v>22</v>
      </c>
      <c r="D7" s="7"/>
      <c r="E7" s="15" t="s">
        <v>23</v>
      </c>
      <c r="F7" s="7"/>
      <c r="G7" s="30"/>
      <c r="H7" s="8"/>
      <c r="I7" s="9"/>
      <c r="K7" s="31" t="s">
        <v>24</v>
      </c>
      <c r="L7" s="32" t="s">
        <v>25</v>
      </c>
      <c r="M7" s="33"/>
      <c r="T7" s="3"/>
    </row>
    <row r="8" spans="2:20" ht="20.25" thickBot="1">
      <c r="E8" s="7"/>
      <c r="F8" s="7"/>
      <c r="G8" s="30"/>
      <c r="H8" s="8"/>
      <c r="I8" s="9"/>
      <c r="K8" s="34" t="s">
        <v>26</v>
      </c>
      <c r="L8" s="35" t="s">
        <v>27</v>
      </c>
      <c r="M8" s="36"/>
      <c r="T8" s="3"/>
    </row>
    <row r="9" spans="2:20">
      <c r="E9" s="7"/>
      <c r="F9" s="7"/>
      <c r="G9" s="30"/>
      <c r="H9" s="8"/>
      <c r="I9" s="9"/>
      <c r="J9" s="6"/>
      <c r="K9" s="6"/>
      <c r="L9" s="37" t="s">
        <v>28</v>
      </c>
      <c r="M9" s="38">
        <v>45107</v>
      </c>
      <c r="T9" s="3"/>
    </row>
    <row r="10" spans="2:20">
      <c r="E10" s="7"/>
      <c r="F10" s="7"/>
      <c r="G10" s="30"/>
      <c r="H10" s="8"/>
      <c r="I10" s="9"/>
      <c r="J10" s="39"/>
      <c r="K10" s="39"/>
      <c r="L10" s="37" t="s">
        <v>29</v>
      </c>
      <c r="M10" s="38">
        <v>45097</v>
      </c>
      <c r="T10" s="40"/>
    </row>
    <row r="11" spans="2:20" ht="20.25" thickBot="1">
      <c r="B11" s="7"/>
      <c r="C11" s="41"/>
      <c r="D11" s="41"/>
      <c r="E11" s="41"/>
      <c r="F11" s="41"/>
      <c r="G11" s="41"/>
      <c r="H11" s="41"/>
      <c r="I11" s="41"/>
      <c r="J11" s="41"/>
      <c r="K11" s="41"/>
      <c r="L11" s="1"/>
      <c r="M11" s="1"/>
      <c r="T11" s="40"/>
    </row>
    <row r="12" spans="2:20" ht="20.25" thickBot="1">
      <c r="B12" s="42" t="s">
        <v>30</v>
      </c>
      <c r="C12" s="43" t="s">
        <v>31</v>
      </c>
      <c r="D12" s="43" t="s">
        <v>32</v>
      </c>
      <c r="E12" s="44" t="s">
        <v>33</v>
      </c>
      <c r="F12" s="44" t="s">
        <v>34</v>
      </c>
      <c r="G12" s="43" t="s">
        <v>35</v>
      </c>
      <c r="H12" s="43" t="s">
        <v>36</v>
      </c>
      <c r="I12" s="43" t="s">
        <v>37</v>
      </c>
      <c r="J12" s="43" t="s">
        <v>38</v>
      </c>
      <c r="K12" s="43" t="s">
        <v>39</v>
      </c>
      <c r="L12" s="45" t="s">
        <v>40</v>
      </c>
      <c r="M12" s="45" t="s">
        <v>41</v>
      </c>
    </row>
    <row r="13" spans="2:20">
      <c r="B13" s="56" t="s">
        <v>42</v>
      </c>
      <c r="C13" s="57" t="s">
        <v>43</v>
      </c>
      <c r="D13" s="57" t="s">
        <v>44</v>
      </c>
      <c r="E13" s="57" t="s">
        <v>45</v>
      </c>
      <c r="F13" s="57" t="s">
        <v>46</v>
      </c>
      <c r="G13" s="57" t="s">
        <v>47</v>
      </c>
      <c r="H13" s="58" t="s">
        <v>48</v>
      </c>
      <c r="I13" s="57" t="s">
        <v>49</v>
      </c>
      <c r="J13" s="57">
        <v>30</v>
      </c>
      <c r="K13" s="57" t="s">
        <v>50</v>
      </c>
      <c r="L13" s="59">
        <v>33</v>
      </c>
      <c r="M13" s="60"/>
    </row>
    <row r="14" spans="2:20">
      <c r="B14" s="61" t="s">
        <v>42</v>
      </c>
      <c r="C14" s="62" t="s">
        <v>43</v>
      </c>
      <c r="D14" s="62" t="s">
        <v>44</v>
      </c>
      <c r="E14" s="62" t="s">
        <v>45</v>
      </c>
      <c r="F14" s="62" t="s">
        <v>46</v>
      </c>
      <c r="G14" s="62" t="s">
        <v>47</v>
      </c>
      <c r="H14" s="63" t="s">
        <v>51</v>
      </c>
      <c r="I14" s="62" t="s">
        <v>52</v>
      </c>
      <c r="J14" s="62">
        <v>20</v>
      </c>
      <c r="K14" s="62" t="s">
        <v>50</v>
      </c>
      <c r="L14" s="64">
        <v>38.5</v>
      </c>
      <c r="M14" s="65"/>
    </row>
    <row r="15" spans="2:20">
      <c r="B15" s="61" t="s">
        <v>53</v>
      </c>
      <c r="C15" s="62" t="s">
        <v>43</v>
      </c>
      <c r="D15" s="62" t="s">
        <v>54</v>
      </c>
      <c r="E15" s="62" t="s">
        <v>45</v>
      </c>
      <c r="F15" s="62" t="s">
        <v>55</v>
      </c>
      <c r="G15" s="62" t="s">
        <v>56</v>
      </c>
      <c r="H15" s="63" t="s">
        <v>57</v>
      </c>
      <c r="I15" s="66" t="s">
        <v>58</v>
      </c>
      <c r="J15" s="62">
        <v>2</v>
      </c>
      <c r="K15" s="62" t="s">
        <v>50</v>
      </c>
      <c r="L15" s="64">
        <v>14.9</v>
      </c>
      <c r="M15" s="65"/>
    </row>
    <row r="16" spans="2:20">
      <c r="B16" s="61" t="s">
        <v>59</v>
      </c>
      <c r="C16" s="62" t="s">
        <v>43</v>
      </c>
      <c r="D16" s="62" t="s">
        <v>60</v>
      </c>
      <c r="E16" s="62" t="s">
        <v>61</v>
      </c>
      <c r="F16" s="62" t="s">
        <v>62</v>
      </c>
      <c r="G16" s="62" t="s">
        <v>63</v>
      </c>
      <c r="H16" s="63" t="s">
        <v>64</v>
      </c>
      <c r="I16" s="62" t="s">
        <v>65</v>
      </c>
      <c r="J16" s="62">
        <v>120</v>
      </c>
      <c r="K16" s="62" t="s">
        <v>50</v>
      </c>
      <c r="L16" s="67">
        <v>1.36</v>
      </c>
      <c r="M16" s="65"/>
    </row>
    <row r="17" spans="2:13">
      <c r="B17" s="61" t="s">
        <v>66</v>
      </c>
      <c r="C17" s="62" t="s">
        <v>43</v>
      </c>
      <c r="D17" s="62" t="s">
        <v>67</v>
      </c>
      <c r="E17" s="62" t="s">
        <v>68</v>
      </c>
      <c r="F17" s="62" t="s">
        <v>69</v>
      </c>
      <c r="G17" s="62" t="s">
        <v>70</v>
      </c>
      <c r="H17" s="66" t="s">
        <v>58</v>
      </c>
      <c r="I17" s="66" t="s">
        <v>58</v>
      </c>
      <c r="J17" s="62">
        <v>60</v>
      </c>
      <c r="K17" s="62" t="s">
        <v>71</v>
      </c>
      <c r="L17" s="64">
        <v>25</v>
      </c>
      <c r="M17" s="68">
        <v>47696</v>
      </c>
    </row>
    <row r="18" spans="2:13">
      <c r="B18" s="61" t="s">
        <v>53</v>
      </c>
      <c r="C18" s="62" t="s">
        <v>43</v>
      </c>
      <c r="D18" s="62" t="s">
        <v>72</v>
      </c>
      <c r="E18" s="62" t="s">
        <v>73</v>
      </c>
      <c r="F18" s="62" t="s">
        <v>74</v>
      </c>
      <c r="G18" s="62" t="s">
        <v>75</v>
      </c>
      <c r="H18" s="69" t="s">
        <v>76</v>
      </c>
      <c r="I18" s="66" t="s">
        <v>58</v>
      </c>
      <c r="J18" s="62">
        <v>12</v>
      </c>
      <c r="K18" s="62" t="s">
        <v>50</v>
      </c>
      <c r="L18" s="70" t="s">
        <v>58</v>
      </c>
      <c r="M18" s="65"/>
    </row>
    <row r="19" spans="2:13">
      <c r="B19" s="46"/>
      <c r="C19" s="13"/>
      <c r="D19" s="13"/>
      <c r="E19" s="13"/>
      <c r="F19" s="13"/>
      <c r="G19" s="13"/>
      <c r="H19" s="14"/>
      <c r="I19" s="47"/>
      <c r="J19" s="13"/>
      <c r="K19" s="13"/>
      <c r="L19" s="13"/>
      <c r="M19" s="65"/>
    </row>
    <row r="20" spans="2:13">
      <c r="B20" s="46"/>
      <c r="C20" s="13"/>
      <c r="D20" s="13"/>
      <c r="E20" s="13"/>
      <c r="F20" s="13"/>
      <c r="G20" s="13"/>
      <c r="H20" s="14"/>
      <c r="I20" s="47"/>
      <c r="J20" s="13"/>
      <c r="K20" s="13"/>
      <c r="L20" s="13"/>
      <c r="M20" s="65"/>
    </row>
    <row r="21" spans="2:13">
      <c r="B21" s="46"/>
      <c r="C21" s="13"/>
      <c r="D21" s="13"/>
      <c r="E21" s="13"/>
      <c r="F21" s="13"/>
      <c r="G21" s="13"/>
      <c r="H21" s="14"/>
      <c r="I21" s="47"/>
      <c r="J21" s="13"/>
      <c r="K21" s="13"/>
      <c r="L21" s="13"/>
      <c r="M21" s="65"/>
    </row>
    <row r="22" spans="2:13">
      <c r="B22" s="46"/>
      <c r="C22" s="13"/>
      <c r="D22" s="13"/>
      <c r="E22" s="13"/>
      <c r="F22" s="13"/>
      <c r="G22" s="13"/>
      <c r="H22" s="14"/>
      <c r="I22" s="47"/>
      <c r="J22" s="13"/>
      <c r="K22" s="13"/>
      <c r="L22" s="13"/>
      <c r="M22" s="65"/>
    </row>
    <row r="23" spans="2:13">
      <c r="B23" s="46"/>
      <c r="C23" s="13"/>
      <c r="D23" s="13"/>
      <c r="E23" s="13"/>
      <c r="F23" s="13"/>
      <c r="G23" s="13"/>
      <c r="H23" s="14"/>
      <c r="I23" s="47"/>
      <c r="J23" s="13"/>
      <c r="K23" s="13"/>
      <c r="L23" s="13"/>
      <c r="M23" s="65"/>
    </row>
    <row r="24" spans="2:13">
      <c r="B24" s="46"/>
      <c r="C24" s="13"/>
      <c r="D24" s="13"/>
      <c r="E24" s="13"/>
      <c r="F24" s="13"/>
      <c r="G24" s="13"/>
      <c r="H24" s="14"/>
      <c r="I24" s="47"/>
      <c r="J24" s="13"/>
      <c r="K24" s="13"/>
      <c r="L24" s="13"/>
      <c r="M24" s="65"/>
    </row>
    <row r="25" spans="2:13">
      <c r="B25" s="46"/>
      <c r="C25" s="13"/>
      <c r="D25" s="13"/>
      <c r="E25" s="13"/>
      <c r="F25" s="13"/>
      <c r="G25" s="13"/>
      <c r="H25" s="14"/>
      <c r="I25" s="47"/>
      <c r="J25" s="13"/>
      <c r="K25" s="13"/>
      <c r="L25" s="13"/>
      <c r="M25" s="65"/>
    </row>
    <row r="26" spans="2:13">
      <c r="B26" s="46"/>
      <c r="C26" s="13"/>
      <c r="D26" s="13"/>
      <c r="E26" s="13"/>
      <c r="F26" s="13"/>
      <c r="G26" s="13"/>
      <c r="H26" s="14"/>
      <c r="I26" s="47"/>
      <c r="J26" s="13"/>
      <c r="K26" s="13"/>
      <c r="L26" s="13"/>
      <c r="M26" s="65"/>
    </row>
    <row r="27" spans="2:13">
      <c r="B27" s="46"/>
      <c r="C27" s="13"/>
      <c r="D27" s="13"/>
      <c r="E27" s="13"/>
      <c r="F27" s="13"/>
      <c r="G27" s="13"/>
      <c r="H27" s="14"/>
      <c r="I27" s="47"/>
      <c r="J27" s="13"/>
      <c r="K27" s="13"/>
      <c r="L27" s="13"/>
      <c r="M27" s="65"/>
    </row>
    <row r="28" spans="2:13">
      <c r="B28" s="46"/>
      <c r="C28" s="13"/>
      <c r="D28" s="13"/>
      <c r="E28" s="13"/>
      <c r="F28" s="13"/>
      <c r="G28" s="13"/>
      <c r="H28" s="14"/>
      <c r="I28" s="47"/>
      <c r="J28" s="13"/>
      <c r="K28" s="13"/>
      <c r="L28" s="13"/>
      <c r="M28" s="65"/>
    </row>
    <row r="29" spans="2:13">
      <c r="B29" s="46"/>
      <c r="C29" s="13"/>
      <c r="D29" s="13"/>
      <c r="E29" s="13"/>
      <c r="F29" s="13"/>
      <c r="G29" s="13"/>
      <c r="H29" s="14"/>
      <c r="I29" s="47"/>
      <c r="J29" s="13"/>
      <c r="K29" s="13"/>
      <c r="L29" s="13"/>
      <c r="M29" s="65"/>
    </row>
    <row r="30" spans="2:13">
      <c r="B30" s="46"/>
      <c r="C30" s="13"/>
      <c r="D30" s="13"/>
      <c r="E30" s="13"/>
      <c r="F30" s="13"/>
      <c r="G30" s="13"/>
      <c r="H30" s="14"/>
      <c r="I30" s="47"/>
      <c r="J30" s="13"/>
      <c r="K30" s="13"/>
      <c r="L30" s="13"/>
      <c r="M30" s="65"/>
    </row>
    <row r="31" spans="2:13">
      <c r="B31" s="46"/>
      <c r="C31" s="13"/>
      <c r="D31" s="13"/>
      <c r="E31" s="13"/>
      <c r="F31" s="13"/>
      <c r="G31" s="13"/>
      <c r="H31" s="14"/>
      <c r="I31" s="47"/>
      <c r="J31" s="13"/>
      <c r="K31" s="13"/>
      <c r="L31" s="13"/>
      <c r="M31" s="65"/>
    </row>
    <row r="32" spans="2:13">
      <c r="B32" s="46"/>
      <c r="C32" s="13"/>
      <c r="D32" s="13"/>
      <c r="E32" s="13"/>
      <c r="F32" s="13"/>
      <c r="G32" s="13"/>
      <c r="H32" s="14"/>
      <c r="I32" s="47"/>
      <c r="J32" s="13"/>
      <c r="K32" s="13"/>
      <c r="L32" s="13"/>
      <c r="M32" s="65"/>
    </row>
    <row r="33" spans="2:13">
      <c r="B33" s="46"/>
      <c r="C33" s="13"/>
      <c r="D33" s="13"/>
      <c r="E33" s="13"/>
      <c r="F33" s="13"/>
      <c r="G33" s="13"/>
      <c r="H33" s="14"/>
      <c r="I33" s="47"/>
      <c r="J33" s="13"/>
      <c r="K33" s="13"/>
      <c r="L33" s="13"/>
      <c r="M33" s="65"/>
    </row>
    <row r="34" spans="2:13">
      <c r="B34" s="46"/>
      <c r="C34" s="13"/>
      <c r="D34" s="13"/>
      <c r="E34" s="13"/>
      <c r="F34" s="13"/>
      <c r="G34" s="13"/>
      <c r="H34" s="14"/>
      <c r="I34" s="47"/>
      <c r="J34" s="13"/>
      <c r="K34" s="13"/>
      <c r="L34" s="13"/>
      <c r="M34" s="65"/>
    </row>
    <row r="35" spans="2:13">
      <c r="B35" s="46"/>
      <c r="C35" s="13"/>
      <c r="D35" s="13"/>
      <c r="E35" s="13"/>
      <c r="F35" s="13"/>
      <c r="G35" s="13"/>
      <c r="H35" s="14"/>
      <c r="I35" s="47"/>
      <c r="J35" s="13"/>
      <c r="K35" s="13"/>
      <c r="L35" s="13"/>
      <c r="M35" s="65"/>
    </row>
    <row r="36" spans="2:13">
      <c r="B36" s="46"/>
      <c r="C36" s="13"/>
      <c r="D36" s="13"/>
      <c r="E36" s="13"/>
      <c r="F36" s="13"/>
      <c r="G36" s="13"/>
      <c r="H36" s="14"/>
      <c r="I36" s="47"/>
      <c r="J36" s="13"/>
      <c r="K36" s="13"/>
      <c r="L36" s="13"/>
      <c r="M36" s="65"/>
    </row>
    <row r="37" spans="2:13">
      <c r="B37" s="46"/>
      <c r="C37" s="13"/>
      <c r="D37" s="13"/>
      <c r="E37" s="13"/>
      <c r="F37" s="13"/>
      <c r="G37" s="13"/>
      <c r="H37" s="14"/>
      <c r="I37" s="47"/>
      <c r="J37" s="13"/>
      <c r="K37" s="13"/>
      <c r="L37" s="13"/>
      <c r="M37" s="65"/>
    </row>
    <row r="38" spans="2:13">
      <c r="B38" s="46"/>
      <c r="C38" s="13"/>
      <c r="D38" s="13"/>
      <c r="E38" s="13"/>
      <c r="F38" s="13"/>
      <c r="G38" s="13"/>
      <c r="H38" s="14"/>
      <c r="I38" s="47"/>
      <c r="J38" s="13"/>
      <c r="K38" s="13"/>
      <c r="L38" s="13"/>
      <c r="M38" s="65"/>
    </row>
    <row r="39" spans="2:13">
      <c r="B39" s="46"/>
      <c r="C39" s="13"/>
      <c r="D39" s="13"/>
      <c r="E39" s="13"/>
      <c r="F39" s="13"/>
      <c r="G39" s="13"/>
      <c r="H39" s="14"/>
      <c r="I39" s="47"/>
      <c r="J39" s="13"/>
      <c r="K39" s="13"/>
      <c r="L39" s="13"/>
      <c r="M39" s="65"/>
    </row>
    <row r="40" spans="2:13">
      <c r="B40" s="46"/>
      <c r="C40" s="13"/>
      <c r="D40" s="13"/>
      <c r="E40" s="13"/>
      <c r="F40" s="13"/>
      <c r="G40" s="13"/>
      <c r="H40" s="14"/>
      <c r="I40" s="47"/>
      <c r="J40" s="13"/>
      <c r="K40" s="13"/>
      <c r="L40" s="13"/>
      <c r="M40" s="65"/>
    </row>
    <row r="41" spans="2:13">
      <c r="B41" s="46"/>
      <c r="C41" s="13"/>
      <c r="D41" s="13"/>
      <c r="E41" s="13"/>
      <c r="F41" s="13"/>
      <c r="G41" s="13"/>
      <c r="H41" s="14"/>
      <c r="I41" s="47"/>
      <c r="J41" s="13"/>
      <c r="K41" s="13"/>
      <c r="L41" s="13"/>
      <c r="M41" s="65"/>
    </row>
    <row r="42" spans="2:13">
      <c r="B42" s="46"/>
      <c r="C42" s="13"/>
      <c r="D42" s="13"/>
      <c r="E42" s="13"/>
      <c r="F42" s="13"/>
      <c r="G42" s="13"/>
      <c r="H42" s="14"/>
      <c r="I42" s="47"/>
      <c r="J42" s="13"/>
      <c r="K42" s="13"/>
      <c r="L42" s="13"/>
      <c r="M42" s="65"/>
    </row>
    <row r="43" spans="2:13">
      <c r="B43" s="46"/>
      <c r="C43" s="13"/>
      <c r="D43" s="13"/>
      <c r="E43" s="13"/>
      <c r="F43" s="13"/>
      <c r="G43" s="13"/>
      <c r="H43" s="14"/>
      <c r="I43" s="47"/>
      <c r="J43" s="13"/>
      <c r="K43" s="13"/>
      <c r="L43" s="13"/>
      <c r="M43" s="65"/>
    </row>
    <row r="44" spans="2:13">
      <c r="B44" s="46"/>
      <c r="C44" s="13"/>
      <c r="D44" s="13"/>
      <c r="E44" s="13"/>
      <c r="F44" s="13"/>
      <c r="G44" s="13"/>
      <c r="H44" s="14"/>
      <c r="I44" s="47"/>
      <c r="J44" s="13"/>
      <c r="K44" s="13"/>
      <c r="L44" s="13"/>
      <c r="M44" s="65"/>
    </row>
    <row r="45" spans="2:13">
      <c r="B45" s="46"/>
      <c r="C45" s="13"/>
      <c r="D45" s="13"/>
      <c r="E45" s="13"/>
      <c r="F45" s="13"/>
      <c r="G45" s="13"/>
      <c r="H45" s="14"/>
      <c r="I45" s="47"/>
      <c r="J45" s="13"/>
      <c r="K45" s="13"/>
      <c r="L45" s="13"/>
      <c r="M45" s="65"/>
    </row>
    <row r="46" spans="2:13">
      <c r="B46" s="46"/>
      <c r="C46" s="13"/>
      <c r="D46" s="13"/>
      <c r="E46" s="13"/>
      <c r="F46" s="13"/>
      <c r="G46" s="13"/>
      <c r="H46" s="14"/>
      <c r="I46" s="47"/>
      <c r="J46" s="13"/>
      <c r="K46" s="13"/>
      <c r="L46" s="13"/>
      <c r="M46" s="65"/>
    </row>
    <row r="47" spans="2:13">
      <c r="B47" s="46"/>
      <c r="C47" s="13"/>
      <c r="D47" s="13"/>
      <c r="E47" s="13"/>
      <c r="F47" s="13"/>
      <c r="G47" s="13"/>
      <c r="H47" s="14"/>
      <c r="I47" s="47"/>
      <c r="J47" s="13"/>
      <c r="K47" s="13"/>
      <c r="L47" s="13"/>
      <c r="M47" s="65"/>
    </row>
    <row r="48" spans="2:13">
      <c r="B48" s="46"/>
      <c r="C48" s="13"/>
      <c r="D48" s="13"/>
      <c r="E48" s="13"/>
      <c r="F48" s="13"/>
      <c r="G48" s="13"/>
      <c r="H48" s="14"/>
      <c r="I48" s="47"/>
      <c r="J48" s="13"/>
      <c r="K48" s="13"/>
      <c r="L48" s="13"/>
      <c r="M48" s="65"/>
    </row>
    <row r="49" spans="2:13">
      <c r="B49" s="46"/>
      <c r="C49" s="13"/>
      <c r="D49" s="13"/>
      <c r="E49" s="13"/>
      <c r="F49" s="13"/>
      <c r="G49" s="13"/>
      <c r="H49" s="14"/>
      <c r="I49" s="13"/>
      <c r="J49" s="13"/>
      <c r="K49" s="13"/>
      <c r="L49" s="13"/>
      <c r="M49" s="65"/>
    </row>
    <row r="50" spans="2:13">
      <c r="B50" s="46"/>
      <c r="C50" s="13"/>
      <c r="D50" s="13"/>
      <c r="E50" s="13"/>
      <c r="F50" s="13"/>
      <c r="G50" s="13"/>
      <c r="H50" s="14"/>
      <c r="I50" s="13"/>
      <c r="J50" s="13"/>
      <c r="K50" s="13"/>
      <c r="L50" s="13"/>
      <c r="M50" s="65"/>
    </row>
    <row r="51" spans="2:13">
      <c r="B51" s="46"/>
      <c r="C51" s="13"/>
      <c r="D51" s="13"/>
      <c r="E51" s="13"/>
      <c r="F51" s="13"/>
      <c r="G51" s="13"/>
      <c r="H51" s="14"/>
      <c r="I51" s="13"/>
      <c r="J51" s="13"/>
      <c r="K51" s="13"/>
      <c r="L51" s="13"/>
      <c r="M51" s="65"/>
    </row>
    <row r="52" spans="2:13">
      <c r="B52" s="46"/>
      <c r="C52" s="13"/>
      <c r="D52" s="13"/>
      <c r="E52" s="13"/>
      <c r="F52" s="13"/>
      <c r="G52" s="13"/>
      <c r="H52" s="14"/>
      <c r="I52" s="13"/>
      <c r="J52" s="13"/>
      <c r="K52" s="13"/>
      <c r="L52" s="13"/>
      <c r="M52" s="65"/>
    </row>
    <row r="53" spans="2:13">
      <c r="B53" s="46"/>
      <c r="C53" s="13"/>
      <c r="D53" s="13"/>
      <c r="E53" s="13"/>
      <c r="F53" s="13"/>
      <c r="G53" s="13"/>
      <c r="H53" s="14"/>
      <c r="I53" s="13"/>
      <c r="J53" s="13"/>
      <c r="K53" s="13"/>
      <c r="L53" s="13"/>
      <c r="M53" s="65"/>
    </row>
    <row r="54" spans="2:13">
      <c r="B54" s="46"/>
      <c r="C54" s="13"/>
      <c r="D54" s="13"/>
      <c r="E54" s="13"/>
      <c r="F54" s="13"/>
      <c r="G54" s="13"/>
      <c r="H54" s="14"/>
      <c r="I54" s="13"/>
      <c r="J54" s="13"/>
      <c r="K54" s="13"/>
      <c r="L54" s="13"/>
      <c r="M54" s="65"/>
    </row>
    <row r="55" spans="2:13">
      <c r="B55" s="46"/>
      <c r="C55" s="13"/>
      <c r="D55" s="13"/>
      <c r="E55" s="13"/>
      <c r="F55" s="13"/>
      <c r="G55" s="13"/>
      <c r="H55" s="14"/>
      <c r="I55" s="13"/>
      <c r="J55" s="13"/>
      <c r="K55" s="13"/>
      <c r="L55" s="13"/>
      <c r="M55" s="65"/>
    </row>
    <row r="56" spans="2:13">
      <c r="B56" s="46"/>
      <c r="C56" s="13"/>
      <c r="D56" s="13"/>
      <c r="E56" s="13"/>
      <c r="F56" s="13"/>
      <c r="G56" s="13"/>
      <c r="H56" s="14"/>
      <c r="I56" s="13"/>
      <c r="J56" s="13"/>
      <c r="K56" s="13"/>
      <c r="L56" s="13"/>
      <c r="M56" s="65"/>
    </row>
    <row r="57" spans="2:13">
      <c r="B57" s="46"/>
      <c r="C57" s="13"/>
      <c r="D57" s="13"/>
      <c r="E57" s="13"/>
      <c r="F57" s="13"/>
      <c r="G57" s="13"/>
      <c r="H57" s="14"/>
      <c r="I57" s="13"/>
      <c r="J57" s="13"/>
      <c r="K57" s="13"/>
      <c r="L57" s="13"/>
      <c r="M57" s="65"/>
    </row>
    <row r="58" spans="2:13">
      <c r="B58" s="46"/>
      <c r="C58" s="13"/>
      <c r="D58" s="13"/>
      <c r="E58" s="13"/>
      <c r="F58" s="13"/>
      <c r="G58" s="13"/>
      <c r="H58" s="14"/>
      <c r="I58" s="13"/>
      <c r="J58" s="13"/>
      <c r="K58" s="13"/>
      <c r="L58" s="13"/>
      <c r="M58" s="65"/>
    </row>
    <row r="59" spans="2:13">
      <c r="B59" s="46"/>
      <c r="C59" s="13"/>
      <c r="D59" s="13"/>
      <c r="E59" s="13"/>
      <c r="F59" s="13"/>
      <c r="G59" s="13"/>
      <c r="H59" s="14"/>
      <c r="I59" s="13"/>
      <c r="J59" s="13"/>
      <c r="K59" s="13"/>
      <c r="L59" s="13"/>
      <c r="M59" s="65"/>
    </row>
    <row r="60" spans="2:13">
      <c r="B60" s="46"/>
      <c r="C60" s="13"/>
      <c r="D60" s="13"/>
      <c r="E60" s="13"/>
      <c r="F60" s="13"/>
      <c r="G60" s="13"/>
      <c r="H60" s="14"/>
      <c r="I60" s="13"/>
      <c r="J60" s="13"/>
      <c r="K60" s="13"/>
      <c r="L60" s="13"/>
      <c r="M60" s="65"/>
    </row>
    <row r="61" spans="2:13">
      <c r="B61" s="46"/>
      <c r="C61" s="13"/>
      <c r="D61" s="13"/>
      <c r="E61" s="13"/>
      <c r="F61" s="13"/>
      <c r="G61" s="13"/>
      <c r="H61" s="14"/>
      <c r="I61" s="13"/>
      <c r="J61" s="13"/>
      <c r="K61" s="13"/>
      <c r="L61" s="13"/>
      <c r="M61" s="65"/>
    </row>
    <row r="62" spans="2:13">
      <c r="B62" s="46"/>
      <c r="C62" s="13"/>
      <c r="D62" s="13"/>
      <c r="E62" s="13"/>
      <c r="F62" s="13"/>
      <c r="G62" s="13"/>
      <c r="H62" s="14"/>
      <c r="I62" s="13"/>
      <c r="J62" s="13"/>
      <c r="K62" s="13"/>
      <c r="L62" s="13"/>
      <c r="M62" s="65"/>
    </row>
    <row r="63" spans="2:13">
      <c r="B63" s="46"/>
      <c r="C63" s="13"/>
      <c r="D63" s="13"/>
      <c r="E63" s="13"/>
      <c r="F63" s="13"/>
      <c r="G63" s="13"/>
      <c r="H63" s="14"/>
      <c r="I63" s="13"/>
      <c r="J63" s="13"/>
      <c r="K63" s="13"/>
      <c r="L63" s="13"/>
      <c r="M63" s="65"/>
    </row>
    <row r="64" spans="2:13">
      <c r="B64" s="46"/>
      <c r="C64" s="13"/>
      <c r="D64" s="13"/>
      <c r="E64" s="13"/>
      <c r="F64" s="13"/>
      <c r="G64" s="13"/>
      <c r="H64" s="14"/>
      <c r="I64" s="13"/>
      <c r="J64" s="13"/>
      <c r="K64" s="13"/>
      <c r="L64" s="13"/>
      <c r="M64" s="65"/>
    </row>
    <row r="65" spans="2:13">
      <c r="B65" s="46"/>
      <c r="C65" s="13"/>
      <c r="D65" s="13"/>
      <c r="E65" s="13"/>
      <c r="F65" s="13"/>
      <c r="G65" s="13"/>
      <c r="H65" s="14"/>
      <c r="I65" s="13"/>
      <c r="J65" s="13"/>
      <c r="K65" s="13"/>
      <c r="L65" s="13"/>
      <c r="M65" s="65"/>
    </row>
    <row r="66" spans="2:13" ht="20.25" thickBot="1">
      <c r="B66" s="48"/>
      <c r="C66" s="49"/>
      <c r="D66" s="49"/>
      <c r="E66" s="49"/>
      <c r="F66" s="49"/>
      <c r="G66" s="49"/>
      <c r="H66" s="50"/>
      <c r="I66" s="49"/>
      <c r="J66" s="49"/>
      <c r="K66" s="49"/>
      <c r="L66" s="49"/>
      <c r="M66" s="71"/>
    </row>
    <row r="67" spans="2:13">
      <c r="H67" s="51"/>
      <c r="M67" s="52"/>
    </row>
    <row r="68" spans="2:13">
      <c r="H68" s="51"/>
    </row>
    <row r="69" spans="2:13">
      <c r="H69" s="51"/>
    </row>
    <row r="70" spans="2:13">
      <c r="H70" s="51"/>
    </row>
    <row r="71" spans="2:13">
      <c r="H71" s="51"/>
    </row>
    <row r="72" spans="2:13">
      <c r="H72" s="51"/>
    </row>
    <row r="73" spans="2:13">
      <c r="H73" s="51"/>
    </row>
  </sheetData>
  <phoneticPr fontId="9" type="noConversion"/>
  <dataValidations count="1">
    <dataValidation type="list" allowBlank="1" showInputMessage="1" showErrorMessage="1" sqref="B19:B66" xr:uid="{00000000-0002-0000-0000-000000000000}">
      <formula1>$B$4:$B$8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7"/>
  <dimension ref="B1:D102"/>
  <sheetViews>
    <sheetView topLeftCell="A76" zoomScale="85" zoomScaleNormal="85" workbookViewId="0">
      <selection activeCell="G83" sqref="G83"/>
    </sheetView>
  </sheetViews>
  <sheetFormatPr defaultColWidth="9" defaultRowHeight="18.75"/>
  <cols>
    <col min="1" max="1" width="9" style="273"/>
    <col min="2" max="3" width="26.625" style="279" customWidth="1"/>
    <col min="4" max="4" width="29.875" style="279" bestFit="1" customWidth="1"/>
    <col min="5" max="16384" width="9" style="273"/>
  </cols>
  <sheetData>
    <row r="1" spans="2:4" ht="19.5" thickBot="1">
      <c r="B1" s="277" t="s">
        <v>77</v>
      </c>
      <c r="C1" s="277" t="s">
        <v>78</v>
      </c>
      <c r="D1" s="277" t="s">
        <v>79</v>
      </c>
    </row>
    <row r="2" spans="2:4" ht="19.5" thickTop="1">
      <c r="B2" s="278" t="s">
        <v>80</v>
      </c>
      <c r="C2" s="278" t="s">
        <v>80</v>
      </c>
      <c r="D2" s="278" t="s">
        <v>80</v>
      </c>
    </row>
    <row r="3" spans="2:4">
      <c r="B3" s="279" t="s">
        <v>81</v>
      </c>
      <c r="C3" s="279" t="s">
        <v>82</v>
      </c>
      <c r="D3" s="279" t="s">
        <v>83</v>
      </c>
    </row>
    <row r="4" spans="2:4">
      <c r="B4" s="279" t="s">
        <v>84</v>
      </c>
      <c r="C4" s="279" t="s">
        <v>85</v>
      </c>
      <c r="D4" s="279" t="s">
        <v>86</v>
      </c>
    </row>
    <row r="5" spans="2:4">
      <c r="B5" s="279" t="s">
        <v>87</v>
      </c>
      <c r="C5" s="279" t="s">
        <v>88</v>
      </c>
      <c r="D5" s="279" t="s">
        <v>89</v>
      </c>
    </row>
    <row r="6" spans="2:4">
      <c r="B6" s="295" t="s">
        <v>90</v>
      </c>
      <c r="C6" s="279" t="s">
        <v>91</v>
      </c>
      <c r="D6" s="279" t="s">
        <v>92</v>
      </c>
    </row>
    <row r="7" spans="2:4">
      <c r="C7" s="279" t="s">
        <v>93</v>
      </c>
      <c r="D7" s="279" t="s">
        <v>94</v>
      </c>
    </row>
    <row r="8" spans="2:4">
      <c r="C8" s="279" t="s">
        <v>95</v>
      </c>
      <c r="D8" s="279" t="s">
        <v>96</v>
      </c>
    </row>
    <row r="9" spans="2:4">
      <c r="C9" s="279" t="s">
        <v>97</v>
      </c>
      <c r="D9" s="279" t="s">
        <v>98</v>
      </c>
    </row>
    <row r="10" spans="2:4">
      <c r="C10" s="279" t="s">
        <v>99</v>
      </c>
      <c r="D10" s="279" t="s">
        <v>100</v>
      </c>
    </row>
    <row r="11" spans="2:4">
      <c r="C11" s="279" t="s">
        <v>101</v>
      </c>
      <c r="D11" s="279" t="s">
        <v>102</v>
      </c>
    </row>
    <row r="12" spans="2:4">
      <c r="C12" s="279" t="s">
        <v>103</v>
      </c>
      <c r="D12" s="279" t="s">
        <v>104</v>
      </c>
    </row>
    <row r="13" spans="2:4">
      <c r="C13" s="279" t="s">
        <v>105</v>
      </c>
      <c r="D13" s="279" t="s">
        <v>106</v>
      </c>
    </row>
    <row r="14" spans="2:4">
      <c r="C14" s="279" t="s">
        <v>107</v>
      </c>
      <c r="D14" s="279" t="s">
        <v>108</v>
      </c>
    </row>
    <row r="15" spans="2:4">
      <c r="C15" s="279" t="s">
        <v>109</v>
      </c>
      <c r="D15" s="279" t="s">
        <v>110</v>
      </c>
    </row>
    <row r="16" spans="2:4">
      <c r="C16" s="279" t="s">
        <v>111</v>
      </c>
      <c r="D16" s="279" t="s">
        <v>112</v>
      </c>
    </row>
    <row r="17" spans="3:4">
      <c r="C17" s="279" t="s">
        <v>113</v>
      </c>
      <c r="D17" s="279" t="s">
        <v>114</v>
      </c>
    </row>
    <row r="18" spans="3:4">
      <c r="C18" s="279" t="s">
        <v>115</v>
      </c>
      <c r="D18" s="279" t="s">
        <v>116</v>
      </c>
    </row>
    <row r="19" spans="3:4">
      <c r="C19" s="279" t="s">
        <v>117</v>
      </c>
      <c r="D19" s="279" t="s">
        <v>118</v>
      </c>
    </row>
    <row r="20" spans="3:4">
      <c r="C20" s="279" t="s">
        <v>119</v>
      </c>
      <c r="D20" s="279" t="s">
        <v>120</v>
      </c>
    </row>
    <row r="21" spans="3:4">
      <c r="C21" s="279" t="s">
        <v>103</v>
      </c>
      <c r="D21" s="279" t="s">
        <v>121</v>
      </c>
    </row>
    <row r="22" spans="3:4">
      <c r="C22" s="279" t="s">
        <v>122</v>
      </c>
      <c r="D22" s="279" t="s">
        <v>123</v>
      </c>
    </row>
    <row r="23" spans="3:4">
      <c r="C23" s="279" t="s">
        <v>124</v>
      </c>
      <c r="D23" s="279" t="s">
        <v>125</v>
      </c>
    </row>
    <row r="24" spans="3:4">
      <c r="C24" s="279" t="s">
        <v>126</v>
      </c>
      <c r="D24" s="279" t="s">
        <v>127</v>
      </c>
    </row>
    <row r="25" spans="3:4">
      <c r="C25" s="279" t="s">
        <v>128</v>
      </c>
      <c r="D25" s="279" t="s">
        <v>129</v>
      </c>
    </row>
    <row r="26" spans="3:4">
      <c r="C26" s="279" t="s">
        <v>130</v>
      </c>
      <c r="D26" s="279" t="s">
        <v>131</v>
      </c>
    </row>
    <row r="27" spans="3:4">
      <c r="C27" s="279" t="s">
        <v>132</v>
      </c>
      <c r="D27" s="279" t="s">
        <v>133</v>
      </c>
    </row>
    <row r="28" spans="3:4">
      <c r="C28" s="279" t="s">
        <v>134</v>
      </c>
      <c r="D28" s="279" t="s">
        <v>135</v>
      </c>
    </row>
    <row r="29" spans="3:4">
      <c r="C29" s="279" t="s">
        <v>136</v>
      </c>
      <c r="D29" s="279" t="s">
        <v>137</v>
      </c>
    </row>
    <row r="30" spans="3:4">
      <c r="C30" s="279" t="s">
        <v>138</v>
      </c>
      <c r="D30" s="279" t="s">
        <v>56</v>
      </c>
    </row>
    <row r="31" spans="3:4">
      <c r="C31" s="279" t="s">
        <v>139</v>
      </c>
      <c r="D31" s="279" t="s">
        <v>140</v>
      </c>
    </row>
    <row r="32" spans="3:4">
      <c r="C32" s="279" t="s">
        <v>141</v>
      </c>
      <c r="D32" s="279" t="s">
        <v>142</v>
      </c>
    </row>
    <row r="33" spans="3:4">
      <c r="C33" s="279" t="s">
        <v>143</v>
      </c>
      <c r="D33" s="279" t="s">
        <v>144</v>
      </c>
    </row>
    <row r="34" spans="3:4">
      <c r="C34" s="279" t="s">
        <v>145</v>
      </c>
      <c r="D34" s="279" t="s">
        <v>146</v>
      </c>
    </row>
    <row r="35" spans="3:4">
      <c r="C35" s="296" t="s">
        <v>147</v>
      </c>
      <c r="D35" s="279" t="s">
        <v>148</v>
      </c>
    </row>
    <row r="36" spans="3:4">
      <c r="C36" s="279" t="s">
        <v>149</v>
      </c>
      <c r="D36" s="279" t="s">
        <v>150</v>
      </c>
    </row>
    <row r="37" spans="3:4">
      <c r="C37" s="279" t="s">
        <v>151</v>
      </c>
      <c r="D37" s="279" t="s">
        <v>152</v>
      </c>
    </row>
    <row r="38" spans="3:4">
      <c r="C38" s="279" t="s">
        <v>153</v>
      </c>
      <c r="D38" s="279" t="s">
        <v>154</v>
      </c>
    </row>
    <row r="39" spans="3:4">
      <c r="C39" s="279" t="s">
        <v>155</v>
      </c>
      <c r="D39" s="279" t="s">
        <v>156</v>
      </c>
    </row>
    <row r="40" spans="3:4">
      <c r="C40" s="279" t="s">
        <v>157</v>
      </c>
      <c r="D40" s="279" t="s">
        <v>158</v>
      </c>
    </row>
    <row r="41" spans="3:4">
      <c r="C41" s="279" t="s">
        <v>109</v>
      </c>
      <c r="D41" s="279" t="s">
        <v>159</v>
      </c>
    </row>
    <row r="42" spans="3:4">
      <c r="C42" s="279" t="s">
        <v>160</v>
      </c>
      <c r="D42" s="279" t="s">
        <v>161</v>
      </c>
    </row>
    <row r="43" spans="3:4">
      <c r="C43" s="279" t="s">
        <v>162</v>
      </c>
      <c r="D43" s="279" t="s">
        <v>163</v>
      </c>
    </row>
    <row r="44" spans="3:4">
      <c r="C44" s="297" t="s">
        <v>164</v>
      </c>
      <c r="D44" s="279" t="s">
        <v>165</v>
      </c>
    </row>
    <row r="45" spans="3:4">
      <c r="C45" s="279" t="s">
        <v>166</v>
      </c>
      <c r="D45" s="279" t="s">
        <v>167</v>
      </c>
    </row>
    <row r="46" spans="3:4">
      <c r="C46" s="279" t="s">
        <v>168</v>
      </c>
      <c r="D46" s="279" t="s">
        <v>169</v>
      </c>
    </row>
    <row r="47" spans="3:4">
      <c r="C47" s="279" t="s">
        <v>170</v>
      </c>
      <c r="D47" s="279" t="s">
        <v>171</v>
      </c>
    </row>
    <row r="48" spans="3:4">
      <c r="D48" s="279" t="s">
        <v>172</v>
      </c>
    </row>
    <row r="49" spans="4:4">
      <c r="D49" s="279" t="s">
        <v>173</v>
      </c>
    </row>
    <row r="50" spans="4:4">
      <c r="D50" s="279" t="s">
        <v>174</v>
      </c>
    </row>
    <row r="51" spans="4:4">
      <c r="D51" s="279" t="s">
        <v>175</v>
      </c>
    </row>
    <row r="52" spans="4:4">
      <c r="D52" s="279" t="s">
        <v>176</v>
      </c>
    </row>
    <row r="53" spans="4:4">
      <c r="D53" s="279" t="s">
        <v>177</v>
      </c>
    </row>
    <row r="54" spans="4:4">
      <c r="D54" s="279" t="s">
        <v>178</v>
      </c>
    </row>
    <row r="55" spans="4:4">
      <c r="D55" s="279" t="s">
        <v>179</v>
      </c>
    </row>
    <row r="56" spans="4:4">
      <c r="D56" s="279" t="s">
        <v>180</v>
      </c>
    </row>
    <row r="57" spans="4:4">
      <c r="D57" s="279" t="s">
        <v>181</v>
      </c>
    </row>
    <row r="58" spans="4:4">
      <c r="D58" s="279" t="s">
        <v>182</v>
      </c>
    </row>
    <row r="59" spans="4:4">
      <c r="D59" s="279" t="s">
        <v>183</v>
      </c>
    </row>
    <row r="60" spans="4:4">
      <c r="D60" s="279" t="s">
        <v>184</v>
      </c>
    </row>
    <row r="61" spans="4:4">
      <c r="D61" s="279" t="s">
        <v>185</v>
      </c>
    </row>
    <row r="62" spans="4:4">
      <c r="D62" s="279" t="s">
        <v>186</v>
      </c>
    </row>
    <row r="63" spans="4:4">
      <c r="D63" s="279" t="s">
        <v>187</v>
      </c>
    </row>
    <row r="64" spans="4:4">
      <c r="D64" s="279" t="s">
        <v>188</v>
      </c>
    </row>
    <row r="65" spans="4:4">
      <c r="D65" s="279" t="s">
        <v>189</v>
      </c>
    </row>
    <row r="66" spans="4:4">
      <c r="D66" s="279" t="s">
        <v>190</v>
      </c>
    </row>
    <row r="67" spans="4:4">
      <c r="D67" s="279" t="s">
        <v>191</v>
      </c>
    </row>
    <row r="68" spans="4:4">
      <c r="D68" s="279" t="s">
        <v>192</v>
      </c>
    </row>
    <row r="69" spans="4:4">
      <c r="D69" s="279" t="s">
        <v>193</v>
      </c>
    </row>
    <row r="70" spans="4:4">
      <c r="D70" s="279" t="s">
        <v>194</v>
      </c>
    </row>
    <row r="71" spans="4:4">
      <c r="D71" s="279" t="s">
        <v>195</v>
      </c>
    </row>
    <row r="72" spans="4:4">
      <c r="D72" s="279" t="s">
        <v>196</v>
      </c>
    </row>
    <row r="73" spans="4:4">
      <c r="D73" s="279" t="s">
        <v>197</v>
      </c>
    </row>
    <row r="74" spans="4:4">
      <c r="D74" s="279" t="s">
        <v>198</v>
      </c>
    </row>
    <row r="75" spans="4:4">
      <c r="D75" s="279" t="s">
        <v>199</v>
      </c>
    </row>
    <row r="76" spans="4:4">
      <c r="D76" s="279" t="s">
        <v>200</v>
      </c>
    </row>
    <row r="77" spans="4:4">
      <c r="D77" s="279" t="s">
        <v>201</v>
      </c>
    </row>
    <row r="78" spans="4:4">
      <c r="D78" s="279" t="s">
        <v>202</v>
      </c>
    </row>
    <row r="79" spans="4:4">
      <c r="D79" s="279" t="s">
        <v>203</v>
      </c>
    </row>
    <row r="80" spans="4:4">
      <c r="D80" s="279" t="s">
        <v>204</v>
      </c>
    </row>
    <row r="81" spans="4:4">
      <c r="D81" s="279" t="s">
        <v>205</v>
      </c>
    </row>
    <row r="82" spans="4:4">
      <c r="D82" s="279" t="s">
        <v>206</v>
      </c>
    </row>
    <row r="83" spans="4:4">
      <c r="D83" s="279" t="s">
        <v>207</v>
      </c>
    </row>
    <row r="84" spans="4:4">
      <c r="D84" s="279" t="s">
        <v>208</v>
      </c>
    </row>
    <row r="85" spans="4:4">
      <c r="D85" s="279" t="s">
        <v>209</v>
      </c>
    </row>
    <row r="86" spans="4:4">
      <c r="D86" s="279" t="s">
        <v>210</v>
      </c>
    </row>
    <row r="87" spans="4:4">
      <c r="D87" s="279" t="s">
        <v>211</v>
      </c>
    </row>
    <row r="88" spans="4:4">
      <c r="D88" s="279" t="s">
        <v>212</v>
      </c>
    </row>
    <row r="89" spans="4:4">
      <c r="D89" s="279" t="s">
        <v>213</v>
      </c>
    </row>
    <row r="90" spans="4:4">
      <c r="D90" s="279" t="s">
        <v>214</v>
      </c>
    </row>
    <row r="91" spans="4:4">
      <c r="D91" s="279" t="s">
        <v>215</v>
      </c>
    </row>
    <row r="93" spans="4:4">
      <c r="D93" s="328" t="s">
        <v>216</v>
      </c>
    </row>
    <row r="94" spans="4:4">
      <c r="D94" s="328" t="s">
        <v>217</v>
      </c>
    </row>
    <row r="95" spans="4:4">
      <c r="D95" s="328" t="s">
        <v>218</v>
      </c>
    </row>
    <row r="96" spans="4:4">
      <c r="D96" s="328" t="s">
        <v>219</v>
      </c>
    </row>
    <row r="97" spans="4:4">
      <c r="D97" s="328" t="s">
        <v>220</v>
      </c>
    </row>
    <row r="98" spans="4:4">
      <c r="D98" s="328" t="s">
        <v>221</v>
      </c>
    </row>
    <row r="99" spans="4:4">
      <c r="D99" s="328" t="s">
        <v>222</v>
      </c>
    </row>
    <row r="100" spans="4:4">
      <c r="D100" s="328" t="s">
        <v>223</v>
      </c>
    </row>
    <row r="101" spans="4:4">
      <c r="D101" s="328"/>
    </row>
    <row r="102" spans="4:4">
      <c r="D102" s="328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pageSetUpPr fitToPage="1"/>
  </sheetPr>
  <dimension ref="B1:AP349"/>
  <sheetViews>
    <sheetView zoomScale="70" zoomScaleNormal="70" workbookViewId="0">
      <pane xSplit="1" ySplit="10" topLeftCell="B310" activePane="bottomRight" state="frozen"/>
      <selection pane="topRight" activeCell="B1" sqref="B1"/>
      <selection pane="bottomLeft" activeCell="A12" sqref="A12"/>
      <selection pane="bottomRight" activeCell="E321" sqref="E321"/>
    </sheetView>
  </sheetViews>
  <sheetFormatPr defaultColWidth="8.875" defaultRowHeight="22.15" customHeight="1"/>
  <cols>
    <col min="1" max="1" width="2.75" style="116" customWidth="1"/>
    <col min="2" max="2" width="12.75" style="29" bestFit="1" customWidth="1"/>
    <col min="3" max="3" width="16.125" style="29" bestFit="1" customWidth="1"/>
    <col min="4" max="4" width="14.25" style="29" bestFit="1" customWidth="1"/>
    <col min="5" max="5" width="19.25" style="29" customWidth="1"/>
    <col min="6" max="6" width="30.625" style="29" bestFit="1" customWidth="1"/>
    <col min="7" max="7" width="33.5" style="29" bestFit="1" customWidth="1"/>
    <col min="8" max="8" width="14.75" style="29" customWidth="1"/>
    <col min="9" max="9" width="37.875" style="29" customWidth="1"/>
    <col min="10" max="10" width="13.125" style="29" bestFit="1" customWidth="1"/>
    <col min="11" max="11" width="12.75" style="29" bestFit="1" customWidth="1"/>
    <col min="12" max="12" width="17.125" style="120" customWidth="1"/>
    <col min="13" max="13" width="22.875" style="16" bestFit="1" customWidth="1"/>
    <col min="14" max="14" width="12.125" style="116" bestFit="1" customWidth="1"/>
    <col min="15" max="15" width="8.875" style="116"/>
    <col min="16" max="16" width="9.125" style="116" bestFit="1" customWidth="1"/>
    <col min="17" max="16384" width="8.875" style="116"/>
  </cols>
  <sheetData>
    <row r="1" spans="2:20" ht="6" customHeight="1" thickBot="1">
      <c r="J1" s="248"/>
      <c r="K1" s="248"/>
      <c r="L1" s="90"/>
      <c r="M1" s="181"/>
    </row>
    <row r="2" spans="2:20" ht="20.25" customHeight="1">
      <c r="B2" s="248"/>
      <c r="C2" s="248"/>
      <c r="D2" s="248"/>
      <c r="E2" s="248"/>
      <c r="F2" s="276" t="s">
        <v>0</v>
      </c>
      <c r="H2" s="73"/>
      <c r="J2" s="92" t="s">
        <v>1</v>
      </c>
      <c r="K2" s="326" t="s">
        <v>2</v>
      </c>
      <c r="M2" s="116"/>
      <c r="N2" s="74"/>
      <c r="O2" s="75"/>
      <c r="P2" s="75"/>
      <c r="T2" s="76"/>
    </row>
    <row r="3" spans="2:20" ht="20.25" customHeight="1">
      <c r="B3" s="248" t="s">
        <v>3</v>
      </c>
      <c r="C3" s="248"/>
      <c r="E3" s="248" t="s">
        <v>4</v>
      </c>
      <c r="F3" s="248"/>
      <c r="G3" s="248"/>
      <c r="H3" s="73"/>
      <c r="J3" s="77"/>
      <c r="K3" s="165" t="s">
        <v>224</v>
      </c>
      <c r="L3" s="90" t="s">
        <v>28</v>
      </c>
      <c r="M3" s="163">
        <v>45189</v>
      </c>
      <c r="T3" s="248"/>
    </row>
    <row r="4" spans="2:20" ht="20.25" customHeight="1" thickBot="1">
      <c r="B4" s="248" t="s">
        <v>42</v>
      </c>
      <c r="C4" s="248" t="s">
        <v>8</v>
      </c>
      <c r="E4" s="16" t="s">
        <v>9</v>
      </c>
      <c r="F4" s="78" t="s">
        <v>225</v>
      </c>
      <c r="G4" s="79"/>
      <c r="H4" s="73"/>
      <c r="J4" s="80"/>
      <c r="K4" s="164" t="s">
        <v>226</v>
      </c>
      <c r="L4" s="90" t="s">
        <v>29</v>
      </c>
      <c r="M4" s="163">
        <v>45185</v>
      </c>
      <c r="T4" s="248"/>
    </row>
    <row r="5" spans="2:20" ht="20.25" customHeight="1" thickBot="1">
      <c r="B5" s="248" t="s">
        <v>11</v>
      </c>
      <c r="C5" s="248" t="s">
        <v>12</v>
      </c>
      <c r="E5" s="16" t="s">
        <v>13</v>
      </c>
      <c r="F5" s="78" t="s">
        <v>227</v>
      </c>
      <c r="G5" s="78"/>
      <c r="H5" s="73"/>
      <c r="J5" s="91"/>
      <c r="K5" s="91"/>
      <c r="L5" s="90"/>
      <c r="M5" s="81"/>
      <c r="T5" s="81"/>
    </row>
    <row r="6" spans="2:20" ht="20.25" customHeight="1">
      <c r="B6" s="248" t="s">
        <v>15</v>
      </c>
      <c r="C6" s="248" t="s">
        <v>16</v>
      </c>
      <c r="E6" s="16" t="s">
        <v>17</v>
      </c>
      <c r="F6" s="78" t="s">
        <v>228</v>
      </c>
      <c r="G6" s="78"/>
      <c r="H6" s="82"/>
      <c r="I6" s="83"/>
      <c r="J6" s="162" t="s">
        <v>19</v>
      </c>
      <c r="K6" s="429" t="s">
        <v>229</v>
      </c>
      <c r="L6" s="430"/>
      <c r="M6" s="81"/>
      <c r="T6" s="81"/>
    </row>
    <row r="7" spans="2:20" ht="20.25" customHeight="1">
      <c r="B7" s="248" t="s">
        <v>21</v>
      </c>
      <c r="C7" s="248" t="s">
        <v>22</v>
      </c>
      <c r="E7" s="78"/>
      <c r="F7" s="248"/>
      <c r="G7" s="276"/>
      <c r="H7" s="82"/>
      <c r="I7" s="83"/>
      <c r="J7" s="161" t="s">
        <v>24</v>
      </c>
      <c r="K7" s="431" t="s">
        <v>230</v>
      </c>
      <c r="L7" s="432"/>
      <c r="M7" s="81"/>
      <c r="T7" s="81"/>
    </row>
    <row r="8" spans="2:20" ht="20.25" customHeight="1" thickBot="1">
      <c r="E8" s="248"/>
      <c r="F8" s="248"/>
      <c r="G8" s="276"/>
      <c r="H8" s="82"/>
      <c r="I8" s="83"/>
      <c r="J8" s="160" t="s">
        <v>26</v>
      </c>
      <c r="K8" s="433" t="s">
        <v>231</v>
      </c>
      <c r="L8" s="434"/>
      <c r="M8" s="81"/>
      <c r="T8" s="81"/>
    </row>
    <row r="9" spans="2:20" ht="20.25" customHeight="1" thickBot="1">
      <c r="E9" s="248"/>
      <c r="F9" s="248"/>
      <c r="G9" s="276"/>
      <c r="H9" s="82"/>
      <c r="I9" s="83"/>
      <c r="J9" s="159"/>
      <c r="K9" s="158"/>
      <c r="L9" s="157"/>
      <c r="M9" s="81"/>
      <c r="T9" s="81"/>
    </row>
    <row r="10" spans="2:20" ht="22.15" customHeight="1" thickBot="1">
      <c r="B10" s="156" t="s">
        <v>30</v>
      </c>
      <c r="C10" s="154" t="s">
        <v>31</v>
      </c>
      <c r="D10" s="154" t="s">
        <v>32</v>
      </c>
      <c r="E10" s="155" t="s">
        <v>33</v>
      </c>
      <c r="F10" s="155" t="s">
        <v>34</v>
      </c>
      <c r="G10" s="154" t="s">
        <v>79</v>
      </c>
      <c r="H10" s="154" t="s">
        <v>36</v>
      </c>
      <c r="I10" s="154" t="s">
        <v>37</v>
      </c>
      <c r="J10" s="154" t="s">
        <v>38</v>
      </c>
      <c r="K10" s="154" t="s">
        <v>39</v>
      </c>
      <c r="L10" s="153" t="s">
        <v>40</v>
      </c>
      <c r="M10" s="152" t="s">
        <v>41</v>
      </c>
      <c r="N10" s="404" t="s">
        <v>1942</v>
      </c>
    </row>
    <row r="11" spans="2:20" ht="22.15" customHeight="1" thickTop="1">
      <c r="B11" s="89" t="s">
        <v>7</v>
      </c>
      <c r="C11" s="85" t="s">
        <v>232</v>
      </c>
      <c r="D11" s="85" t="s">
        <v>233</v>
      </c>
      <c r="E11" s="85" t="s">
        <v>45</v>
      </c>
      <c r="F11" s="150" t="s">
        <v>80</v>
      </c>
      <c r="G11" s="151" t="s">
        <v>194</v>
      </c>
      <c r="H11" s="298">
        <v>34.511899999999997</v>
      </c>
      <c r="I11" s="150" t="s">
        <v>80</v>
      </c>
      <c r="J11" s="149">
        <v>12</v>
      </c>
      <c r="K11" s="148" t="s">
        <v>50</v>
      </c>
      <c r="L11" s="147" t="s">
        <v>80</v>
      </c>
      <c r="M11" s="146"/>
    </row>
    <row r="12" spans="2:20" ht="22.15" customHeight="1">
      <c r="B12" s="86" t="s">
        <v>7</v>
      </c>
      <c r="C12" s="13" t="s">
        <v>232</v>
      </c>
      <c r="D12" s="13" t="s">
        <v>234</v>
      </c>
      <c r="E12" s="13" t="s">
        <v>45</v>
      </c>
      <c r="F12" s="123" t="s">
        <v>80</v>
      </c>
      <c r="G12" s="100" t="s">
        <v>194</v>
      </c>
      <c r="H12" s="134">
        <v>34.511899999999997</v>
      </c>
      <c r="I12" s="123" t="s">
        <v>80</v>
      </c>
      <c r="J12" s="144">
        <v>12</v>
      </c>
      <c r="K12" s="124" t="s">
        <v>50</v>
      </c>
      <c r="L12" s="135" t="s">
        <v>80</v>
      </c>
      <c r="M12" s="127"/>
    </row>
    <row r="13" spans="2:20" ht="22.15" customHeight="1">
      <c r="B13" s="86" t="s">
        <v>53</v>
      </c>
      <c r="C13" s="13" t="s">
        <v>232</v>
      </c>
      <c r="D13" s="13" t="s">
        <v>235</v>
      </c>
      <c r="E13" s="13" t="s">
        <v>45</v>
      </c>
      <c r="F13" s="128" t="s">
        <v>236</v>
      </c>
      <c r="G13" s="13" t="s">
        <v>237</v>
      </c>
      <c r="H13" s="14" t="s">
        <v>238</v>
      </c>
      <c r="I13" s="87" t="s">
        <v>239</v>
      </c>
      <c r="J13" s="62">
        <v>2</v>
      </c>
      <c r="K13" s="110" t="s">
        <v>50</v>
      </c>
      <c r="L13" s="102">
        <v>117.5</v>
      </c>
      <c r="M13" s="127"/>
    </row>
    <row r="14" spans="2:20" ht="22.15" customHeight="1">
      <c r="B14" s="86" t="s">
        <v>53</v>
      </c>
      <c r="C14" s="13" t="s">
        <v>232</v>
      </c>
      <c r="D14" s="13" t="s">
        <v>235</v>
      </c>
      <c r="E14" s="13" t="s">
        <v>45</v>
      </c>
      <c r="F14" s="128" t="s">
        <v>236</v>
      </c>
      <c r="G14" s="13" t="s">
        <v>237</v>
      </c>
      <c r="H14" s="14" t="s">
        <v>240</v>
      </c>
      <c r="I14" s="87" t="s">
        <v>239</v>
      </c>
      <c r="J14" s="62">
        <v>1</v>
      </c>
      <c r="K14" s="110" t="s">
        <v>50</v>
      </c>
      <c r="L14" s="102">
        <v>110.1</v>
      </c>
      <c r="M14" s="127"/>
    </row>
    <row r="15" spans="2:20" ht="22.15" customHeight="1">
      <c r="B15" s="86" t="s">
        <v>53</v>
      </c>
      <c r="C15" s="13" t="s">
        <v>232</v>
      </c>
      <c r="D15" s="13" t="s">
        <v>235</v>
      </c>
      <c r="E15" s="13" t="s">
        <v>45</v>
      </c>
      <c r="F15" s="123" t="s">
        <v>80</v>
      </c>
      <c r="G15" s="100" t="s">
        <v>237</v>
      </c>
      <c r="H15" s="138" t="s">
        <v>80</v>
      </c>
      <c r="I15" s="98" t="s">
        <v>239</v>
      </c>
      <c r="J15" s="144">
        <v>2</v>
      </c>
      <c r="K15" s="124" t="s">
        <v>50</v>
      </c>
      <c r="L15" s="135" t="s">
        <v>80</v>
      </c>
      <c r="M15" s="145" t="s">
        <v>241</v>
      </c>
    </row>
    <row r="16" spans="2:20" ht="22.15" customHeight="1">
      <c r="B16" s="86" t="s">
        <v>7</v>
      </c>
      <c r="C16" s="13" t="s">
        <v>232</v>
      </c>
      <c r="D16" s="13" t="s">
        <v>235</v>
      </c>
      <c r="E16" s="13" t="s">
        <v>45</v>
      </c>
      <c r="F16" s="123" t="s">
        <v>80</v>
      </c>
      <c r="G16" s="100" t="s">
        <v>242</v>
      </c>
      <c r="H16" s="138" t="s">
        <v>243</v>
      </c>
      <c r="I16" s="98" t="s">
        <v>239</v>
      </c>
      <c r="J16" s="144">
        <v>1</v>
      </c>
      <c r="K16" s="124" t="s">
        <v>50</v>
      </c>
      <c r="L16" s="135" t="s">
        <v>80</v>
      </c>
      <c r="M16" s="136"/>
    </row>
    <row r="17" spans="2:13" ht="22.15" customHeight="1">
      <c r="B17" s="86" t="s">
        <v>53</v>
      </c>
      <c r="C17" s="13" t="s">
        <v>232</v>
      </c>
      <c r="D17" s="13" t="s">
        <v>235</v>
      </c>
      <c r="E17" s="13" t="s">
        <v>45</v>
      </c>
      <c r="F17" s="123" t="s">
        <v>80</v>
      </c>
      <c r="G17" s="100" t="s">
        <v>244</v>
      </c>
      <c r="H17" s="138" t="s">
        <v>80</v>
      </c>
      <c r="I17" s="123" t="s">
        <v>80</v>
      </c>
      <c r="J17" s="100">
        <v>2</v>
      </c>
      <c r="K17" s="124" t="s">
        <v>50</v>
      </c>
      <c r="L17" s="135" t="s">
        <v>80</v>
      </c>
      <c r="M17" s="136" t="s">
        <v>245</v>
      </c>
    </row>
    <row r="18" spans="2:13" ht="22.15" customHeight="1">
      <c r="B18" s="86" t="s">
        <v>53</v>
      </c>
      <c r="C18" s="13" t="s">
        <v>232</v>
      </c>
      <c r="D18" s="13" t="s">
        <v>246</v>
      </c>
      <c r="E18" s="13" t="s">
        <v>45</v>
      </c>
      <c r="F18" s="123" t="s">
        <v>80</v>
      </c>
      <c r="G18" s="100" t="s">
        <v>237</v>
      </c>
      <c r="H18" s="134">
        <v>25.6097</v>
      </c>
      <c r="I18" s="98" t="s">
        <v>239</v>
      </c>
      <c r="J18" s="100">
        <v>1</v>
      </c>
      <c r="K18" s="124" t="s">
        <v>50</v>
      </c>
      <c r="L18" s="135" t="s">
        <v>80</v>
      </c>
      <c r="M18" s="136"/>
    </row>
    <row r="19" spans="2:13" ht="22.15" customHeight="1">
      <c r="B19" s="86" t="s">
        <v>53</v>
      </c>
      <c r="C19" s="13" t="s">
        <v>232</v>
      </c>
      <c r="D19" s="13" t="s">
        <v>246</v>
      </c>
      <c r="E19" s="13" t="s">
        <v>45</v>
      </c>
      <c r="F19" s="123" t="s">
        <v>80</v>
      </c>
      <c r="G19" s="100" t="s">
        <v>237</v>
      </c>
      <c r="H19" s="138" t="s">
        <v>80</v>
      </c>
      <c r="I19" s="98" t="s">
        <v>239</v>
      </c>
      <c r="J19" s="100">
        <v>3</v>
      </c>
      <c r="K19" s="124" t="s">
        <v>50</v>
      </c>
      <c r="L19" s="135" t="s">
        <v>80</v>
      </c>
      <c r="M19" s="136" t="s">
        <v>247</v>
      </c>
    </row>
    <row r="20" spans="2:13" ht="22.15" customHeight="1">
      <c r="B20" s="86" t="s">
        <v>53</v>
      </c>
      <c r="C20" s="13" t="s">
        <v>232</v>
      </c>
      <c r="D20" s="13" t="s">
        <v>248</v>
      </c>
      <c r="E20" s="13" t="s">
        <v>45</v>
      </c>
      <c r="F20" s="123" t="s">
        <v>80</v>
      </c>
      <c r="G20" s="100" t="s">
        <v>237</v>
      </c>
      <c r="H20" s="138" t="s">
        <v>80</v>
      </c>
      <c r="I20" s="98" t="s">
        <v>239</v>
      </c>
      <c r="J20" s="100">
        <v>3</v>
      </c>
      <c r="K20" s="124" t="s">
        <v>50</v>
      </c>
      <c r="L20" s="135" t="s">
        <v>80</v>
      </c>
      <c r="M20" s="136" t="s">
        <v>249</v>
      </c>
    </row>
    <row r="21" spans="2:13" ht="22.15" customHeight="1">
      <c r="B21" s="86" t="s">
        <v>53</v>
      </c>
      <c r="C21" s="13" t="s">
        <v>232</v>
      </c>
      <c r="D21" s="13" t="s">
        <v>248</v>
      </c>
      <c r="E21" s="13" t="s">
        <v>45</v>
      </c>
      <c r="F21" s="123" t="s">
        <v>80</v>
      </c>
      <c r="G21" s="100" t="s">
        <v>237</v>
      </c>
      <c r="H21" s="138" t="s">
        <v>80</v>
      </c>
      <c r="I21" s="98" t="s">
        <v>239</v>
      </c>
      <c r="J21" s="100">
        <v>2</v>
      </c>
      <c r="K21" s="124" t="s">
        <v>50</v>
      </c>
      <c r="L21" s="135" t="s">
        <v>80</v>
      </c>
      <c r="M21" s="136" t="s">
        <v>249</v>
      </c>
    </row>
    <row r="22" spans="2:13" ht="22.15" customHeight="1">
      <c r="B22" s="86" t="s">
        <v>53</v>
      </c>
      <c r="C22" s="13" t="s">
        <v>232</v>
      </c>
      <c r="D22" s="13" t="s">
        <v>250</v>
      </c>
      <c r="E22" s="13" t="s">
        <v>45</v>
      </c>
      <c r="F22" s="123" t="s">
        <v>80</v>
      </c>
      <c r="G22" s="100" t="s">
        <v>237</v>
      </c>
      <c r="H22" s="138" t="s">
        <v>80</v>
      </c>
      <c r="I22" s="98" t="s">
        <v>239</v>
      </c>
      <c r="J22" s="100">
        <v>1</v>
      </c>
      <c r="K22" s="124" t="s">
        <v>50</v>
      </c>
      <c r="L22" s="135" t="s">
        <v>80</v>
      </c>
      <c r="M22" s="145" t="s">
        <v>249</v>
      </c>
    </row>
    <row r="23" spans="2:13" ht="22.15" customHeight="1">
      <c r="B23" s="86" t="s">
        <v>7</v>
      </c>
      <c r="C23" s="13" t="s">
        <v>232</v>
      </c>
      <c r="D23" s="13" t="s">
        <v>251</v>
      </c>
      <c r="E23" s="62" t="s">
        <v>90</v>
      </c>
      <c r="F23" s="47" t="s">
        <v>252</v>
      </c>
      <c r="G23" s="14" t="s">
        <v>192</v>
      </c>
      <c r="H23" s="14" t="s">
        <v>253</v>
      </c>
      <c r="I23" s="47" t="s">
        <v>254</v>
      </c>
      <c r="J23" s="13">
        <v>1</v>
      </c>
      <c r="K23" s="110" t="s">
        <v>50</v>
      </c>
      <c r="L23" s="104">
        <v>192.81</v>
      </c>
      <c r="M23" s="127"/>
    </row>
    <row r="24" spans="2:13" ht="22.15" customHeight="1">
      <c r="B24" s="86" t="s">
        <v>7</v>
      </c>
      <c r="C24" s="13" t="s">
        <v>232</v>
      </c>
      <c r="D24" s="13" t="s">
        <v>251</v>
      </c>
      <c r="E24" s="62" t="s">
        <v>90</v>
      </c>
      <c r="F24" s="47" t="s">
        <v>252</v>
      </c>
      <c r="G24" s="14" t="s">
        <v>255</v>
      </c>
      <c r="H24" s="14" t="s">
        <v>256</v>
      </c>
      <c r="I24" s="47" t="s">
        <v>254</v>
      </c>
      <c r="J24" s="13">
        <v>1</v>
      </c>
      <c r="K24" s="110" t="s">
        <v>50</v>
      </c>
      <c r="L24" s="104">
        <v>192.81</v>
      </c>
      <c r="M24" s="127"/>
    </row>
    <row r="25" spans="2:13" ht="22.15" customHeight="1">
      <c r="B25" s="86" t="s">
        <v>7</v>
      </c>
      <c r="C25" s="13" t="s">
        <v>232</v>
      </c>
      <c r="D25" s="13" t="s">
        <v>251</v>
      </c>
      <c r="E25" s="62" t="s">
        <v>90</v>
      </c>
      <c r="F25" s="47" t="s">
        <v>252</v>
      </c>
      <c r="G25" s="14" t="s">
        <v>255</v>
      </c>
      <c r="H25" s="14" t="s">
        <v>257</v>
      </c>
      <c r="I25" s="47" t="s">
        <v>258</v>
      </c>
      <c r="J25" s="13">
        <v>1</v>
      </c>
      <c r="K25" s="110" t="s">
        <v>50</v>
      </c>
      <c r="L25" s="104">
        <v>164</v>
      </c>
      <c r="M25" s="127"/>
    </row>
    <row r="26" spans="2:13" ht="22.15" customHeight="1">
      <c r="B26" s="86" t="s">
        <v>7</v>
      </c>
      <c r="C26" s="13" t="s">
        <v>232</v>
      </c>
      <c r="D26" s="13" t="s">
        <v>251</v>
      </c>
      <c r="E26" s="62" t="s">
        <v>90</v>
      </c>
      <c r="F26" s="47" t="s">
        <v>252</v>
      </c>
      <c r="G26" s="14" t="s">
        <v>259</v>
      </c>
      <c r="H26" s="14" t="s">
        <v>260</v>
      </c>
      <c r="I26" s="47" t="s">
        <v>261</v>
      </c>
      <c r="J26" s="13">
        <v>1</v>
      </c>
      <c r="K26" s="110" t="s">
        <v>50</v>
      </c>
      <c r="L26" s="104">
        <v>9.5</v>
      </c>
      <c r="M26" s="127"/>
    </row>
    <row r="27" spans="2:13" ht="22.15" customHeight="1">
      <c r="B27" s="86" t="s">
        <v>59</v>
      </c>
      <c r="C27" s="13" t="s">
        <v>232</v>
      </c>
      <c r="D27" s="13" t="s">
        <v>262</v>
      </c>
      <c r="E27" s="143" t="s">
        <v>263</v>
      </c>
      <c r="F27" s="135" t="s">
        <v>80</v>
      </c>
      <c r="G27" s="100" t="s">
        <v>264</v>
      </c>
      <c r="H27" s="138" t="s">
        <v>80</v>
      </c>
      <c r="I27" s="123" t="s">
        <v>265</v>
      </c>
      <c r="J27" s="100">
        <v>144</v>
      </c>
      <c r="K27" s="124" t="s">
        <v>50</v>
      </c>
      <c r="L27" s="135" t="s">
        <v>80</v>
      </c>
      <c r="M27" s="127"/>
    </row>
    <row r="28" spans="2:13" ht="22.15" customHeight="1">
      <c r="B28" s="86" t="s">
        <v>59</v>
      </c>
      <c r="C28" s="13" t="s">
        <v>232</v>
      </c>
      <c r="D28" s="13" t="s">
        <v>266</v>
      </c>
      <c r="E28" s="143" t="s">
        <v>263</v>
      </c>
      <c r="F28" s="135" t="s">
        <v>80</v>
      </c>
      <c r="G28" s="100" t="s">
        <v>264</v>
      </c>
      <c r="H28" s="138" t="s">
        <v>80</v>
      </c>
      <c r="I28" s="123" t="s">
        <v>265</v>
      </c>
      <c r="J28" s="100">
        <v>126</v>
      </c>
      <c r="K28" s="124" t="s">
        <v>50</v>
      </c>
      <c r="L28" s="135" t="s">
        <v>80</v>
      </c>
      <c r="M28" s="127"/>
    </row>
    <row r="29" spans="2:13" ht="22.15" customHeight="1">
      <c r="B29" s="86" t="s">
        <v>59</v>
      </c>
      <c r="C29" s="13" t="s">
        <v>232</v>
      </c>
      <c r="D29" s="13" t="s">
        <v>267</v>
      </c>
      <c r="E29" s="143" t="s">
        <v>263</v>
      </c>
      <c r="F29" s="47" t="s">
        <v>268</v>
      </c>
      <c r="G29" s="13" t="s">
        <v>269</v>
      </c>
      <c r="H29" s="14" t="s">
        <v>270</v>
      </c>
      <c r="I29" s="47" t="s">
        <v>271</v>
      </c>
      <c r="J29" s="13">
        <v>480</v>
      </c>
      <c r="K29" s="110" t="s">
        <v>50</v>
      </c>
      <c r="L29" s="104">
        <v>0.94</v>
      </c>
      <c r="M29" s="127"/>
    </row>
    <row r="30" spans="2:13" ht="22.15" customHeight="1">
      <c r="B30" s="86" t="s">
        <v>59</v>
      </c>
      <c r="C30" s="13" t="s">
        <v>232</v>
      </c>
      <c r="D30" s="13" t="s">
        <v>272</v>
      </c>
      <c r="E30" s="143" t="s">
        <v>263</v>
      </c>
      <c r="F30" s="47" t="s">
        <v>268</v>
      </c>
      <c r="G30" s="13" t="s">
        <v>269</v>
      </c>
      <c r="H30" s="14" t="s">
        <v>270</v>
      </c>
      <c r="I30" s="47" t="s">
        <v>271</v>
      </c>
      <c r="J30" s="13">
        <v>420</v>
      </c>
      <c r="K30" s="110" t="s">
        <v>50</v>
      </c>
      <c r="L30" s="104">
        <v>0.94</v>
      </c>
      <c r="M30" s="127"/>
    </row>
    <row r="31" spans="2:13" ht="22.15" customHeight="1">
      <c r="B31" s="86" t="s">
        <v>59</v>
      </c>
      <c r="C31" s="13" t="s">
        <v>232</v>
      </c>
      <c r="D31" s="13" t="s">
        <v>273</v>
      </c>
      <c r="E31" s="143" t="s">
        <v>263</v>
      </c>
      <c r="F31" s="47" t="s">
        <v>268</v>
      </c>
      <c r="G31" s="13" t="s">
        <v>274</v>
      </c>
      <c r="H31" s="14" t="s">
        <v>270</v>
      </c>
      <c r="I31" s="47" t="s">
        <v>271</v>
      </c>
      <c r="J31" s="13">
        <v>340</v>
      </c>
      <c r="K31" s="110" t="s">
        <v>50</v>
      </c>
      <c r="L31" s="104">
        <v>2.4</v>
      </c>
      <c r="M31" s="127"/>
    </row>
    <row r="32" spans="2:13" ht="22.15" customHeight="1">
      <c r="B32" s="86" t="s">
        <v>59</v>
      </c>
      <c r="C32" s="13" t="s">
        <v>232</v>
      </c>
      <c r="D32" s="13" t="s">
        <v>275</v>
      </c>
      <c r="E32" s="143" t="s">
        <v>263</v>
      </c>
      <c r="F32" s="47" t="s">
        <v>268</v>
      </c>
      <c r="G32" s="13" t="s">
        <v>274</v>
      </c>
      <c r="H32" s="14" t="s">
        <v>276</v>
      </c>
      <c r="I32" s="47" t="s">
        <v>277</v>
      </c>
      <c r="J32" s="13">
        <v>280</v>
      </c>
      <c r="K32" s="110" t="s">
        <v>50</v>
      </c>
      <c r="L32" s="104">
        <v>1.2</v>
      </c>
      <c r="M32" s="127"/>
    </row>
    <row r="33" spans="2:13" ht="22.15" customHeight="1">
      <c r="B33" s="86" t="s">
        <v>59</v>
      </c>
      <c r="C33" s="13" t="s">
        <v>232</v>
      </c>
      <c r="D33" s="13" t="s">
        <v>278</v>
      </c>
      <c r="E33" s="143" t="s">
        <v>263</v>
      </c>
      <c r="F33" s="47" t="s">
        <v>279</v>
      </c>
      <c r="G33" s="13" t="s">
        <v>280</v>
      </c>
      <c r="H33" s="14" t="s">
        <v>270</v>
      </c>
      <c r="I33" s="47" t="s">
        <v>271</v>
      </c>
      <c r="J33" s="13">
        <v>30</v>
      </c>
      <c r="K33" s="110" t="s">
        <v>50</v>
      </c>
      <c r="L33" s="104">
        <v>1.71</v>
      </c>
      <c r="M33" s="127"/>
    </row>
    <row r="34" spans="2:13" ht="22.15" customHeight="1">
      <c r="B34" s="86" t="s">
        <v>59</v>
      </c>
      <c r="C34" s="13" t="s">
        <v>232</v>
      </c>
      <c r="D34" s="13" t="s">
        <v>281</v>
      </c>
      <c r="E34" s="143" t="s">
        <v>263</v>
      </c>
      <c r="F34" s="47" t="s">
        <v>282</v>
      </c>
      <c r="G34" s="13" t="s">
        <v>283</v>
      </c>
      <c r="H34" s="14" t="s">
        <v>64</v>
      </c>
      <c r="I34" s="47" t="s">
        <v>271</v>
      </c>
      <c r="J34" s="13">
        <v>90</v>
      </c>
      <c r="K34" s="110" t="s">
        <v>50</v>
      </c>
      <c r="L34" s="104">
        <v>0.9</v>
      </c>
      <c r="M34" s="127"/>
    </row>
    <row r="35" spans="2:13" ht="22.15" customHeight="1">
      <c r="B35" s="86" t="s">
        <v>59</v>
      </c>
      <c r="C35" s="13" t="s">
        <v>232</v>
      </c>
      <c r="D35" s="13" t="s">
        <v>284</v>
      </c>
      <c r="E35" s="143" t="s">
        <v>263</v>
      </c>
      <c r="F35" s="47" t="s">
        <v>282</v>
      </c>
      <c r="G35" s="13" t="s">
        <v>285</v>
      </c>
      <c r="H35" s="14" t="s">
        <v>64</v>
      </c>
      <c r="I35" s="47" t="s">
        <v>271</v>
      </c>
      <c r="J35" s="13">
        <v>20</v>
      </c>
      <c r="K35" s="110" t="s">
        <v>50</v>
      </c>
      <c r="L35" s="104">
        <v>0.7</v>
      </c>
      <c r="M35" s="127"/>
    </row>
    <row r="36" spans="2:13" ht="22.15" customHeight="1">
      <c r="B36" s="86" t="s">
        <v>7</v>
      </c>
      <c r="C36" s="13" t="s">
        <v>232</v>
      </c>
      <c r="D36" s="13" t="s">
        <v>286</v>
      </c>
      <c r="E36" s="13" t="s">
        <v>45</v>
      </c>
      <c r="F36" s="135" t="s">
        <v>80</v>
      </c>
      <c r="G36" s="100" t="s">
        <v>194</v>
      </c>
      <c r="H36" s="138" t="s">
        <v>80</v>
      </c>
      <c r="I36" s="123" t="s">
        <v>80</v>
      </c>
      <c r="J36" s="100">
        <v>8</v>
      </c>
      <c r="K36" s="124" t="s">
        <v>50</v>
      </c>
      <c r="L36" s="135" t="s">
        <v>80</v>
      </c>
      <c r="M36" s="136" t="s">
        <v>287</v>
      </c>
    </row>
    <row r="37" spans="2:13" ht="22.15" customHeight="1">
      <c r="B37" s="86" t="s">
        <v>7</v>
      </c>
      <c r="C37" s="13" t="s">
        <v>232</v>
      </c>
      <c r="D37" s="13" t="s">
        <v>286</v>
      </c>
      <c r="E37" s="13" t="s">
        <v>45</v>
      </c>
      <c r="F37" s="135" t="s">
        <v>80</v>
      </c>
      <c r="G37" s="129" t="s">
        <v>242</v>
      </c>
      <c r="H37" s="138" t="s">
        <v>80</v>
      </c>
      <c r="I37" s="123" t="s">
        <v>80</v>
      </c>
      <c r="J37" s="100">
        <v>3</v>
      </c>
      <c r="K37" s="124" t="s">
        <v>50</v>
      </c>
      <c r="L37" s="135" t="s">
        <v>80</v>
      </c>
      <c r="M37" s="122" t="s">
        <v>288</v>
      </c>
    </row>
    <row r="38" spans="2:13" ht="22.15" customHeight="1">
      <c r="B38" s="86" t="s">
        <v>7</v>
      </c>
      <c r="C38" s="13" t="s">
        <v>232</v>
      </c>
      <c r="D38" s="13" t="s">
        <v>286</v>
      </c>
      <c r="E38" s="13" t="s">
        <v>45</v>
      </c>
      <c r="F38" s="135" t="s">
        <v>80</v>
      </c>
      <c r="G38" s="100" t="s">
        <v>194</v>
      </c>
      <c r="H38" s="138" t="s">
        <v>80</v>
      </c>
      <c r="I38" s="123" t="s">
        <v>289</v>
      </c>
      <c r="J38" s="100">
        <v>12</v>
      </c>
      <c r="K38" s="124" t="s">
        <v>50</v>
      </c>
      <c r="L38" s="135" t="s">
        <v>80</v>
      </c>
      <c r="M38" s="136"/>
    </row>
    <row r="39" spans="2:13" ht="22.15" customHeight="1">
      <c r="B39" s="86" t="s">
        <v>7</v>
      </c>
      <c r="C39" s="13" t="s">
        <v>232</v>
      </c>
      <c r="D39" s="13" t="s">
        <v>286</v>
      </c>
      <c r="E39" s="13" t="s">
        <v>45</v>
      </c>
      <c r="F39" s="135" t="s">
        <v>80</v>
      </c>
      <c r="G39" s="129" t="s">
        <v>242</v>
      </c>
      <c r="H39" s="138" t="s">
        <v>80</v>
      </c>
      <c r="I39" s="123" t="s">
        <v>290</v>
      </c>
      <c r="J39" s="100">
        <v>6</v>
      </c>
      <c r="K39" s="124" t="s">
        <v>50</v>
      </c>
      <c r="L39" s="135" t="s">
        <v>80</v>
      </c>
      <c r="M39" s="122" t="s">
        <v>291</v>
      </c>
    </row>
    <row r="40" spans="2:13" ht="22.15" customHeight="1">
      <c r="B40" s="86" t="s">
        <v>7</v>
      </c>
      <c r="C40" s="13" t="s">
        <v>232</v>
      </c>
      <c r="D40" s="13" t="s">
        <v>292</v>
      </c>
      <c r="E40" s="13" t="s">
        <v>45</v>
      </c>
      <c r="F40" s="135" t="s">
        <v>80</v>
      </c>
      <c r="G40" s="129" t="s">
        <v>242</v>
      </c>
      <c r="H40" s="138" t="s">
        <v>80</v>
      </c>
      <c r="I40" s="123" t="s">
        <v>293</v>
      </c>
      <c r="J40" s="100">
        <v>3</v>
      </c>
      <c r="K40" s="124" t="s">
        <v>50</v>
      </c>
      <c r="L40" s="135" t="s">
        <v>80</v>
      </c>
      <c r="M40" s="136"/>
    </row>
    <row r="41" spans="2:13" ht="22.15" customHeight="1">
      <c r="B41" s="86" t="s">
        <v>53</v>
      </c>
      <c r="C41" s="13" t="s">
        <v>232</v>
      </c>
      <c r="D41" s="13" t="s">
        <v>292</v>
      </c>
      <c r="E41" s="143" t="s">
        <v>263</v>
      </c>
      <c r="F41" s="47" t="s">
        <v>279</v>
      </c>
      <c r="G41" s="87" t="s">
        <v>167</v>
      </c>
      <c r="H41" s="14" t="s">
        <v>294</v>
      </c>
      <c r="I41" s="47" t="s">
        <v>279</v>
      </c>
      <c r="J41" s="13">
        <v>4</v>
      </c>
      <c r="K41" s="110" t="s">
        <v>50</v>
      </c>
      <c r="L41" s="104">
        <v>16.3</v>
      </c>
      <c r="M41" s="127"/>
    </row>
    <row r="42" spans="2:13" ht="22.15" customHeight="1">
      <c r="B42" s="86" t="s">
        <v>53</v>
      </c>
      <c r="C42" s="13" t="s">
        <v>232</v>
      </c>
      <c r="D42" s="13" t="s">
        <v>292</v>
      </c>
      <c r="E42" s="143" t="s">
        <v>263</v>
      </c>
      <c r="F42" s="47" t="s">
        <v>279</v>
      </c>
      <c r="G42" s="87" t="s">
        <v>167</v>
      </c>
      <c r="H42" s="14" t="s">
        <v>295</v>
      </c>
      <c r="I42" s="47" t="s">
        <v>279</v>
      </c>
      <c r="J42" s="13">
        <v>2</v>
      </c>
      <c r="K42" s="110" t="s">
        <v>50</v>
      </c>
      <c r="L42" s="104">
        <v>21.6</v>
      </c>
      <c r="M42" s="127"/>
    </row>
    <row r="43" spans="2:13" ht="22.15" customHeight="1">
      <c r="B43" s="86" t="s">
        <v>53</v>
      </c>
      <c r="C43" s="13" t="s">
        <v>232</v>
      </c>
      <c r="D43" s="13" t="s">
        <v>292</v>
      </c>
      <c r="E43" s="13" t="s">
        <v>45</v>
      </c>
      <c r="F43" s="13" t="s">
        <v>296</v>
      </c>
      <c r="G43" s="13" t="s">
        <v>297</v>
      </c>
      <c r="H43" s="117" t="s">
        <v>298</v>
      </c>
      <c r="I43" s="47" t="s">
        <v>299</v>
      </c>
      <c r="J43" s="13">
        <v>1</v>
      </c>
      <c r="K43" s="110" t="s">
        <v>50</v>
      </c>
      <c r="L43" s="104">
        <v>33.71</v>
      </c>
      <c r="M43" s="127"/>
    </row>
    <row r="44" spans="2:13" ht="22.15" customHeight="1">
      <c r="B44" s="86" t="s">
        <v>53</v>
      </c>
      <c r="C44" s="13" t="s">
        <v>232</v>
      </c>
      <c r="D44" s="13" t="s">
        <v>292</v>
      </c>
      <c r="E44" s="13" t="s">
        <v>45</v>
      </c>
      <c r="F44" s="47" t="s">
        <v>236</v>
      </c>
      <c r="G44" s="128" t="s">
        <v>300</v>
      </c>
      <c r="H44" s="14" t="s">
        <v>301</v>
      </c>
      <c r="I44" s="47" t="s">
        <v>302</v>
      </c>
      <c r="J44" s="13">
        <v>7</v>
      </c>
      <c r="K44" s="110" t="s">
        <v>50</v>
      </c>
      <c r="L44" s="104">
        <v>2.1</v>
      </c>
      <c r="M44" s="127"/>
    </row>
    <row r="45" spans="2:13" ht="22.15" customHeight="1">
      <c r="B45" s="86" t="s">
        <v>53</v>
      </c>
      <c r="C45" s="13" t="s">
        <v>232</v>
      </c>
      <c r="D45" s="13" t="s">
        <v>303</v>
      </c>
      <c r="E45" s="13" t="s">
        <v>45</v>
      </c>
      <c r="F45" s="13" t="s">
        <v>296</v>
      </c>
      <c r="G45" s="13" t="s">
        <v>131</v>
      </c>
      <c r="H45" s="117" t="s">
        <v>304</v>
      </c>
      <c r="I45" s="47" t="s">
        <v>305</v>
      </c>
      <c r="J45" s="13">
        <v>14</v>
      </c>
      <c r="K45" s="110" t="s">
        <v>50</v>
      </c>
      <c r="L45" s="104">
        <v>17.399999999999999</v>
      </c>
      <c r="M45" s="127"/>
    </row>
    <row r="46" spans="2:13" ht="22.15" customHeight="1">
      <c r="B46" s="86" t="s">
        <v>53</v>
      </c>
      <c r="C46" s="13" t="s">
        <v>232</v>
      </c>
      <c r="D46" s="13" t="s">
        <v>303</v>
      </c>
      <c r="E46" s="13" t="s">
        <v>45</v>
      </c>
      <c r="F46" s="13" t="s">
        <v>296</v>
      </c>
      <c r="G46" s="13" t="s">
        <v>131</v>
      </c>
      <c r="H46" s="117" t="s">
        <v>306</v>
      </c>
      <c r="I46" s="47" t="s">
        <v>307</v>
      </c>
      <c r="J46" s="13">
        <v>2</v>
      </c>
      <c r="K46" s="110" t="s">
        <v>50</v>
      </c>
      <c r="L46" s="104">
        <v>37.71</v>
      </c>
      <c r="M46" s="127"/>
    </row>
    <row r="47" spans="2:13" ht="22.15" customHeight="1">
      <c r="B47" s="86" t="s">
        <v>7</v>
      </c>
      <c r="C47" s="13" t="s">
        <v>232</v>
      </c>
      <c r="D47" s="13" t="s">
        <v>303</v>
      </c>
      <c r="E47" s="13" t="s">
        <v>45</v>
      </c>
      <c r="F47" s="123" t="s">
        <v>80</v>
      </c>
      <c r="G47" s="100" t="s">
        <v>216</v>
      </c>
      <c r="H47" s="138" t="s">
        <v>80</v>
      </c>
      <c r="I47" s="123" t="s">
        <v>80</v>
      </c>
      <c r="J47" s="100">
        <v>1</v>
      </c>
      <c r="K47" s="124" t="s">
        <v>50</v>
      </c>
      <c r="L47" s="135" t="s">
        <v>80</v>
      </c>
      <c r="M47" s="122" t="s">
        <v>308</v>
      </c>
    </row>
    <row r="48" spans="2:13" ht="22.15" customHeight="1">
      <c r="B48" s="86" t="s">
        <v>7</v>
      </c>
      <c r="C48" s="13" t="s">
        <v>232</v>
      </c>
      <c r="D48" s="13" t="s">
        <v>303</v>
      </c>
      <c r="E48" s="13" t="s">
        <v>45</v>
      </c>
      <c r="F48" s="123" t="s">
        <v>80</v>
      </c>
      <c r="G48" s="100" t="s">
        <v>217</v>
      </c>
      <c r="H48" s="138" t="s">
        <v>80</v>
      </c>
      <c r="I48" s="123" t="s">
        <v>80</v>
      </c>
      <c r="J48" s="100">
        <v>1</v>
      </c>
      <c r="K48" s="124" t="s">
        <v>50</v>
      </c>
      <c r="L48" s="135" t="s">
        <v>80</v>
      </c>
      <c r="M48" s="122" t="s">
        <v>308</v>
      </c>
    </row>
    <row r="49" spans="2:14" ht="22.15" customHeight="1">
      <c r="B49" s="86" t="s">
        <v>7</v>
      </c>
      <c r="C49" s="13" t="s">
        <v>232</v>
      </c>
      <c r="D49" s="13" t="s">
        <v>303</v>
      </c>
      <c r="E49" s="13" t="s">
        <v>45</v>
      </c>
      <c r="F49" s="123" t="s">
        <v>80</v>
      </c>
      <c r="G49" s="100" t="s">
        <v>218</v>
      </c>
      <c r="H49" s="138" t="s">
        <v>80</v>
      </c>
      <c r="I49" s="123" t="s">
        <v>80</v>
      </c>
      <c r="J49" s="100">
        <v>2</v>
      </c>
      <c r="K49" s="124" t="s">
        <v>50</v>
      </c>
      <c r="L49" s="135" t="s">
        <v>80</v>
      </c>
      <c r="M49" s="122" t="s">
        <v>308</v>
      </c>
    </row>
    <row r="50" spans="2:14" ht="22.15" customHeight="1">
      <c r="B50" s="86" t="s">
        <v>7</v>
      </c>
      <c r="C50" s="13" t="s">
        <v>232</v>
      </c>
      <c r="D50" s="13" t="s">
        <v>303</v>
      </c>
      <c r="E50" s="13" t="s">
        <v>45</v>
      </c>
      <c r="F50" s="123" t="s">
        <v>80</v>
      </c>
      <c r="G50" s="100" t="s">
        <v>219</v>
      </c>
      <c r="H50" s="138" t="s">
        <v>80</v>
      </c>
      <c r="I50" s="123" t="s">
        <v>80</v>
      </c>
      <c r="J50" s="100">
        <v>1</v>
      </c>
      <c r="K50" s="124" t="s">
        <v>50</v>
      </c>
      <c r="L50" s="135" t="s">
        <v>80</v>
      </c>
      <c r="M50" s="122" t="s">
        <v>308</v>
      </c>
    </row>
    <row r="51" spans="2:14" ht="22.15" customHeight="1">
      <c r="B51" s="86" t="s">
        <v>7</v>
      </c>
      <c r="C51" s="13" t="s">
        <v>232</v>
      </c>
      <c r="D51" s="13" t="s">
        <v>303</v>
      </c>
      <c r="E51" s="13" t="s">
        <v>45</v>
      </c>
      <c r="F51" s="123" t="s">
        <v>80</v>
      </c>
      <c r="G51" s="100" t="s">
        <v>220</v>
      </c>
      <c r="H51" s="138" t="s">
        <v>80</v>
      </c>
      <c r="I51" s="123" t="s">
        <v>80</v>
      </c>
      <c r="J51" s="100">
        <v>1</v>
      </c>
      <c r="K51" s="124" t="s">
        <v>50</v>
      </c>
      <c r="L51" s="135" t="s">
        <v>80</v>
      </c>
      <c r="M51" s="122" t="s">
        <v>308</v>
      </c>
    </row>
    <row r="52" spans="2:14" ht="22.15" customHeight="1">
      <c r="B52" s="86" t="s">
        <v>7</v>
      </c>
      <c r="C52" s="13" t="s">
        <v>232</v>
      </c>
      <c r="D52" s="13" t="s">
        <v>303</v>
      </c>
      <c r="E52" s="13" t="s">
        <v>45</v>
      </c>
      <c r="F52" s="123" t="s">
        <v>80</v>
      </c>
      <c r="G52" s="100" t="s">
        <v>221</v>
      </c>
      <c r="H52" s="138" t="s">
        <v>80</v>
      </c>
      <c r="I52" s="123" t="s">
        <v>80</v>
      </c>
      <c r="J52" s="100">
        <v>2</v>
      </c>
      <c r="K52" s="124" t="s">
        <v>50</v>
      </c>
      <c r="L52" s="135" t="s">
        <v>80</v>
      </c>
      <c r="M52" s="122" t="s">
        <v>308</v>
      </c>
    </row>
    <row r="53" spans="2:14" ht="22.15" customHeight="1">
      <c r="B53" s="86" t="s">
        <v>7</v>
      </c>
      <c r="C53" s="13" t="s">
        <v>232</v>
      </c>
      <c r="D53" s="13" t="s">
        <v>303</v>
      </c>
      <c r="E53" s="13" t="s">
        <v>45</v>
      </c>
      <c r="F53" s="123" t="s">
        <v>80</v>
      </c>
      <c r="G53" s="100" t="s">
        <v>222</v>
      </c>
      <c r="H53" s="138" t="s">
        <v>80</v>
      </c>
      <c r="I53" s="123" t="s">
        <v>80</v>
      </c>
      <c r="J53" s="100">
        <v>1</v>
      </c>
      <c r="K53" s="124" t="s">
        <v>50</v>
      </c>
      <c r="L53" s="135" t="s">
        <v>80</v>
      </c>
      <c r="M53" s="122" t="s">
        <v>308</v>
      </c>
    </row>
    <row r="54" spans="2:14" ht="22.15" customHeight="1">
      <c r="B54" s="86" t="s">
        <v>7</v>
      </c>
      <c r="C54" s="13" t="s">
        <v>232</v>
      </c>
      <c r="D54" s="13" t="s">
        <v>303</v>
      </c>
      <c r="E54" s="13" t="s">
        <v>45</v>
      </c>
      <c r="F54" s="123" t="s">
        <v>80</v>
      </c>
      <c r="G54" s="100" t="s">
        <v>223</v>
      </c>
      <c r="H54" s="138" t="s">
        <v>80</v>
      </c>
      <c r="I54" s="123" t="s">
        <v>80</v>
      </c>
      <c r="J54" s="100">
        <v>1</v>
      </c>
      <c r="K54" s="124" t="s">
        <v>50</v>
      </c>
      <c r="L54" s="135" t="s">
        <v>80</v>
      </c>
      <c r="M54" s="122" t="s">
        <v>308</v>
      </c>
    </row>
    <row r="55" spans="2:14" ht="22.15" customHeight="1">
      <c r="B55" s="86" t="s">
        <v>53</v>
      </c>
      <c r="C55" s="13" t="s">
        <v>232</v>
      </c>
      <c r="D55" s="13" t="s">
        <v>303</v>
      </c>
      <c r="E55" s="13" t="s">
        <v>45</v>
      </c>
      <c r="F55" s="123" t="s">
        <v>80</v>
      </c>
      <c r="G55" s="129" t="s">
        <v>309</v>
      </c>
      <c r="H55" s="138" t="s">
        <v>310</v>
      </c>
      <c r="I55" s="100" t="s">
        <v>311</v>
      </c>
      <c r="J55" s="100">
        <v>12</v>
      </c>
      <c r="K55" s="124" t="s">
        <v>50</v>
      </c>
      <c r="L55" s="135" t="s">
        <v>80</v>
      </c>
      <c r="M55" s="136"/>
    </row>
    <row r="56" spans="2:14" ht="22.15" customHeight="1">
      <c r="B56" s="86" t="s">
        <v>53</v>
      </c>
      <c r="C56" s="13" t="s">
        <v>232</v>
      </c>
      <c r="D56" s="13" t="s">
        <v>303</v>
      </c>
      <c r="E56" s="13" t="s">
        <v>45</v>
      </c>
      <c r="F56" s="123" t="s">
        <v>80</v>
      </c>
      <c r="G56" s="129" t="s">
        <v>309</v>
      </c>
      <c r="H56" s="138" t="s">
        <v>312</v>
      </c>
      <c r="I56" s="100" t="s">
        <v>313</v>
      </c>
      <c r="J56" s="100">
        <v>8</v>
      </c>
      <c r="K56" s="124" t="s">
        <v>50</v>
      </c>
      <c r="L56" s="135" t="s">
        <v>80</v>
      </c>
      <c r="M56" s="136"/>
    </row>
    <row r="57" spans="2:14" ht="22.15" customHeight="1">
      <c r="B57" s="86" t="s">
        <v>7</v>
      </c>
      <c r="C57" s="13" t="s">
        <v>232</v>
      </c>
      <c r="D57" s="13" t="s">
        <v>303</v>
      </c>
      <c r="E57" s="13" t="s">
        <v>45</v>
      </c>
      <c r="F57" s="123" t="s">
        <v>80</v>
      </c>
      <c r="G57" s="129" t="s">
        <v>242</v>
      </c>
      <c r="H57" s="134" t="s">
        <v>314</v>
      </c>
      <c r="I57" s="100" t="s">
        <v>315</v>
      </c>
      <c r="J57" s="100">
        <v>2</v>
      </c>
      <c r="K57" s="124" t="s">
        <v>50</v>
      </c>
      <c r="L57" s="135" t="s">
        <v>80</v>
      </c>
      <c r="M57" s="136"/>
    </row>
    <row r="58" spans="2:14" ht="22.15" customHeight="1">
      <c r="B58" s="86" t="s">
        <v>7</v>
      </c>
      <c r="C58" s="13" t="s">
        <v>232</v>
      </c>
      <c r="D58" s="13" t="s">
        <v>303</v>
      </c>
      <c r="E58" s="13" t="s">
        <v>45</v>
      </c>
      <c r="F58" s="123" t="s">
        <v>80</v>
      </c>
      <c r="G58" s="129" t="s">
        <v>242</v>
      </c>
      <c r="H58" s="138" t="s">
        <v>80</v>
      </c>
      <c r="I58" s="135" t="s">
        <v>80</v>
      </c>
      <c r="J58" s="100">
        <v>12</v>
      </c>
      <c r="K58" s="124" t="s">
        <v>50</v>
      </c>
      <c r="L58" s="135" t="s">
        <v>80</v>
      </c>
      <c r="M58" s="136" t="s">
        <v>316</v>
      </c>
    </row>
    <row r="59" spans="2:14" ht="22.15" customHeight="1">
      <c r="B59" s="86" t="s">
        <v>7</v>
      </c>
      <c r="C59" s="13" t="s">
        <v>232</v>
      </c>
      <c r="D59" s="13" t="s">
        <v>317</v>
      </c>
      <c r="E59" s="13" t="s">
        <v>45</v>
      </c>
      <c r="F59" s="47" t="s">
        <v>128</v>
      </c>
      <c r="G59" s="13" t="s">
        <v>194</v>
      </c>
      <c r="H59" s="14" t="s">
        <v>318</v>
      </c>
      <c r="I59" s="47" t="s">
        <v>128</v>
      </c>
      <c r="J59" s="13">
        <v>24</v>
      </c>
      <c r="K59" s="110" t="s">
        <v>50</v>
      </c>
      <c r="L59" s="104">
        <v>12.7</v>
      </c>
      <c r="M59" s="136"/>
    </row>
    <row r="60" spans="2:14" ht="22.15" customHeight="1">
      <c r="B60" s="86" t="s">
        <v>7</v>
      </c>
      <c r="C60" s="13" t="s">
        <v>232</v>
      </c>
      <c r="D60" s="13" t="s">
        <v>319</v>
      </c>
      <c r="E60" s="13" t="s">
        <v>45</v>
      </c>
      <c r="F60" s="47" t="s">
        <v>128</v>
      </c>
      <c r="G60" s="13" t="s">
        <v>194</v>
      </c>
      <c r="H60" s="14" t="s">
        <v>320</v>
      </c>
      <c r="I60" s="47" t="s">
        <v>128</v>
      </c>
      <c r="J60" s="13">
        <v>24</v>
      </c>
      <c r="K60" s="110" t="s">
        <v>50</v>
      </c>
      <c r="L60" s="104">
        <v>46.71</v>
      </c>
      <c r="M60" s="136"/>
    </row>
    <row r="61" spans="2:14" ht="22.15" customHeight="1">
      <c r="B61" s="299" t="s">
        <v>7</v>
      </c>
      <c r="C61" s="126" t="s">
        <v>232</v>
      </c>
      <c r="D61" s="126" t="s">
        <v>321</v>
      </c>
      <c r="E61" s="126" t="s">
        <v>45</v>
      </c>
      <c r="F61" s="47" t="s">
        <v>128</v>
      </c>
      <c r="G61" s="13" t="s">
        <v>194</v>
      </c>
      <c r="H61" s="141" t="s">
        <v>318</v>
      </c>
      <c r="I61" s="47" t="s">
        <v>128</v>
      </c>
      <c r="J61" s="126">
        <v>24</v>
      </c>
      <c r="K61" s="110" t="s">
        <v>50</v>
      </c>
      <c r="L61" s="104">
        <v>12.7</v>
      </c>
      <c r="M61" s="127"/>
    </row>
    <row r="62" spans="2:14" ht="22.15" customHeight="1">
      <c r="B62" s="299" t="s">
        <v>7</v>
      </c>
      <c r="C62" s="126" t="s">
        <v>232</v>
      </c>
      <c r="D62" s="126" t="s">
        <v>322</v>
      </c>
      <c r="E62" s="126" t="s">
        <v>45</v>
      </c>
      <c r="F62" s="47" t="s">
        <v>128</v>
      </c>
      <c r="G62" s="13" t="s">
        <v>194</v>
      </c>
      <c r="H62" s="141" t="s">
        <v>323</v>
      </c>
      <c r="I62" s="47" t="s">
        <v>128</v>
      </c>
      <c r="J62" s="126">
        <v>24</v>
      </c>
      <c r="K62" s="110" t="s">
        <v>50</v>
      </c>
      <c r="L62" s="104">
        <v>46.71</v>
      </c>
      <c r="M62" s="127"/>
    </row>
    <row r="63" spans="2:14" ht="22.15" customHeight="1">
      <c r="B63" s="86" t="s">
        <v>53</v>
      </c>
      <c r="C63" s="126" t="s">
        <v>232</v>
      </c>
      <c r="D63" s="126" t="s">
        <v>324</v>
      </c>
      <c r="E63" s="126" t="s">
        <v>45</v>
      </c>
      <c r="F63" s="135" t="s">
        <v>80</v>
      </c>
      <c r="G63" s="100" t="s">
        <v>200</v>
      </c>
      <c r="H63" s="138" t="s">
        <v>80</v>
      </c>
      <c r="I63" s="135" t="s">
        <v>80</v>
      </c>
      <c r="J63" s="100">
        <v>14</v>
      </c>
      <c r="K63" s="111" t="s">
        <v>50</v>
      </c>
      <c r="L63" s="135" t="s">
        <v>80</v>
      </c>
      <c r="M63" s="136" t="s">
        <v>325</v>
      </c>
      <c r="N63" s="140"/>
    </row>
    <row r="64" spans="2:14" ht="22.15" customHeight="1">
      <c r="B64" s="86" t="s">
        <v>7</v>
      </c>
      <c r="C64" s="126" t="s">
        <v>232</v>
      </c>
      <c r="D64" s="126" t="s">
        <v>324</v>
      </c>
      <c r="E64" s="126" t="s">
        <v>45</v>
      </c>
      <c r="F64" s="135" t="s">
        <v>80</v>
      </c>
      <c r="G64" s="129" t="s">
        <v>242</v>
      </c>
      <c r="H64" s="138" t="s">
        <v>80</v>
      </c>
      <c r="I64" s="100" t="s">
        <v>326</v>
      </c>
      <c r="J64" s="100">
        <v>4</v>
      </c>
      <c r="K64" s="124" t="s">
        <v>50</v>
      </c>
      <c r="L64" s="135" t="s">
        <v>80</v>
      </c>
      <c r="M64" s="136" t="s">
        <v>327</v>
      </c>
    </row>
    <row r="65" spans="2:13" ht="22.15" customHeight="1">
      <c r="B65" s="86" t="s">
        <v>7</v>
      </c>
      <c r="C65" s="126" t="s">
        <v>232</v>
      </c>
      <c r="D65" s="126" t="s">
        <v>324</v>
      </c>
      <c r="E65" s="126" t="s">
        <v>45</v>
      </c>
      <c r="F65" s="128" t="s">
        <v>236</v>
      </c>
      <c r="G65" s="128" t="s">
        <v>242</v>
      </c>
      <c r="H65" s="14" t="s">
        <v>328</v>
      </c>
      <c r="I65" s="13" t="s">
        <v>302</v>
      </c>
      <c r="J65" s="13">
        <v>5</v>
      </c>
      <c r="K65" s="111" t="s">
        <v>50</v>
      </c>
      <c r="L65" s="104">
        <v>2.6</v>
      </c>
      <c r="M65" s="193" t="s">
        <v>329</v>
      </c>
    </row>
    <row r="66" spans="2:13" ht="22.15" customHeight="1">
      <c r="B66" s="86" t="s">
        <v>7</v>
      </c>
      <c r="C66" s="126" t="s">
        <v>232</v>
      </c>
      <c r="D66" s="126" t="s">
        <v>324</v>
      </c>
      <c r="E66" s="126" t="s">
        <v>45</v>
      </c>
      <c r="F66" s="300" t="s">
        <v>330</v>
      </c>
      <c r="G66" s="128" t="s">
        <v>242</v>
      </c>
      <c r="H66" s="14" t="s">
        <v>331</v>
      </c>
      <c r="I66" s="13" t="s">
        <v>302</v>
      </c>
      <c r="J66" s="13">
        <v>6</v>
      </c>
      <c r="K66" s="111" t="s">
        <v>50</v>
      </c>
      <c r="L66" s="104">
        <v>2.71</v>
      </c>
      <c r="M66" s="193" t="s">
        <v>332</v>
      </c>
    </row>
    <row r="67" spans="2:13" ht="22.15" customHeight="1">
      <c r="B67" s="86" t="s">
        <v>7</v>
      </c>
      <c r="C67" s="126" t="s">
        <v>232</v>
      </c>
      <c r="D67" s="126" t="s">
        <v>324</v>
      </c>
      <c r="E67" s="126" t="s">
        <v>45</v>
      </c>
      <c r="F67" s="300" t="s">
        <v>330</v>
      </c>
      <c r="G67" s="128" t="s">
        <v>200</v>
      </c>
      <c r="H67" s="14" t="s">
        <v>333</v>
      </c>
      <c r="I67" s="13" t="s">
        <v>334</v>
      </c>
      <c r="J67" s="13">
        <v>3</v>
      </c>
      <c r="K67" s="111" t="s">
        <v>50</v>
      </c>
      <c r="L67" s="104">
        <v>1.21</v>
      </c>
      <c r="M67" s="193" t="s">
        <v>335</v>
      </c>
    </row>
    <row r="68" spans="2:13" ht="22.15" customHeight="1">
      <c r="B68" s="86" t="s">
        <v>7</v>
      </c>
      <c r="C68" s="126" t="s">
        <v>232</v>
      </c>
      <c r="D68" s="126" t="s">
        <v>324</v>
      </c>
      <c r="E68" s="126" t="s">
        <v>45</v>
      </c>
      <c r="F68" s="300" t="s">
        <v>330</v>
      </c>
      <c r="G68" s="128" t="s">
        <v>200</v>
      </c>
      <c r="H68" s="14" t="s">
        <v>336</v>
      </c>
      <c r="I68" s="13" t="s">
        <v>334</v>
      </c>
      <c r="J68" s="13">
        <v>3</v>
      </c>
      <c r="K68" s="111" t="s">
        <v>50</v>
      </c>
      <c r="L68" s="104">
        <v>2.8</v>
      </c>
      <c r="M68" s="193" t="s">
        <v>337</v>
      </c>
    </row>
    <row r="69" spans="2:13" ht="22.15" customHeight="1">
      <c r="B69" s="86" t="s">
        <v>53</v>
      </c>
      <c r="C69" s="126" t="s">
        <v>232</v>
      </c>
      <c r="D69" s="126" t="s">
        <v>338</v>
      </c>
      <c r="E69" s="126" t="s">
        <v>81</v>
      </c>
      <c r="F69" s="135" t="s">
        <v>80</v>
      </c>
      <c r="G69" s="129" t="s">
        <v>339</v>
      </c>
      <c r="H69" s="138" t="s">
        <v>80</v>
      </c>
      <c r="I69" s="134" t="s">
        <v>340</v>
      </c>
      <c r="J69" s="100">
        <v>1</v>
      </c>
      <c r="K69" s="124" t="s">
        <v>50</v>
      </c>
      <c r="L69" s="301" t="s">
        <v>341</v>
      </c>
      <c r="M69" s="191" t="s">
        <v>342</v>
      </c>
    </row>
    <row r="70" spans="2:13" ht="22.15" customHeight="1">
      <c r="B70" s="86" t="s">
        <v>7</v>
      </c>
      <c r="C70" s="126" t="s">
        <v>232</v>
      </c>
      <c r="D70" s="126" t="s">
        <v>338</v>
      </c>
      <c r="E70" s="126" t="s">
        <v>81</v>
      </c>
      <c r="F70" s="135" t="s">
        <v>80</v>
      </c>
      <c r="G70" s="129" t="s">
        <v>192</v>
      </c>
      <c r="H70" s="138" t="s">
        <v>80</v>
      </c>
      <c r="I70" s="134" t="s">
        <v>343</v>
      </c>
      <c r="J70" s="100">
        <v>2</v>
      </c>
      <c r="K70" s="124" t="s">
        <v>50</v>
      </c>
      <c r="L70" s="301" t="s">
        <v>341</v>
      </c>
      <c r="M70" s="191"/>
    </row>
    <row r="71" spans="2:13" ht="22.15" customHeight="1">
      <c r="B71" s="86" t="s">
        <v>53</v>
      </c>
      <c r="C71" s="126" t="s">
        <v>232</v>
      </c>
      <c r="D71" s="126" t="s">
        <v>344</v>
      </c>
      <c r="E71" s="126" t="s">
        <v>45</v>
      </c>
      <c r="F71" s="135" t="s">
        <v>80</v>
      </c>
      <c r="G71" s="129" t="s">
        <v>56</v>
      </c>
      <c r="H71" s="138" t="s">
        <v>345</v>
      </c>
      <c r="I71" s="100" t="s">
        <v>346</v>
      </c>
      <c r="J71" s="100">
        <v>1</v>
      </c>
      <c r="K71" s="124" t="s">
        <v>50</v>
      </c>
      <c r="L71" s="135" t="s">
        <v>80</v>
      </c>
      <c r="M71" s="191"/>
    </row>
    <row r="72" spans="2:13" ht="22.15" customHeight="1">
      <c r="B72" s="86" t="s">
        <v>7</v>
      </c>
      <c r="C72" s="126" t="s">
        <v>232</v>
      </c>
      <c r="D72" s="126" t="s">
        <v>344</v>
      </c>
      <c r="E72" s="126" t="s">
        <v>45</v>
      </c>
      <c r="F72" s="128" t="s">
        <v>236</v>
      </c>
      <c r="G72" s="128" t="s">
        <v>242</v>
      </c>
      <c r="H72" s="14" t="s">
        <v>347</v>
      </c>
      <c r="I72" s="13" t="s">
        <v>348</v>
      </c>
      <c r="J72" s="13">
        <v>4</v>
      </c>
      <c r="K72" s="111" t="s">
        <v>50</v>
      </c>
      <c r="L72" s="104">
        <v>17.5</v>
      </c>
      <c r="M72" s="193"/>
    </row>
    <row r="73" spans="2:13" ht="22.15" customHeight="1">
      <c r="B73" s="86" t="s">
        <v>53</v>
      </c>
      <c r="C73" s="126" t="s">
        <v>232</v>
      </c>
      <c r="D73" s="126" t="s">
        <v>344</v>
      </c>
      <c r="E73" s="126" t="s">
        <v>45</v>
      </c>
      <c r="F73" s="139" t="s">
        <v>349</v>
      </c>
      <c r="G73" s="128" t="s">
        <v>56</v>
      </c>
      <c r="H73" s="117" t="s">
        <v>350</v>
      </c>
      <c r="I73" s="13" t="s">
        <v>351</v>
      </c>
      <c r="J73" s="13">
        <v>2</v>
      </c>
      <c r="K73" s="111" t="s">
        <v>50</v>
      </c>
      <c r="L73" s="104">
        <v>24</v>
      </c>
      <c r="M73" s="199" t="s">
        <v>352</v>
      </c>
    </row>
    <row r="74" spans="2:13" ht="22.15" customHeight="1">
      <c r="B74" s="86" t="s">
        <v>53</v>
      </c>
      <c r="C74" s="126" t="s">
        <v>232</v>
      </c>
      <c r="D74" s="126" t="s">
        <v>344</v>
      </c>
      <c r="E74" s="126" t="s">
        <v>45</v>
      </c>
      <c r="F74" s="135" t="s">
        <v>353</v>
      </c>
      <c r="G74" s="129" t="s">
        <v>56</v>
      </c>
      <c r="H74" s="138" t="s">
        <v>354</v>
      </c>
      <c r="I74" s="100" t="s">
        <v>355</v>
      </c>
      <c r="J74" s="100">
        <v>1</v>
      </c>
      <c r="K74" s="124" t="s">
        <v>50</v>
      </c>
      <c r="L74" s="135" t="s">
        <v>80</v>
      </c>
      <c r="M74" s="136" t="s">
        <v>356</v>
      </c>
    </row>
    <row r="75" spans="2:13" ht="22.15" customHeight="1">
      <c r="B75" s="86" t="s">
        <v>7</v>
      </c>
      <c r="C75" s="126" t="s">
        <v>232</v>
      </c>
      <c r="D75" s="126" t="s">
        <v>344</v>
      </c>
      <c r="E75" s="126" t="s">
        <v>45</v>
      </c>
      <c r="F75" s="139" t="s">
        <v>357</v>
      </c>
      <c r="G75" s="131" t="s">
        <v>194</v>
      </c>
      <c r="H75" s="132" t="s">
        <v>358</v>
      </c>
      <c r="I75" s="131" t="s">
        <v>359</v>
      </c>
      <c r="J75" s="131">
        <v>1</v>
      </c>
      <c r="K75" s="111" t="s">
        <v>50</v>
      </c>
      <c r="L75" s="130">
        <v>137.37</v>
      </c>
      <c r="M75" s="127"/>
    </row>
    <row r="76" spans="2:13" ht="22.15" customHeight="1">
      <c r="B76" s="86" t="s">
        <v>7</v>
      </c>
      <c r="C76" s="126" t="s">
        <v>232</v>
      </c>
      <c r="D76" s="126" t="s">
        <v>360</v>
      </c>
      <c r="E76" s="126" t="s">
        <v>45</v>
      </c>
      <c r="F76" s="13" t="s">
        <v>236</v>
      </c>
      <c r="G76" s="13" t="s">
        <v>194</v>
      </c>
      <c r="H76" s="14" t="s">
        <v>361</v>
      </c>
      <c r="I76" s="13" t="s">
        <v>362</v>
      </c>
      <c r="J76" s="13">
        <v>4</v>
      </c>
      <c r="K76" s="111" t="s">
        <v>50</v>
      </c>
      <c r="L76" s="104">
        <v>313.20999999999998</v>
      </c>
      <c r="M76" s="127"/>
    </row>
    <row r="77" spans="2:13" ht="22.15" customHeight="1">
      <c r="B77" s="86" t="s">
        <v>7</v>
      </c>
      <c r="C77" s="126" t="s">
        <v>232</v>
      </c>
      <c r="D77" s="126" t="s">
        <v>363</v>
      </c>
      <c r="E77" s="126" t="s">
        <v>45</v>
      </c>
      <c r="F77" s="13" t="s">
        <v>357</v>
      </c>
      <c r="G77" s="128" t="s">
        <v>242</v>
      </c>
      <c r="H77" s="117" t="s">
        <v>364</v>
      </c>
      <c r="I77" s="13" t="s">
        <v>365</v>
      </c>
      <c r="J77" s="13">
        <v>34</v>
      </c>
      <c r="K77" s="111" t="s">
        <v>50</v>
      </c>
      <c r="L77" s="104">
        <v>25.12</v>
      </c>
      <c r="M77" s="127"/>
    </row>
    <row r="78" spans="2:13" ht="22.15" customHeight="1">
      <c r="B78" s="86" t="s">
        <v>7</v>
      </c>
      <c r="C78" s="126" t="s">
        <v>232</v>
      </c>
      <c r="D78" s="126" t="s">
        <v>366</v>
      </c>
      <c r="E78" s="126" t="s">
        <v>45</v>
      </c>
      <c r="F78" s="13" t="s">
        <v>357</v>
      </c>
      <c r="G78" s="128" t="s">
        <v>242</v>
      </c>
      <c r="H78" s="117" t="s">
        <v>364</v>
      </c>
      <c r="I78" s="13" t="s">
        <v>365</v>
      </c>
      <c r="J78" s="13">
        <v>10</v>
      </c>
      <c r="K78" s="111" t="s">
        <v>50</v>
      </c>
      <c r="L78" s="104">
        <v>25.12</v>
      </c>
      <c r="M78" s="127"/>
    </row>
    <row r="79" spans="2:13" ht="22.15" customHeight="1">
      <c r="B79" s="86" t="s">
        <v>7</v>
      </c>
      <c r="C79" s="126" t="s">
        <v>232</v>
      </c>
      <c r="D79" s="126" t="s">
        <v>366</v>
      </c>
      <c r="E79" s="126" t="s">
        <v>45</v>
      </c>
      <c r="F79" s="13" t="s">
        <v>357</v>
      </c>
      <c r="G79" s="128" t="s">
        <v>242</v>
      </c>
      <c r="H79" s="117" t="s">
        <v>367</v>
      </c>
      <c r="I79" s="13" t="s">
        <v>368</v>
      </c>
      <c r="J79" s="13">
        <v>12</v>
      </c>
      <c r="K79" s="111" t="s">
        <v>50</v>
      </c>
      <c r="L79" s="104">
        <v>18.84</v>
      </c>
      <c r="M79" s="127"/>
    </row>
    <row r="80" spans="2:13" ht="22.15" customHeight="1">
      <c r="B80" s="86" t="s">
        <v>7</v>
      </c>
      <c r="C80" s="126" t="s">
        <v>232</v>
      </c>
      <c r="D80" s="126" t="s">
        <v>366</v>
      </c>
      <c r="E80" s="126" t="s">
        <v>45</v>
      </c>
      <c r="F80" s="13" t="s">
        <v>357</v>
      </c>
      <c r="G80" s="13" t="s">
        <v>194</v>
      </c>
      <c r="H80" s="117" t="s">
        <v>369</v>
      </c>
      <c r="I80" s="13" t="s">
        <v>370</v>
      </c>
      <c r="J80" s="13">
        <v>2</v>
      </c>
      <c r="K80" s="111" t="s">
        <v>50</v>
      </c>
      <c r="L80" s="104">
        <v>216.57</v>
      </c>
      <c r="M80" s="127"/>
    </row>
    <row r="81" spans="2:13" ht="22.15" customHeight="1">
      <c r="B81" s="86" t="s">
        <v>7</v>
      </c>
      <c r="C81" s="126" t="s">
        <v>232</v>
      </c>
      <c r="D81" s="126" t="s">
        <v>371</v>
      </c>
      <c r="E81" s="126" t="s">
        <v>45</v>
      </c>
      <c r="F81" s="128" t="s">
        <v>236</v>
      </c>
      <c r="G81" s="128" t="s">
        <v>242</v>
      </c>
      <c r="H81" s="14" t="s">
        <v>372</v>
      </c>
      <c r="I81" s="13" t="s">
        <v>359</v>
      </c>
      <c r="J81" s="13">
        <v>3</v>
      </c>
      <c r="K81" s="111" t="s">
        <v>50</v>
      </c>
      <c r="L81" s="104">
        <v>269.61</v>
      </c>
      <c r="M81" s="127"/>
    </row>
    <row r="82" spans="2:13" ht="22.15" customHeight="1">
      <c r="B82" s="86" t="s">
        <v>7</v>
      </c>
      <c r="C82" s="126" t="s">
        <v>232</v>
      </c>
      <c r="D82" s="126" t="s">
        <v>373</v>
      </c>
      <c r="E82" s="126" t="s">
        <v>45</v>
      </c>
      <c r="F82" s="128" t="s">
        <v>236</v>
      </c>
      <c r="G82" s="13" t="s">
        <v>194</v>
      </c>
      <c r="H82" s="14" t="s">
        <v>374</v>
      </c>
      <c r="I82" s="13" t="s">
        <v>359</v>
      </c>
      <c r="J82" s="13">
        <v>1</v>
      </c>
      <c r="K82" s="111" t="s">
        <v>50</v>
      </c>
      <c r="L82" s="104">
        <v>157.24</v>
      </c>
      <c r="M82" s="127"/>
    </row>
    <row r="83" spans="2:13" ht="22.15" customHeight="1">
      <c r="B83" s="86" t="s">
        <v>7</v>
      </c>
      <c r="C83" s="126" t="s">
        <v>232</v>
      </c>
      <c r="D83" s="126" t="s">
        <v>373</v>
      </c>
      <c r="E83" s="126" t="s">
        <v>45</v>
      </c>
      <c r="F83" s="128" t="s">
        <v>236</v>
      </c>
      <c r="G83" s="13" t="s">
        <v>194</v>
      </c>
      <c r="H83" s="14" t="s">
        <v>375</v>
      </c>
      <c r="I83" s="13" t="s">
        <v>359</v>
      </c>
      <c r="J83" s="13">
        <v>1</v>
      </c>
      <c r="K83" s="111" t="s">
        <v>50</v>
      </c>
      <c r="L83" s="104">
        <v>157.24</v>
      </c>
      <c r="M83" s="127"/>
    </row>
    <row r="84" spans="2:13" ht="22.15" customHeight="1">
      <c r="B84" s="86" t="s">
        <v>53</v>
      </c>
      <c r="C84" s="126" t="s">
        <v>232</v>
      </c>
      <c r="D84" s="126" t="s">
        <v>376</v>
      </c>
      <c r="E84" s="126" t="s">
        <v>45</v>
      </c>
      <c r="F84" s="123" t="s">
        <v>377</v>
      </c>
      <c r="G84" s="129" t="s">
        <v>56</v>
      </c>
      <c r="H84" s="138" t="s">
        <v>378</v>
      </c>
      <c r="I84" s="100" t="s">
        <v>379</v>
      </c>
      <c r="J84" s="100">
        <v>1</v>
      </c>
      <c r="K84" s="124" t="s">
        <v>50</v>
      </c>
      <c r="L84" s="106">
        <v>158.4</v>
      </c>
      <c r="M84" s="137" t="s">
        <v>352</v>
      </c>
    </row>
    <row r="85" spans="2:13" ht="22.15" customHeight="1">
      <c r="B85" s="86" t="s">
        <v>53</v>
      </c>
      <c r="C85" s="126" t="s">
        <v>232</v>
      </c>
      <c r="D85" s="126" t="s">
        <v>380</v>
      </c>
      <c r="E85" s="126" t="s">
        <v>45</v>
      </c>
      <c r="F85" s="13" t="s">
        <v>381</v>
      </c>
      <c r="G85" s="128" t="s">
        <v>56</v>
      </c>
      <c r="H85" s="14" t="s">
        <v>382</v>
      </c>
      <c r="I85" s="13" t="s">
        <v>383</v>
      </c>
      <c r="J85" s="13">
        <v>2</v>
      </c>
      <c r="K85" s="110" t="s">
        <v>50</v>
      </c>
      <c r="L85" s="300">
        <v>88.2</v>
      </c>
      <c r="M85" s="127" t="s">
        <v>356</v>
      </c>
    </row>
    <row r="86" spans="2:13" ht="22.15" customHeight="1">
      <c r="B86" s="86" t="s">
        <v>7</v>
      </c>
      <c r="C86" s="126" t="s">
        <v>232</v>
      </c>
      <c r="D86" s="126" t="s">
        <v>384</v>
      </c>
      <c r="E86" s="126" t="s">
        <v>45</v>
      </c>
      <c r="F86" s="128" t="s">
        <v>236</v>
      </c>
      <c r="G86" s="13" t="s">
        <v>194</v>
      </c>
      <c r="H86" s="14" t="s">
        <v>385</v>
      </c>
      <c r="I86" s="13" t="s">
        <v>362</v>
      </c>
      <c r="J86" s="13">
        <v>1</v>
      </c>
      <c r="K86" s="111" t="s">
        <v>50</v>
      </c>
      <c r="L86" s="104">
        <v>410.7</v>
      </c>
      <c r="M86" s="127"/>
    </row>
    <row r="87" spans="2:13" ht="22.15" customHeight="1">
      <c r="B87" s="86" t="s">
        <v>53</v>
      </c>
      <c r="C87" s="126" t="s">
        <v>232</v>
      </c>
      <c r="D87" s="126" t="s">
        <v>386</v>
      </c>
      <c r="E87" s="126" t="s">
        <v>45</v>
      </c>
      <c r="F87" s="100" t="s">
        <v>387</v>
      </c>
      <c r="G87" s="100" t="s">
        <v>131</v>
      </c>
      <c r="H87" s="134" t="s">
        <v>388</v>
      </c>
      <c r="I87" s="100" t="s">
        <v>389</v>
      </c>
      <c r="J87" s="100">
        <v>1</v>
      </c>
      <c r="K87" s="124" t="s">
        <v>50</v>
      </c>
      <c r="L87" s="135" t="s">
        <v>80</v>
      </c>
      <c r="M87" s="137"/>
    </row>
    <row r="88" spans="2:13" ht="22.15" customHeight="1">
      <c r="B88" s="86" t="s">
        <v>53</v>
      </c>
      <c r="C88" s="126" t="s">
        <v>232</v>
      </c>
      <c r="D88" s="126" t="s">
        <v>390</v>
      </c>
      <c r="E88" s="126" t="s">
        <v>45</v>
      </c>
      <c r="F88" s="100" t="s">
        <v>387</v>
      </c>
      <c r="G88" s="100" t="s">
        <v>131</v>
      </c>
      <c r="H88" s="138" t="s">
        <v>80</v>
      </c>
      <c r="I88" s="100" t="s">
        <v>391</v>
      </c>
      <c r="J88" s="100">
        <v>1</v>
      </c>
      <c r="K88" s="124" t="s">
        <v>50</v>
      </c>
      <c r="L88" s="135" t="s">
        <v>80</v>
      </c>
      <c r="M88" s="136"/>
    </row>
    <row r="89" spans="2:13" ht="22.15" customHeight="1">
      <c r="B89" s="86" t="s">
        <v>7</v>
      </c>
      <c r="C89" s="126" t="s">
        <v>232</v>
      </c>
      <c r="D89" s="126" t="s">
        <v>392</v>
      </c>
      <c r="E89" s="126" t="s">
        <v>45</v>
      </c>
      <c r="F89" s="13" t="s">
        <v>166</v>
      </c>
      <c r="G89" s="14" t="s">
        <v>255</v>
      </c>
      <c r="H89" s="14" t="s">
        <v>393</v>
      </c>
      <c r="I89" s="13" t="s">
        <v>394</v>
      </c>
      <c r="J89" s="13">
        <v>16</v>
      </c>
      <c r="K89" s="111" t="s">
        <v>50</v>
      </c>
      <c r="L89" s="104">
        <v>528</v>
      </c>
      <c r="M89" s="127"/>
    </row>
    <row r="90" spans="2:13" ht="22.15" customHeight="1">
      <c r="B90" s="86" t="s">
        <v>7</v>
      </c>
      <c r="C90" s="126" t="s">
        <v>232</v>
      </c>
      <c r="D90" s="126" t="s">
        <v>392</v>
      </c>
      <c r="E90" s="126" t="s">
        <v>45</v>
      </c>
      <c r="F90" s="13" t="s">
        <v>166</v>
      </c>
      <c r="G90" s="14" t="s">
        <v>255</v>
      </c>
      <c r="H90" s="14" t="s">
        <v>395</v>
      </c>
      <c r="I90" s="13" t="s">
        <v>396</v>
      </c>
      <c r="J90" s="13">
        <v>8</v>
      </c>
      <c r="K90" s="111" t="s">
        <v>50</v>
      </c>
      <c r="L90" s="104">
        <v>288</v>
      </c>
      <c r="M90" s="127"/>
    </row>
    <row r="91" spans="2:13" ht="22.15" customHeight="1">
      <c r="B91" s="86" t="s">
        <v>7</v>
      </c>
      <c r="C91" s="126" t="s">
        <v>232</v>
      </c>
      <c r="D91" s="126" t="s">
        <v>397</v>
      </c>
      <c r="E91" s="126" t="s">
        <v>45</v>
      </c>
      <c r="F91" s="13" t="s">
        <v>166</v>
      </c>
      <c r="G91" s="14" t="s">
        <v>255</v>
      </c>
      <c r="H91" s="14" t="s">
        <v>398</v>
      </c>
      <c r="I91" s="13" t="s">
        <v>399</v>
      </c>
      <c r="J91" s="13">
        <v>10</v>
      </c>
      <c r="K91" s="111" t="s">
        <v>50</v>
      </c>
      <c r="L91" s="104">
        <v>360</v>
      </c>
      <c r="M91" s="127"/>
    </row>
    <row r="92" spans="2:13" ht="22.15" customHeight="1">
      <c r="B92" s="86" t="s">
        <v>7</v>
      </c>
      <c r="C92" s="126" t="s">
        <v>232</v>
      </c>
      <c r="D92" s="126" t="s">
        <v>400</v>
      </c>
      <c r="E92" s="126" t="s">
        <v>45</v>
      </c>
      <c r="F92" s="13" t="s">
        <v>166</v>
      </c>
      <c r="G92" s="14" t="s">
        <v>255</v>
      </c>
      <c r="H92" s="14" t="s">
        <v>401</v>
      </c>
      <c r="I92" s="13" t="s">
        <v>402</v>
      </c>
      <c r="J92" s="13">
        <v>26</v>
      </c>
      <c r="K92" s="111" t="s">
        <v>50</v>
      </c>
      <c r="L92" s="104">
        <v>949</v>
      </c>
      <c r="M92" s="127"/>
    </row>
    <row r="93" spans="2:13" ht="22.15" customHeight="1">
      <c r="B93" s="86" t="s">
        <v>7</v>
      </c>
      <c r="C93" s="126" t="s">
        <v>232</v>
      </c>
      <c r="D93" s="126" t="s">
        <v>400</v>
      </c>
      <c r="E93" s="126" t="s">
        <v>45</v>
      </c>
      <c r="F93" s="13" t="s">
        <v>166</v>
      </c>
      <c r="G93" s="14" t="s">
        <v>255</v>
      </c>
      <c r="H93" s="14" t="s">
        <v>403</v>
      </c>
      <c r="I93" s="13" t="s">
        <v>404</v>
      </c>
      <c r="J93" s="13">
        <v>4</v>
      </c>
      <c r="K93" s="111" t="s">
        <v>50</v>
      </c>
      <c r="L93" s="104">
        <v>124</v>
      </c>
      <c r="M93" s="127"/>
    </row>
    <row r="94" spans="2:13" ht="22.15" customHeight="1">
      <c r="B94" s="86" t="s">
        <v>7</v>
      </c>
      <c r="C94" s="126" t="s">
        <v>232</v>
      </c>
      <c r="D94" s="126" t="s">
        <v>400</v>
      </c>
      <c r="E94" s="126" t="s">
        <v>45</v>
      </c>
      <c r="F94" s="13" t="s">
        <v>166</v>
      </c>
      <c r="G94" s="14" t="s">
        <v>255</v>
      </c>
      <c r="H94" s="138" t="s">
        <v>80</v>
      </c>
      <c r="I94" s="13" t="s">
        <v>405</v>
      </c>
      <c r="J94" s="13">
        <v>1</v>
      </c>
      <c r="K94" s="111" t="s">
        <v>50</v>
      </c>
      <c r="L94" s="104">
        <v>32.5</v>
      </c>
      <c r="M94" s="127"/>
    </row>
    <row r="95" spans="2:13" ht="22.15" customHeight="1">
      <c r="B95" s="86" t="s">
        <v>7</v>
      </c>
      <c r="C95" s="126" t="s">
        <v>232</v>
      </c>
      <c r="D95" s="126" t="s">
        <v>406</v>
      </c>
      <c r="E95" s="126" t="s">
        <v>45</v>
      </c>
      <c r="F95" s="13" t="s">
        <v>166</v>
      </c>
      <c r="G95" s="14" t="s">
        <v>255</v>
      </c>
      <c r="H95" s="14" t="s">
        <v>407</v>
      </c>
      <c r="I95" s="13" t="s">
        <v>408</v>
      </c>
      <c r="J95" s="13">
        <v>2</v>
      </c>
      <c r="K95" s="111" t="s">
        <v>50</v>
      </c>
      <c r="L95" s="104">
        <v>56</v>
      </c>
      <c r="M95" s="127"/>
    </row>
    <row r="96" spans="2:13" ht="22.15" customHeight="1">
      <c r="B96" s="86" t="s">
        <v>7</v>
      </c>
      <c r="C96" s="126" t="s">
        <v>232</v>
      </c>
      <c r="D96" s="126" t="s">
        <v>406</v>
      </c>
      <c r="E96" s="126" t="s">
        <v>45</v>
      </c>
      <c r="F96" s="13" t="s">
        <v>166</v>
      </c>
      <c r="G96" s="14" t="s">
        <v>255</v>
      </c>
      <c r="H96" s="138" t="s">
        <v>80</v>
      </c>
      <c r="I96" s="13" t="s">
        <v>409</v>
      </c>
      <c r="J96" s="13">
        <v>1</v>
      </c>
      <c r="K96" s="111" t="s">
        <v>50</v>
      </c>
      <c r="L96" s="135" t="s">
        <v>80</v>
      </c>
      <c r="M96" s="127"/>
    </row>
    <row r="97" spans="2:13" ht="22.15" customHeight="1">
      <c r="B97" s="86" t="s">
        <v>7</v>
      </c>
      <c r="C97" s="126" t="s">
        <v>232</v>
      </c>
      <c r="D97" s="126" t="s">
        <v>406</v>
      </c>
      <c r="E97" s="126" t="s">
        <v>45</v>
      </c>
      <c r="F97" s="13" t="s">
        <v>166</v>
      </c>
      <c r="G97" s="14" t="s">
        <v>255</v>
      </c>
      <c r="H97" s="138" t="s">
        <v>80</v>
      </c>
      <c r="I97" s="13" t="s">
        <v>410</v>
      </c>
      <c r="J97" s="13">
        <v>1</v>
      </c>
      <c r="K97" s="111" t="s">
        <v>50</v>
      </c>
      <c r="L97" s="135" t="s">
        <v>80</v>
      </c>
      <c r="M97" s="127"/>
    </row>
    <row r="98" spans="2:13" ht="22.15" customHeight="1">
      <c r="B98" s="86" t="s">
        <v>7</v>
      </c>
      <c r="C98" s="126" t="s">
        <v>232</v>
      </c>
      <c r="D98" s="126" t="s">
        <v>406</v>
      </c>
      <c r="E98" s="126" t="s">
        <v>45</v>
      </c>
      <c r="F98" s="13" t="s">
        <v>166</v>
      </c>
      <c r="G98" s="14" t="s">
        <v>255</v>
      </c>
      <c r="H98" s="14" t="s">
        <v>411</v>
      </c>
      <c r="I98" s="13" t="s">
        <v>412</v>
      </c>
      <c r="J98" s="13">
        <v>2</v>
      </c>
      <c r="K98" s="111" t="s">
        <v>50</v>
      </c>
      <c r="L98" s="104">
        <v>28.2</v>
      </c>
      <c r="M98" s="127"/>
    </row>
    <row r="99" spans="2:13" ht="22.15" customHeight="1">
      <c r="B99" s="86" t="s">
        <v>7</v>
      </c>
      <c r="C99" s="126" t="s">
        <v>232</v>
      </c>
      <c r="D99" s="126" t="s">
        <v>406</v>
      </c>
      <c r="E99" s="126" t="s">
        <v>45</v>
      </c>
      <c r="F99" s="13" t="s">
        <v>166</v>
      </c>
      <c r="G99" s="14" t="s">
        <v>255</v>
      </c>
      <c r="H99" s="14" t="s">
        <v>413</v>
      </c>
      <c r="I99" s="13" t="s">
        <v>414</v>
      </c>
      <c r="J99" s="13">
        <v>6</v>
      </c>
      <c r="K99" s="111" t="s">
        <v>50</v>
      </c>
      <c r="L99" s="104">
        <v>142.80000000000001</v>
      </c>
      <c r="M99" s="127"/>
    </row>
    <row r="100" spans="2:13" ht="22.15" customHeight="1">
      <c r="B100" s="86" t="s">
        <v>7</v>
      </c>
      <c r="C100" s="126" t="s">
        <v>232</v>
      </c>
      <c r="D100" s="126" t="s">
        <v>406</v>
      </c>
      <c r="E100" s="126" t="s">
        <v>45</v>
      </c>
      <c r="F100" s="13" t="s">
        <v>166</v>
      </c>
      <c r="G100" s="14" t="s">
        <v>255</v>
      </c>
      <c r="H100" s="14" t="s">
        <v>415</v>
      </c>
      <c r="I100" s="13" t="s">
        <v>416</v>
      </c>
      <c r="J100" s="13">
        <v>8</v>
      </c>
      <c r="K100" s="111" t="s">
        <v>50</v>
      </c>
      <c r="L100" s="104">
        <v>259.2</v>
      </c>
      <c r="M100" s="127"/>
    </row>
    <row r="101" spans="2:13" ht="22.15" customHeight="1">
      <c r="B101" s="86" t="s">
        <v>7</v>
      </c>
      <c r="C101" s="126" t="s">
        <v>232</v>
      </c>
      <c r="D101" s="126" t="s">
        <v>406</v>
      </c>
      <c r="E101" s="126" t="s">
        <v>45</v>
      </c>
      <c r="F101" s="13" t="s">
        <v>166</v>
      </c>
      <c r="G101" s="14" t="s">
        <v>255</v>
      </c>
      <c r="H101" s="14" t="s">
        <v>413</v>
      </c>
      <c r="I101" s="13" t="s">
        <v>417</v>
      </c>
      <c r="J101" s="13">
        <v>1</v>
      </c>
      <c r="K101" s="111" t="s">
        <v>50</v>
      </c>
      <c r="L101" s="104">
        <v>23.8</v>
      </c>
      <c r="M101" s="127"/>
    </row>
    <row r="102" spans="2:13" ht="22.15" customHeight="1">
      <c r="B102" s="86" t="s">
        <v>7</v>
      </c>
      <c r="C102" s="126" t="s">
        <v>232</v>
      </c>
      <c r="D102" s="126" t="s">
        <v>418</v>
      </c>
      <c r="E102" s="126" t="s">
        <v>45</v>
      </c>
      <c r="F102" s="13" t="s">
        <v>166</v>
      </c>
      <c r="G102" s="14" t="s">
        <v>255</v>
      </c>
      <c r="H102" s="14" t="s">
        <v>419</v>
      </c>
      <c r="I102" s="13" t="s">
        <v>420</v>
      </c>
      <c r="J102" s="13">
        <v>24</v>
      </c>
      <c r="K102" s="111" t="s">
        <v>50</v>
      </c>
      <c r="L102" s="104">
        <v>792</v>
      </c>
      <c r="M102" s="127"/>
    </row>
    <row r="103" spans="2:13" ht="22.15" customHeight="1">
      <c r="B103" s="86" t="s">
        <v>7</v>
      </c>
      <c r="C103" s="126" t="s">
        <v>232</v>
      </c>
      <c r="D103" s="126" t="s">
        <v>418</v>
      </c>
      <c r="E103" s="126" t="s">
        <v>45</v>
      </c>
      <c r="F103" s="13" t="s">
        <v>166</v>
      </c>
      <c r="G103" s="14" t="s">
        <v>255</v>
      </c>
      <c r="H103" s="14" t="s">
        <v>419</v>
      </c>
      <c r="I103" s="13" t="s">
        <v>421</v>
      </c>
      <c r="J103" s="13">
        <v>2</v>
      </c>
      <c r="K103" s="111" t="s">
        <v>50</v>
      </c>
      <c r="L103" s="104">
        <v>66</v>
      </c>
      <c r="M103" s="127"/>
    </row>
    <row r="104" spans="2:13" ht="22.15" customHeight="1">
      <c r="B104" s="86" t="s">
        <v>7</v>
      </c>
      <c r="C104" s="126" t="s">
        <v>232</v>
      </c>
      <c r="D104" s="126" t="s">
        <v>418</v>
      </c>
      <c r="E104" s="126" t="s">
        <v>45</v>
      </c>
      <c r="F104" s="13" t="s">
        <v>166</v>
      </c>
      <c r="G104" s="14" t="s">
        <v>255</v>
      </c>
      <c r="H104" s="14" t="s">
        <v>422</v>
      </c>
      <c r="I104" s="13" t="s">
        <v>423</v>
      </c>
      <c r="J104" s="13">
        <v>2</v>
      </c>
      <c r="K104" s="111" t="s">
        <v>50</v>
      </c>
      <c r="L104" s="104" t="s">
        <v>424</v>
      </c>
      <c r="M104" s="127"/>
    </row>
    <row r="105" spans="2:13" ht="22.15" customHeight="1">
      <c r="B105" s="86" t="s">
        <v>7</v>
      </c>
      <c r="C105" s="126" t="s">
        <v>232</v>
      </c>
      <c r="D105" s="126" t="s">
        <v>425</v>
      </c>
      <c r="E105" s="126" t="s">
        <v>45</v>
      </c>
      <c r="F105" s="13" t="s">
        <v>166</v>
      </c>
      <c r="G105" s="14" t="s">
        <v>255</v>
      </c>
      <c r="H105" s="14" t="s">
        <v>426</v>
      </c>
      <c r="I105" s="13" t="s">
        <v>427</v>
      </c>
      <c r="J105" s="13">
        <v>4</v>
      </c>
      <c r="K105" s="111" t="s">
        <v>50</v>
      </c>
      <c r="L105" s="104">
        <v>50.4</v>
      </c>
      <c r="M105" s="127"/>
    </row>
    <row r="106" spans="2:13" ht="22.15" customHeight="1">
      <c r="B106" s="86" t="s">
        <v>7</v>
      </c>
      <c r="C106" s="126" t="s">
        <v>232</v>
      </c>
      <c r="D106" s="126" t="s">
        <v>425</v>
      </c>
      <c r="E106" s="126" t="s">
        <v>45</v>
      </c>
      <c r="F106" s="13" t="s">
        <v>166</v>
      </c>
      <c r="G106" s="14" t="s">
        <v>255</v>
      </c>
      <c r="H106" s="14" t="s">
        <v>428</v>
      </c>
      <c r="I106" s="13" t="s">
        <v>429</v>
      </c>
      <c r="J106" s="13">
        <v>2</v>
      </c>
      <c r="K106" s="111" t="s">
        <v>50</v>
      </c>
      <c r="L106" s="104">
        <v>20</v>
      </c>
      <c r="M106" s="127"/>
    </row>
    <row r="107" spans="2:13" ht="22.15" customHeight="1">
      <c r="B107" s="86" t="s">
        <v>7</v>
      </c>
      <c r="C107" s="126" t="s">
        <v>232</v>
      </c>
      <c r="D107" s="126" t="s">
        <v>425</v>
      </c>
      <c r="E107" s="126" t="s">
        <v>45</v>
      </c>
      <c r="F107" s="13" t="s">
        <v>166</v>
      </c>
      <c r="G107" s="14" t="s">
        <v>255</v>
      </c>
      <c r="H107" s="14" t="s">
        <v>430</v>
      </c>
      <c r="I107" s="13" t="s">
        <v>431</v>
      </c>
      <c r="J107" s="13">
        <v>2</v>
      </c>
      <c r="K107" s="111" t="s">
        <v>50</v>
      </c>
      <c r="L107" s="104">
        <v>16.399999999999999</v>
      </c>
      <c r="M107" s="127"/>
    </row>
    <row r="108" spans="2:13" ht="22.15" customHeight="1">
      <c r="B108" s="86" t="s">
        <v>7</v>
      </c>
      <c r="C108" s="126" t="s">
        <v>232</v>
      </c>
      <c r="D108" s="126" t="s">
        <v>425</v>
      </c>
      <c r="E108" s="126" t="s">
        <v>45</v>
      </c>
      <c r="F108" s="13" t="s">
        <v>166</v>
      </c>
      <c r="G108" s="14" t="s">
        <v>255</v>
      </c>
      <c r="H108" s="14" t="s">
        <v>432</v>
      </c>
      <c r="I108" s="13" t="s">
        <v>433</v>
      </c>
      <c r="J108" s="13">
        <v>4</v>
      </c>
      <c r="K108" s="111" t="s">
        <v>50</v>
      </c>
      <c r="L108" s="104">
        <v>154</v>
      </c>
      <c r="M108" s="127"/>
    </row>
    <row r="109" spans="2:13" ht="22.15" customHeight="1">
      <c r="B109" s="86" t="s">
        <v>7</v>
      </c>
      <c r="C109" s="126" t="s">
        <v>232</v>
      </c>
      <c r="D109" s="126" t="s">
        <v>425</v>
      </c>
      <c r="E109" s="126" t="s">
        <v>45</v>
      </c>
      <c r="F109" s="13" t="s">
        <v>166</v>
      </c>
      <c r="G109" s="14" t="s">
        <v>255</v>
      </c>
      <c r="H109" s="14" t="s">
        <v>434</v>
      </c>
      <c r="I109" s="13" t="s">
        <v>435</v>
      </c>
      <c r="J109" s="13">
        <v>8</v>
      </c>
      <c r="K109" s="111" t="s">
        <v>50</v>
      </c>
      <c r="L109" s="104">
        <v>328</v>
      </c>
      <c r="M109" s="127"/>
    </row>
    <row r="110" spans="2:13" ht="22.15" customHeight="1">
      <c r="B110" s="86" t="s">
        <v>7</v>
      </c>
      <c r="C110" s="126" t="s">
        <v>232</v>
      </c>
      <c r="D110" s="126" t="s">
        <v>425</v>
      </c>
      <c r="E110" s="126" t="s">
        <v>45</v>
      </c>
      <c r="F110" s="13" t="s">
        <v>166</v>
      </c>
      <c r="G110" s="14" t="s">
        <v>255</v>
      </c>
      <c r="H110" s="14" t="s">
        <v>436</v>
      </c>
      <c r="I110" s="13" t="s">
        <v>437</v>
      </c>
      <c r="J110" s="13">
        <v>12</v>
      </c>
      <c r="K110" s="111" t="s">
        <v>50</v>
      </c>
      <c r="L110" s="104">
        <v>372</v>
      </c>
      <c r="M110" s="127"/>
    </row>
    <row r="111" spans="2:13" ht="22.15" customHeight="1">
      <c r="B111" s="86" t="s">
        <v>7</v>
      </c>
      <c r="C111" s="126" t="s">
        <v>232</v>
      </c>
      <c r="D111" s="126" t="s">
        <v>438</v>
      </c>
      <c r="E111" s="126" t="s">
        <v>45</v>
      </c>
      <c r="F111" s="13" t="s">
        <v>166</v>
      </c>
      <c r="G111" s="14" t="s">
        <v>255</v>
      </c>
      <c r="H111" s="14" t="s">
        <v>439</v>
      </c>
      <c r="I111" s="13" t="s">
        <v>440</v>
      </c>
      <c r="J111" s="13">
        <v>16</v>
      </c>
      <c r="K111" s="111" t="s">
        <v>50</v>
      </c>
      <c r="L111" s="104">
        <v>512</v>
      </c>
      <c r="M111" s="127"/>
    </row>
    <row r="112" spans="2:13" ht="22.15" customHeight="1">
      <c r="B112" s="86" t="s">
        <v>7</v>
      </c>
      <c r="C112" s="126" t="s">
        <v>232</v>
      </c>
      <c r="D112" s="126" t="s">
        <v>438</v>
      </c>
      <c r="E112" s="126" t="s">
        <v>45</v>
      </c>
      <c r="F112" s="13" t="s">
        <v>166</v>
      </c>
      <c r="G112" s="14" t="s">
        <v>255</v>
      </c>
      <c r="H112" s="14" t="s">
        <v>441</v>
      </c>
      <c r="I112" s="13" t="s">
        <v>442</v>
      </c>
      <c r="J112" s="13">
        <v>15</v>
      </c>
      <c r="K112" s="111" t="s">
        <v>50</v>
      </c>
      <c r="L112" s="104">
        <v>420</v>
      </c>
      <c r="M112" s="127"/>
    </row>
    <row r="113" spans="2:13" ht="22.15" customHeight="1">
      <c r="B113" s="86" t="s">
        <v>7</v>
      </c>
      <c r="C113" s="126" t="s">
        <v>232</v>
      </c>
      <c r="D113" s="126" t="s">
        <v>438</v>
      </c>
      <c r="E113" s="126" t="s">
        <v>45</v>
      </c>
      <c r="F113" s="13" t="s">
        <v>166</v>
      </c>
      <c r="G113" s="14" t="s">
        <v>255</v>
      </c>
      <c r="H113" s="14" t="s">
        <v>443</v>
      </c>
      <c r="I113" s="13" t="s">
        <v>444</v>
      </c>
      <c r="J113" s="13">
        <v>4</v>
      </c>
      <c r="K113" s="111" t="s">
        <v>50</v>
      </c>
      <c r="L113" s="104">
        <v>128</v>
      </c>
      <c r="M113" s="127"/>
    </row>
    <row r="114" spans="2:13" ht="22.15" customHeight="1">
      <c r="B114" s="86" t="s">
        <v>7</v>
      </c>
      <c r="C114" s="126" t="s">
        <v>232</v>
      </c>
      <c r="D114" s="126" t="s">
        <v>438</v>
      </c>
      <c r="E114" s="126" t="s">
        <v>45</v>
      </c>
      <c r="F114" s="13" t="s">
        <v>166</v>
      </c>
      <c r="G114" s="14" t="s">
        <v>255</v>
      </c>
      <c r="H114" s="14" t="s">
        <v>445</v>
      </c>
      <c r="I114" s="13" t="s">
        <v>446</v>
      </c>
      <c r="J114" s="13">
        <v>4</v>
      </c>
      <c r="K114" s="111" t="s">
        <v>50</v>
      </c>
      <c r="L114" s="104">
        <v>144</v>
      </c>
      <c r="M114" s="127"/>
    </row>
    <row r="115" spans="2:13" ht="22.15" customHeight="1">
      <c r="B115" s="86" t="s">
        <v>7</v>
      </c>
      <c r="C115" s="126" t="s">
        <v>232</v>
      </c>
      <c r="D115" s="126" t="s">
        <v>447</v>
      </c>
      <c r="E115" s="126" t="s">
        <v>45</v>
      </c>
      <c r="F115" s="13" t="s">
        <v>166</v>
      </c>
      <c r="G115" s="14" t="s">
        <v>255</v>
      </c>
      <c r="H115" s="14" t="s">
        <v>448</v>
      </c>
      <c r="I115" s="13" t="s">
        <v>449</v>
      </c>
      <c r="J115" s="13">
        <v>22</v>
      </c>
      <c r="K115" s="111" t="s">
        <v>50</v>
      </c>
      <c r="L115" s="104">
        <v>638</v>
      </c>
      <c r="M115" s="127"/>
    </row>
    <row r="116" spans="2:13" ht="22.15" customHeight="1">
      <c r="B116" s="86" t="s">
        <v>7</v>
      </c>
      <c r="C116" s="126" t="s">
        <v>232</v>
      </c>
      <c r="D116" s="126" t="s">
        <v>450</v>
      </c>
      <c r="E116" s="126" t="s">
        <v>45</v>
      </c>
      <c r="F116" s="13" t="s">
        <v>166</v>
      </c>
      <c r="G116" s="14" t="s">
        <v>255</v>
      </c>
      <c r="H116" s="14" t="s">
        <v>451</v>
      </c>
      <c r="I116" s="13" t="s">
        <v>452</v>
      </c>
      <c r="J116" s="13">
        <v>1</v>
      </c>
      <c r="K116" s="111" t="s">
        <v>50</v>
      </c>
      <c r="L116" s="104">
        <v>46</v>
      </c>
      <c r="M116" s="127"/>
    </row>
    <row r="117" spans="2:13" ht="22.15" customHeight="1">
      <c r="B117" s="86" t="s">
        <v>7</v>
      </c>
      <c r="C117" s="126" t="s">
        <v>232</v>
      </c>
      <c r="D117" s="126" t="s">
        <v>450</v>
      </c>
      <c r="E117" s="126" t="s">
        <v>45</v>
      </c>
      <c r="F117" s="13" t="s">
        <v>166</v>
      </c>
      <c r="G117" s="14" t="s">
        <v>255</v>
      </c>
      <c r="H117" s="14" t="s">
        <v>398</v>
      </c>
      <c r="I117" s="13" t="s">
        <v>399</v>
      </c>
      <c r="J117" s="13">
        <v>2</v>
      </c>
      <c r="K117" s="111" t="s">
        <v>50</v>
      </c>
      <c r="L117" s="104">
        <v>74</v>
      </c>
      <c r="M117" s="127"/>
    </row>
    <row r="118" spans="2:13" ht="22.15" customHeight="1">
      <c r="B118" s="86" t="s">
        <v>7</v>
      </c>
      <c r="C118" s="126" t="s">
        <v>232</v>
      </c>
      <c r="D118" s="126" t="s">
        <v>450</v>
      </c>
      <c r="E118" s="126" t="s">
        <v>45</v>
      </c>
      <c r="F118" s="13" t="s">
        <v>166</v>
      </c>
      <c r="G118" s="14" t="s">
        <v>255</v>
      </c>
      <c r="H118" s="14" t="s">
        <v>453</v>
      </c>
      <c r="I118" s="13" t="s">
        <v>454</v>
      </c>
      <c r="J118" s="13">
        <v>4</v>
      </c>
      <c r="K118" s="111" t="s">
        <v>50</v>
      </c>
      <c r="L118" s="104">
        <v>144</v>
      </c>
      <c r="M118" s="127"/>
    </row>
    <row r="119" spans="2:13" ht="22.15" customHeight="1">
      <c r="B119" s="86" t="s">
        <v>7</v>
      </c>
      <c r="C119" s="126" t="s">
        <v>232</v>
      </c>
      <c r="D119" s="126" t="s">
        <v>450</v>
      </c>
      <c r="E119" s="126" t="s">
        <v>45</v>
      </c>
      <c r="F119" s="13" t="s">
        <v>166</v>
      </c>
      <c r="G119" s="14" t="s">
        <v>255</v>
      </c>
      <c r="H119" s="14" t="s">
        <v>455</v>
      </c>
      <c r="I119" s="13" t="s">
        <v>456</v>
      </c>
      <c r="J119" s="13">
        <v>8</v>
      </c>
      <c r="K119" s="111" t="s">
        <v>50</v>
      </c>
      <c r="L119" s="104">
        <v>260</v>
      </c>
      <c r="M119" s="127"/>
    </row>
    <row r="120" spans="2:13" ht="22.15" customHeight="1">
      <c r="B120" s="86" t="s">
        <v>7</v>
      </c>
      <c r="C120" s="126" t="s">
        <v>232</v>
      </c>
      <c r="D120" s="126" t="s">
        <v>450</v>
      </c>
      <c r="E120" s="126" t="s">
        <v>45</v>
      </c>
      <c r="F120" s="13" t="s">
        <v>166</v>
      </c>
      <c r="G120" s="14" t="s">
        <v>255</v>
      </c>
      <c r="H120" s="14" t="s">
        <v>457</v>
      </c>
      <c r="I120" s="13" t="s">
        <v>458</v>
      </c>
      <c r="J120" s="13">
        <v>4</v>
      </c>
      <c r="K120" s="111" t="s">
        <v>50</v>
      </c>
      <c r="L120" s="104">
        <v>156</v>
      </c>
      <c r="M120" s="127"/>
    </row>
    <row r="121" spans="2:13" ht="22.15" customHeight="1">
      <c r="B121" s="86" t="s">
        <v>7</v>
      </c>
      <c r="C121" s="126" t="s">
        <v>232</v>
      </c>
      <c r="D121" s="126" t="s">
        <v>450</v>
      </c>
      <c r="E121" s="126" t="s">
        <v>45</v>
      </c>
      <c r="F121" s="13" t="s">
        <v>166</v>
      </c>
      <c r="G121" s="14" t="s">
        <v>255</v>
      </c>
      <c r="H121" s="14" t="s">
        <v>459</v>
      </c>
      <c r="I121" s="13" t="s">
        <v>460</v>
      </c>
      <c r="J121" s="13">
        <v>15</v>
      </c>
      <c r="K121" s="111" t="s">
        <v>50</v>
      </c>
      <c r="L121" s="104">
        <v>555</v>
      </c>
      <c r="M121" s="127"/>
    </row>
    <row r="122" spans="2:13" ht="22.15" customHeight="1">
      <c r="B122" s="86" t="s">
        <v>7</v>
      </c>
      <c r="C122" s="126" t="s">
        <v>461</v>
      </c>
      <c r="D122" s="126" t="s">
        <v>462</v>
      </c>
      <c r="E122" s="126" t="s">
        <v>45</v>
      </c>
      <c r="F122" s="13" t="s">
        <v>166</v>
      </c>
      <c r="G122" s="14" t="s">
        <v>255</v>
      </c>
      <c r="H122" s="14" t="s">
        <v>398</v>
      </c>
      <c r="I122" s="13" t="s">
        <v>399</v>
      </c>
      <c r="J122" s="13">
        <v>22</v>
      </c>
      <c r="K122" s="111" t="s">
        <v>50</v>
      </c>
      <c r="L122" s="104">
        <v>798.6</v>
      </c>
      <c r="M122" s="127"/>
    </row>
    <row r="123" spans="2:13" ht="22.15" customHeight="1">
      <c r="B123" s="86" t="s">
        <v>7</v>
      </c>
      <c r="C123" s="126" t="s">
        <v>461</v>
      </c>
      <c r="D123" s="126" t="s">
        <v>463</v>
      </c>
      <c r="E123" s="126" t="s">
        <v>45</v>
      </c>
      <c r="F123" s="13" t="s">
        <v>166</v>
      </c>
      <c r="G123" s="14" t="s">
        <v>255</v>
      </c>
      <c r="H123" s="14" t="s">
        <v>398</v>
      </c>
      <c r="I123" s="13" t="s">
        <v>399</v>
      </c>
      <c r="J123" s="13">
        <v>20</v>
      </c>
      <c r="K123" s="111" t="s">
        <v>50</v>
      </c>
      <c r="L123" s="104">
        <v>726</v>
      </c>
      <c r="M123" s="127"/>
    </row>
    <row r="124" spans="2:13" ht="22.15" customHeight="1">
      <c r="B124" s="86" t="s">
        <v>7</v>
      </c>
      <c r="C124" s="126" t="s">
        <v>461</v>
      </c>
      <c r="D124" s="126" t="s">
        <v>464</v>
      </c>
      <c r="E124" s="126" t="s">
        <v>45</v>
      </c>
      <c r="F124" s="13" t="s">
        <v>166</v>
      </c>
      <c r="G124" s="14" t="s">
        <v>255</v>
      </c>
      <c r="H124" s="14" t="s">
        <v>419</v>
      </c>
      <c r="I124" s="13" t="s">
        <v>420</v>
      </c>
      <c r="J124" s="13">
        <v>22</v>
      </c>
      <c r="K124" s="111" t="s">
        <v>50</v>
      </c>
      <c r="L124" s="104">
        <v>726</v>
      </c>
      <c r="M124" s="127"/>
    </row>
    <row r="125" spans="2:13" ht="22.15" customHeight="1">
      <c r="B125" s="86" t="s">
        <v>7</v>
      </c>
      <c r="C125" s="126" t="s">
        <v>461</v>
      </c>
      <c r="D125" s="126" t="s">
        <v>465</v>
      </c>
      <c r="E125" s="126" t="s">
        <v>45</v>
      </c>
      <c r="F125" s="13" t="s">
        <v>166</v>
      </c>
      <c r="G125" s="14" t="s">
        <v>255</v>
      </c>
      <c r="H125" s="14" t="s">
        <v>419</v>
      </c>
      <c r="I125" s="13" t="s">
        <v>420</v>
      </c>
      <c r="J125" s="13">
        <v>38</v>
      </c>
      <c r="K125" s="111" t="s">
        <v>50</v>
      </c>
      <c r="L125" s="104">
        <v>1254</v>
      </c>
      <c r="M125" s="127"/>
    </row>
    <row r="126" spans="2:13" ht="22.15" customHeight="1">
      <c r="B126" s="86" t="s">
        <v>7</v>
      </c>
      <c r="C126" s="126" t="s">
        <v>461</v>
      </c>
      <c r="D126" s="126" t="s">
        <v>466</v>
      </c>
      <c r="E126" s="126" t="s">
        <v>45</v>
      </c>
      <c r="F126" s="13" t="s">
        <v>166</v>
      </c>
      <c r="G126" s="14" t="s">
        <v>255</v>
      </c>
      <c r="H126" s="14" t="s">
        <v>419</v>
      </c>
      <c r="I126" s="13" t="s">
        <v>420</v>
      </c>
      <c r="J126" s="13">
        <v>38</v>
      </c>
      <c r="K126" s="111" t="s">
        <v>50</v>
      </c>
      <c r="L126" s="104">
        <v>1254</v>
      </c>
      <c r="M126" s="127"/>
    </row>
    <row r="127" spans="2:13" ht="22.15" customHeight="1">
      <c r="B127" s="86" t="s">
        <v>7</v>
      </c>
      <c r="C127" s="126" t="s">
        <v>461</v>
      </c>
      <c r="D127" s="126" t="s">
        <v>467</v>
      </c>
      <c r="E127" s="126" t="s">
        <v>45</v>
      </c>
      <c r="F127" s="13" t="s">
        <v>166</v>
      </c>
      <c r="G127" s="14" t="s">
        <v>255</v>
      </c>
      <c r="H127" s="14" t="s">
        <v>419</v>
      </c>
      <c r="I127" s="13" t="s">
        <v>420</v>
      </c>
      <c r="J127" s="13">
        <v>33</v>
      </c>
      <c r="K127" s="111" t="s">
        <v>50</v>
      </c>
      <c r="L127" s="104">
        <v>1089</v>
      </c>
      <c r="M127" s="127"/>
    </row>
    <row r="128" spans="2:13" ht="22.15" customHeight="1">
      <c r="B128" s="86" t="s">
        <v>7</v>
      </c>
      <c r="C128" s="126" t="s">
        <v>461</v>
      </c>
      <c r="D128" s="126" t="s">
        <v>468</v>
      </c>
      <c r="E128" s="126" t="s">
        <v>45</v>
      </c>
      <c r="F128" s="13" t="s">
        <v>166</v>
      </c>
      <c r="G128" s="14" t="s">
        <v>255</v>
      </c>
      <c r="H128" s="14" t="s">
        <v>419</v>
      </c>
      <c r="I128" s="13" t="s">
        <v>420</v>
      </c>
      <c r="J128" s="13">
        <v>43</v>
      </c>
      <c r="K128" s="111" t="s">
        <v>50</v>
      </c>
      <c r="L128" s="104">
        <v>1419</v>
      </c>
      <c r="M128" s="127"/>
    </row>
    <row r="129" spans="2:14" ht="22.15" customHeight="1">
      <c r="B129" s="86" t="s">
        <v>7</v>
      </c>
      <c r="C129" s="126" t="s">
        <v>461</v>
      </c>
      <c r="D129" s="126" t="s">
        <v>469</v>
      </c>
      <c r="E129" s="126" t="s">
        <v>45</v>
      </c>
      <c r="F129" s="13" t="s">
        <v>166</v>
      </c>
      <c r="G129" s="14" t="s">
        <v>255</v>
      </c>
      <c r="H129" s="14" t="s">
        <v>419</v>
      </c>
      <c r="I129" s="13" t="s">
        <v>420</v>
      </c>
      <c r="J129" s="13">
        <v>43</v>
      </c>
      <c r="K129" s="111" t="s">
        <v>50</v>
      </c>
      <c r="L129" s="104">
        <v>1419</v>
      </c>
      <c r="M129" s="127"/>
    </row>
    <row r="130" spans="2:14" ht="22.15" customHeight="1">
      <c r="B130" s="86" t="s">
        <v>7</v>
      </c>
      <c r="C130" s="126" t="s">
        <v>461</v>
      </c>
      <c r="D130" s="126" t="s">
        <v>470</v>
      </c>
      <c r="E130" s="126" t="s">
        <v>45</v>
      </c>
      <c r="F130" s="13" t="s">
        <v>166</v>
      </c>
      <c r="G130" s="14" t="s">
        <v>255</v>
      </c>
      <c r="H130" s="14" t="s">
        <v>398</v>
      </c>
      <c r="I130" s="13" t="s">
        <v>420</v>
      </c>
      <c r="J130" s="13">
        <v>42</v>
      </c>
      <c r="K130" s="111" t="s">
        <v>50</v>
      </c>
      <c r="L130" s="104">
        <v>1525</v>
      </c>
      <c r="M130" s="127"/>
    </row>
    <row r="131" spans="2:14" ht="22.15" customHeight="1">
      <c r="B131" s="86" t="s">
        <v>53</v>
      </c>
      <c r="C131" s="126" t="s">
        <v>232</v>
      </c>
      <c r="D131" s="126" t="s">
        <v>471</v>
      </c>
      <c r="E131" s="126" t="s">
        <v>45</v>
      </c>
      <c r="F131" s="13" t="s">
        <v>472</v>
      </c>
      <c r="G131" s="128" t="s">
        <v>300</v>
      </c>
      <c r="H131" s="14" t="s">
        <v>473</v>
      </c>
      <c r="I131" s="13" t="s">
        <v>474</v>
      </c>
      <c r="J131" s="13">
        <v>5</v>
      </c>
      <c r="K131" s="111" t="s">
        <v>50</v>
      </c>
      <c r="L131" s="104">
        <v>12</v>
      </c>
      <c r="M131" s="127"/>
    </row>
    <row r="132" spans="2:14" ht="22.15" customHeight="1">
      <c r="B132" s="86" t="s">
        <v>53</v>
      </c>
      <c r="C132" s="126" t="s">
        <v>232</v>
      </c>
      <c r="D132" s="126" t="s">
        <v>471</v>
      </c>
      <c r="E132" s="126" t="s">
        <v>45</v>
      </c>
      <c r="F132" s="13" t="s">
        <v>472</v>
      </c>
      <c r="G132" s="128" t="s">
        <v>300</v>
      </c>
      <c r="H132" s="14" t="s">
        <v>475</v>
      </c>
      <c r="I132" s="13" t="s">
        <v>474</v>
      </c>
      <c r="J132" s="13">
        <v>2</v>
      </c>
      <c r="K132" s="111" t="s">
        <v>50</v>
      </c>
      <c r="L132" s="104">
        <v>16.899999999999999</v>
      </c>
      <c r="M132" s="127"/>
    </row>
    <row r="133" spans="2:14" ht="22.15" customHeight="1">
      <c r="B133" s="86" t="s">
        <v>53</v>
      </c>
      <c r="C133" s="126" t="s">
        <v>232</v>
      </c>
      <c r="D133" s="126" t="s">
        <v>471</v>
      </c>
      <c r="E133" s="126" t="s">
        <v>45</v>
      </c>
      <c r="F133" s="13" t="s">
        <v>472</v>
      </c>
      <c r="G133" s="128" t="s">
        <v>300</v>
      </c>
      <c r="H133" s="14" t="s">
        <v>476</v>
      </c>
      <c r="I133" s="13" t="s">
        <v>474</v>
      </c>
      <c r="J133" s="13">
        <v>2</v>
      </c>
      <c r="K133" s="111" t="s">
        <v>50</v>
      </c>
      <c r="L133" s="104">
        <v>13.81</v>
      </c>
      <c r="M133" s="127"/>
    </row>
    <row r="134" spans="2:14" ht="22.15" customHeight="1">
      <c r="B134" s="86" t="s">
        <v>53</v>
      </c>
      <c r="C134" s="126" t="s">
        <v>232</v>
      </c>
      <c r="D134" s="126" t="s">
        <v>471</v>
      </c>
      <c r="E134" s="126" t="s">
        <v>45</v>
      </c>
      <c r="F134" s="13" t="s">
        <v>472</v>
      </c>
      <c r="G134" s="128" t="s">
        <v>300</v>
      </c>
      <c r="H134" s="14" t="s">
        <v>477</v>
      </c>
      <c r="I134" s="13" t="s">
        <v>474</v>
      </c>
      <c r="J134" s="13">
        <v>1</v>
      </c>
      <c r="K134" s="111" t="s">
        <v>50</v>
      </c>
      <c r="L134" s="104">
        <v>12.4</v>
      </c>
      <c r="M134" s="127"/>
    </row>
    <row r="135" spans="2:14" ht="22.15" customHeight="1">
      <c r="B135" s="86" t="s">
        <v>59</v>
      </c>
      <c r="C135" s="126" t="s">
        <v>232</v>
      </c>
      <c r="D135" s="126" t="s">
        <v>471</v>
      </c>
      <c r="E135" s="126" t="s">
        <v>45</v>
      </c>
      <c r="F135" s="13" t="s">
        <v>236</v>
      </c>
      <c r="G135" s="128" t="s">
        <v>300</v>
      </c>
      <c r="H135" s="14" t="s">
        <v>301</v>
      </c>
      <c r="I135" s="13" t="s">
        <v>302</v>
      </c>
      <c r="J135" s="13">
        <v>1</v>
      </c>
      <c r="K135" s="111" t="s">
        <v>50</v>
      </c>
      <c r="L135" s="104">
        <v>2.1</v>
      </c>
      <c r="M135" s="136"/>
    </row>
    <row r="136" spans="2:14" ht="22.15" customHeight="1">
      <c r="B136" s="86" t="s">
        <v>59</v>
      </c>
      <c r="C136" s="126" t="s">
        <v>232</v>
      </c>
      <c r="D136" s="126" t="s">
        <v>471</v>
      </c>
      <c r="E136" s="126" t="s">
        <v>45</v>
      </c>
      <c r="F136" s="100" t="s">
        <v>424</v>
      </c>
      <c r="G136" s="100" t="s">
        <v>478</v>
      </c>
      <c r="H136" s="138" t="s">
        <v>80</v>
      </c>
      <c r="I136" s="100" t="s">
        <v>479</v>
      </c>
      <c r="J136" s="100">
        <v>1</v>
      </c>
      <c r="K136" s="124" t="s">
        <v>50</v>
      </c>
      <c r="L136" s="106" t="s">
        <v>424</v>
      </c>
      <c r="M136" s="136"/>
    </row>
    <row r="137" spans="2:14" ht="22.15" customHeight="1">
      <c r="B137" s="86" t="s">
        <v>59</v>
      </c>
      <c r="C137" s="126" t="s">
        <v>232</v>
      </c>
      <c r="D137" s="126" t="s">
        <v>471</v>
      </c>
      <c r="E137" s="126" t="s">
        <v>45</v>
      </c>
      <c r="F137" s="100" t="s">
        <v>424</v>
      </c>
      <c r="G137" s="100" t="s">
        <v>208</v>
      </c>
      <c r="H137" s="138" t="s">
        <v>80</v>
      </c>
      <c r="I137" s="100" t="s">
        <v>480</v>
      </c>
      <c r="J137" s="100">
        <v>1</v>
      </c>
      <c r="K137" s="124" t="s">
        <v>50</v>
      </c>
      <c r="L137" s="106" t="s">
        <v>424</v>
      </c>
      <c r="M137" s="136"/>
    </row>
    <row r="138" spans="2:14" ht="22.15" customHeight="1">
      <c r="B138" s="86" t="s">
        <v>59</v>
      </c>
      <c r="C138" s="126" t="s">
        <v>232</v>
      </c>
      <c r="D138" s="126" t="s">
        <v>471</v>
      </c>
      <c r="E138" s="126" t="s">
        <v>45</v>
      </c>
      <c r="F138" s="100" t="s">
        <v>424</v>
      </c>
      <c r="G138" s="129" t="s">
        <v>200</v>
      </c>
      <c r="H138" s="138" t="s">
        <v>80</v>
      </c>
      <c r="I138" s="100" t="s">
        <v>481</v>
      </c>
      <c r="J138" s="100">
        <v>1</v>
      </c>
      <c r="K138" s="124" t="s">
        <v>50</v>
      </c>
      <c r="L138" s="106" t="s">
        <v>424</v>
      </c>
      <c r="M138" s="302" t="s">
        <v>482</v>
      </c>
    </row>
    <row r="139" spans="2:14" ht="22.15" customHeight="1">
      <c r="B139" s="86" t="s">
        <v>59</v>
      </c>
      <c r="C139" s="126" t="s">
        <v>232</v>
      </c>
      <c r="D139" s="126" t="s">
        <v>471</v>
      </c>
      <c r="E139" s="126" t="s">
        <v>45</v>
      </c>
      <c r="F139" s="100" t="s">
        <v>424</v>
      </c>
      <c r="G139" s="125" t="s">
        <v>178</v>
      </c>
      <c r="H139" s="138" t="s">
        <v>80</v>
      </c>
      <c r="I139" s="100" t="s">
        <v>483</v>
      </c>
      <c r="J139" s="100">
        <v>1</v>
      </c>
      <c r="K139" s="124" t="s">
        <v>50</v>
      </c>
      <c r="L139" s="106" t="s">
        <v>424</v>
      </c>
      <c r="M139" s="302" t="s">
        <v>484</v>
      </c>
    </row>
    <row r="140" spans="2:14" ht="22.15" customHeight="1">
      <c r="B140" s="86" t="s">
        <v>59</v>
      </c>
      <c r="C140" s="126" t="s">
        <v>232</v>
      </c>
      <c r="D140" s="126" t="s">
        <v>471</v>
      </c>
      <c r="E140" s="126" t="s">
        <v>45</v>
      </c>
      <c r="F140" s="100" t="s">
        <v>424</v>
      </c>
      <c r="G140" s="125" t="s">
        <v>178</v>
      </c>
      <c r="H140" s="138" t="s">
        <v>80</v>
      </c>
      <c r="I140" s="100" t="s">
        <v>485</v>
      </c>
      <c r="J140" s="100">
        <v>1</v>
      </c>
      <c r="K140" s="124" t="s">
        <v>50</v>
      </c>
      <c r="L140" s="106" t="s">
        <v>424</v>
      </c>
      <c r="M140" s="302" t="s">
        <v>486</v>
      </c>
    </row>
    <row r="141" spans="2:14" ht="22.15" customHeight="1">
      <c r="B141" s="371" t="s">
        <v>59</v>
      </c>
      <c r="C141" s="368" t="s">
        <v>232</v>
      </c>
      <c r="D141" s="368" t="s">
        <v>471</v>
      </c>
      <c r="E141" s="368" t="s">
        <v>90</v>
      </c>
      <c r="F141" s="375" t="s">
        <v>1930</v>
      </c>
      <c r="G141" s="373"/>
      <c r="H141" s="376" t="s">
        <v>1932</v>
      </c>
      <c r="I141" s="377" t="s">
        <v>1933</v>
      </c>
      <c r="J141" s="372">
        <v>1</v>
      </c>
      <c r="K141" s="378" t="s">
        <v>1934</v>
      </c>
      <c r="L141" s="379" t="s">
        <v>1931</v>
      </c>
      <c r="M141" s="374"/>
      <c r="N141" s="403">
        <v>45154</v>
      </c>
    </row>
    <row r="142" spans="2:14" ht="22.15" customHeight="1">
      <c r="B142" s="86" t="s">
        <v>53</v>
      </c>
      <c r="C142" s="126" t="s">
        <v>461</v>
      </c>
      <c r="D142" s="126" t="s">
        <v>487</v>
      </c>
      <c r="E142" s="126" t="s">
        <v>45</v>
      </c>
      <c r="F142" s="13" t="s">
        <v>488</v>
      </c>
      <c r="G142" s="13" t="s">
        <v>131</v>
      </c>
      <c r="H142" s="14" t="s">
        <v>489</v>
      </c>
      <c r="I142" s="13" t="s">
        <v>490</v>
      </c>
      <c r="J142" s="13">
        <v>7</v>
      </c>
      <c r="K142" s="111" t="s">
        <v>50</v>
      </c>
      <c r="L142" s="104">
        <v>2.48</v>
      </c>
      <c r="M142" s="127"/>
    </row>
    <row r="143" spans="2:14" ht="22.15" customHeight="1">
      <c r="B143" s="86" t="s">
        <v>53</v>
      </c>
      <c r="C143" s="126" t="s">
        <v>461</v>
      </c>
      <c r="D143" s="126" t="s">
        <v>487</v>
      </c>
      <c r="E143" s="126" t="s">
        <v>45</v>
      </c>
      <c r="F143" s="13" t="s">
        <v>488</v>
      </c>
      <c r="G143" s="13" t="s">
        <v>131</v>
      </c>
      <c r="H143" s="14" t="s">
        <v>491</v>
      </c>
      <c r="I143" s="13" t="s">
        <v>490</v>
      </c>
      <c r="J143" s="13">
        <v>4</v>
      </c>
      <c r="K143" s="111" t="s">
        <v>50</v>
      </c>
      <c r="L143" s="104">
        <v>3.65</v>
      </c>
      <c r="M143" s="127"/>
    </row>
    <row r="144" spans="2:14" ht="22.15" customHeight="1">
      <c r="B144" s="86" t="s">
        <v>53</v>
      </c>
      <c r="C144" s="126" t="s">
        <v>461</v>
      </c>
      <c r="D144" s="126" t="s">
        <v>487</v>
      </c>
      <c r="E144" s="126" t="s">
        <v>45</v>
      </c>
      <c r="F144" s="13" t="s">
        <v>488</v>
      </c>
      <c r="G144" s="13" t="s">
        <v>131</v>
      </c>
      <c r="H144" s="14" t="s">
        <v>492</v>
      </c>
      <c r="I144" s="13" t="s">
        <v>490</v>
      </c>
      <c r="J144" s="13">
        <v>3</v>
      </c>
      <c r="K144" s="111" t="s">
        <v>50</v>
      </c>
      <c r="L144" s="104">
        <v>9.51</v>
      </c>
      <c r="M144" s="127"/>
    </row>
    <row r="145" spans="2:13" ht="22.15" customHeight="1">
      <c r="B145" s="86" t="s">
        <v>53</v>
      </c>
      <c r="C145" s="126" t="s">
        <v>461</v>
      </c>
      <c r="D145" s="126" t="s">
        <v>487</v>
      </c>
      <c r="E145" s="126" t="s">
        <v>45</v>
      </c>
      <c r="F145" s="135" t="s">
        <v>80</v>
      </c>
      <c r="G145" s="100" t="s">
        <v>131</v>
      </c>
      <c r="H145" s="134" t="s">
        <v>493</v>
      </c>
      <c r="I145" s="123" t="s">
        <v>80</v>
      </c>
      <c r="J145" s="100">
        <v>2</v>
      </c>
      <c r="K145" s="111" t="s">
        <v>50</v>
      </c>
      <c r="L145" s="106">
        <v>4.2</v>
      </c>
      <c r="M145" s="127"/>
    </row>
    <row r="146" spans="2:13" ht="22.15" customHeight="1">
      <c r="B146" s="86" t="s">
        <v>53</v>
      </c>
      <c r="C146" s="126" t="s">
        <v>461</v>
      </c>
      <c r="D146" s="126" t="s">
        <v>487</v>
      </c>
      <c r="E146" s="126" t="s">
        <v>45</v>
      </c>
      <c r="F146" s="135" t="s">
        <v>80</v>
      </c>
      <c r="G146" s="100" t="s">
        <v>131</v>
      </c>
      <c r="H146" s="134" t="s">
        <v>494</v>
      </c>
      <c r="I146" s="123" t="s">
        <v>80</v>
      </c>
      <c r="J146" s="100">
        <v>4</v>
      </c>
      <c r="K146" s="111" t="s">
        <v>50</v>
      </c>
      <c r="L146" s="106">
        <v>33.6</v>
      </c>
      <c r="M146" s="127"/>
    </row>
    <row r="147" spans="2:13" ht="22.15" customHeight="1">
      <c r="B147" s="86" t="s">
        <v>53</v>
      </c>
      <c r="C147" s="126" t="s">
        <v>461</v>
      </c>
      <c r="D147" s="126" t="s">
        <v>487</v>
      </c>
      <c r="E147" s="126" t="s">
        <v>45</v>
      </c>
      <c r="F147" s="13" t="s">
        <v>296</v>
      </c>
      <c r="G147" s="13" t="s">
        <v>131</v>
      </c>
      <c r="H147" s="14" t="s">
        <v>495</v>
      </c>
      <c r="I147" s="13" t="s">
        <v>496</v>
      </c>
      <c r="J147" s="13">
        <v>4</v>
      </c>
      <c r="K147" s="111" t="s">
        <v>50</v>
      </c>
      <c r="L147" s="104">
        <v>6.31</v>
      </c>
      <c r="M147" s="127"/>
    </row>
    <row r="148" spans="2:13" ht="22.15" customHeight="1">
      <c r="B148" s="86" t="s">
        <v>53</v>
      </c>
      <c r="C148" s="126" t="s">
        <v>461</v>
      </c>
      <c r="D148" s="126" t="s">
        <v>487</v>
      </c>
      <c r="E148" s="126" t="s">
        <v>45</v>
      </c>
      <c r="F148" s="135" t="s">
        <v>80</v>
      </c>
      <c r="G148" s="100" t="s">
        <v>131</v>
      </c>
      <c r="H148" s="134" t="s">
        <v>497</v>
      </c>
      <c r="I148" s="123" t="s">
        <v>80</v>
      </c>
      <c r="J148" s="100">
        <v>149</v>
      </c>
      <c r="K148" s="111" t="s">
        <v>50</v>
      </c>
      <c r="L148" s="135" t="s">
        <v>80</v>
      </c>
      <c r="M148" s="127"/>
    </row>
    <row r="149" spans="2:13" ht="22.15" customHeight="1">
      <c r="B149" s="86" t="s">
        <v>53</v>
      </c>
      <c r="C149" s="126" t="s">
        <v>461</v>
      </c>
      <c r="D149" s="126" t="s">
        <v>487</v>
      </c>
      <c r="E149" s="126" t="s">
        <v>45</v>
      </c>
      <c r="F149" s="13" t="s">
        <v>488</v>
      </c>
      <c r="G149" s="13" t="s">
        <v>131</v>
      </c>
      <c r="H149" s="14" t="s">
        <v>498</v>
      </c>
      <c r="I149" s="13" t="s">
        <v>499</v>
      </c>
      <c r="J149" s="13">
        <v>16</v>
      </c>
      <c r="K149" s="111" t="s">
        <v>50</v>
      </c>
      <c r="L149" s="104">
        <v>1.1100000000000001</v>
      </c>
      <c r="M149" s="127"/>
    </row>
    <row r="150" spans="2:13" ht="22.15" customHeight="1">
      <c r="B150" s="86" t="s">
        <v>7</v>
      </c>
      <c r="C150" s="126" t="s">
        <v>461</v>
      </c>
      <c r="D150" s="126" t="s">
        <v>487</v>
      </c>
      <c r="E150" s="126" t="s">
        <v>45</v>
      </c>
      <c r="F150" s="128" t="s">
        <v>500</v>
      </c>
      <c r="G150" s="128" t="s">
        <v>242</v>
      </c>
      <c r="H150" s="14" t="s">
        <v>501</v>
      </c>
      <c r="I150" s="13" t="s">
        <v>502</v>
      </c>
      <c r="J150" s="13">
        <v>1</v>
      </c>
      <c r="K150" s="111" t="s">
        <v>50</v>
      </c>
      <c r="L150" s="104">
        <v>18.21</v>
      </c>
      <c r="M150" s="127"/>
    </row>
    <row r="151" spans="2:13" ht="22.15" customHeight="1">
      <c r="B151" s="86" t="s">
        <v>53</v>
      </c>
      <c r="C151" s="126" t="s">
        <v>461</v>
      </c>
      <c r="D151" s="126" t="s">
        <v>503</v>
      </c>
      <c r="E151" s="126" t="s">
        <v>45</v>
      </c>
      <c r="F151" s="133" t="s">
        <v>162</v>
      </c>
      <c r="G151" s="131" t="s">
        <v>131</v>
      </c>
      <c r="H151" s="132" t="s">
        <v>504</v>
      </c>
      <c r="I151" s="131" t="s">
        <v>505</v>
      </c>
      <c r="J151" s="131">
        <v>92</v>
      </c>
      <c r="K151" s="111" t="s">
        <v>50</v>
      </c>
      <c r="L151" s="135" t="s">
        <v>80</v>
      </c>
      <c r="M151" s="127"/>
    </row>
    <row r="152" spans="2:13" ht="22.15" customHeight="1">
      <c r="B152" s="86" t="s">
        <v>53</v>
      </c>
      <c r="C152" s="126" t="s">
        <v>461</v>
      </c>
      <c r="D152" s="126" t="s">
        <v>503</v>
      </c>
      <c r="E152" s="126" t="s">
        <v>45</v>
      </c>
      <c r="F152" s="133" t="s">
        <v>162</v>
      </c>
      <c r="G152" s="131" t="s">
        <v>131</v>
      </c>
      <c r="H152" s="132" t="s">
        <v>506</v>
      </c>
      <c r="I152" s="131" t="s">
        <v>507</v>
      </c>
      <c r="J152" s="131">
        <v>11</v>
      </c>
      <c r="K152" s="111" t="s">
        <v>50</v>
      </c>
      <c r="L152" s="104">
        <v>5.6</v>
      </c>
      <c r="M152" s="127"/>
    </row>
    <row r="153" spans="2:13" ht="22.15" customHeight="1">
      <c r="B153" s="86" t="s">
        <v>53</v>
      </c>
      <c r="C153" s="126" t="s">
        <v>461</v>
      </c>
      <c r="D153" s="126" t="s">
        <v>503</v>
      </c>
      <c r="E153" s="126" t="s">
        <v>45</v>
      </c>
      <c r="F153" s="133" t="s">
        <v>162</v>
      </c>
      <c r="G153" s="131" t="s">
        <v>131</v>
      </c>
      <c r="H153" s="132" t="s">
        <v>508</v>
      </c>
      <c r="I153" s="131" t="s">
        <v>509</v>
      </c>
      <c r="J153" s="131">
        <v>1</v>
      </c>
      <c r="K153" s="111" t="s">
        <v>50</v>
      </c>
      <c r="L153" s="135" t="s">
        <v>80</v>
      </c>
      <c r="M153" s="127"/>
    </row>
    <row r="154" spans="2:13" ht="22.15" customHeight="1">
      <c r="B154" s="86" t="s">
        <v>53</v>
      </c>
      <c r="C154" s="126" t="s">
        <v>461</v>
      </c>
      <c r="D154" s="126" t="s">
        <v>503</v>
      </c>
      <c r="E154" s="126" t="s">
        <v>45</v>
      </c>
      <c r="F154" s="133" t="s">
        <v>162</v>
      </c>
      <c r="G154" s="131" t="s">
        <v>131</v>
      </c>
      <c r="H154" s="132" t="s">
        <v>510</v>
      </c>
      <c r="I154" s="131" t="s">
        <v>511</v>
      </c>
      <c r="J154" s="131">
        <v>12</v>
      </c>
      <c r="K154" s="111" t="s">
        <v>50</v>
      </c>
      <c r="L154" s="135" t="s">
        <v>80</v>
      </c>
      <c r="M154" s="127"/>
    </row>
    <row r="155" spans="2:13" ht="22.15" customHeight="1">
      <c r="B155" s="86" t="s">
        <v>53</v>
      </c>
      <c r="C155" s="126" t="s">
        <v>461</v>
      </c>
      <c r="D155" s="126" t="s">
        <v>503</v>
      </c>
      <c r="E155" s="126" t="s">
        <v>45</v>
      </c>
      <c r="F155" s="133" t="s">
        <v>162</v>
      </c>
      <c r="G155" s="131" t="s">
        <v>131</v>
      </c>
      <c r="H155" s="132" t="s">
        <v>512</v>
      </c>
      <c r="I155" s="131" t="s">
        <v>513</v>
      </c>
      <c r="J155" s="131">
        <v>3</v>
      </c>
      <c r="K155" s="111" t="s">
        <v>50</v>
      </c>
      <c r="L155" s="135" t="s">
        <v>80</v>
      </c>
      <c r="M155" s="127"/>
    </row>
    <row r="156" spans="2:13" ht="22.15" customHeight="1">
      <c r="B156" s="86" t="s">
        <v>53</v>
      </c>
      <c r="C156" s="126" t="s">
        <v>461</v>
      </c>
      <c r="D156" s="126" t="s">
        <v>503</v>
      </c>
      <c r="E156" s="126" t="s">
        <v>45</v>
      </c>
      <c r="F156" s="133" t="s">
        <v>162</v>
      </c>
      <c r="G156" s="131" t="s">
        <v>131</v>
      </c>
      <c r="H156" s="132" t="s">
        <v>514</v>
      </c>
      <c r="I156" s="131" t="s">
        <v>515</v>
      </c>
      <c r="J156" s="131">
        <v>3</v>
      </c>
      <c r="K156" s="111" t="s">
        <v>50</v>
      </c>
      <c r="L156" s="104">
        <v>10.14</v>
      </c>
      <c r="M156" s="127"/>
    </row>
    <row r="157" spans="2:13" ht="22.15" customHeight="1">
      <c r="B157" s="86" t="s">
        <v>53</v>
      </c>
      <c r="C157" s="126" t="s">
        <v>461</v>
      </c>
      <c r="D157" s="126" t="s">
        <v>503</v>
      </c>
      <c r="E157" s="126" t="s">
        <v>45</v>
      </c>
      <c r="F157" s="133" t="s">
        <v>162</v>
      </c>
      <c r="G157" s="131" t="s">
        <v>131</v>
      </c>
      <c r="H157" s="132" t="s">
        <v>516</v>
      </c>
      <c r="I157" s="131" t="s">
        <v>517</v>
      </c>
      <c r="J157" s="131">
        <v>4</v>
      </c>
      <c r="K157" s="111" t="s">
        <v>50</v>
      </c>
      <c r="L157" s="135" t="s">
        <v>80</v>
      </c>
      <c r="M157" s="127"/>
    </row>
    <row r="158" spans="2:13" ht="22.15" customHeight="1">
      <c r="B158" s="86" t="s">
        <v>53</v>
      </c>
      <c r="C158" s="126" t="s">
        <v>461</v>
      </c>
      <c r="D158" s="126" t="s">
        <v>503</v>
      </c>
      <c r="E158" s="126" t="s">
        <v>45</v>
      </c>
      <c r="F158" s="133" t="s">
        <v>162</v>
      </c>
      <c r="G158" s="131" t="s">
        <v>131</v>
      </c>
      <c r="H158" s="132" t="s">
        <v>518</v>
      </c>
      <c r="I158" s="131" t="s">
        <v>519</v>
      </c>
      <c r="J158" s="131">
        <v>2</v>
      </c>
      <c r="K158" s="111" t="s">
        <v>50</v>
      </c>
      <c r="L158" s="135" t="s">
        <v>80</v>
      </c>
      <c r="M158" s="127"/>
    </row>
    <row r="159" spans="2:13" ht="22.15" customHeight="1">
      <c r="B159" s="86" t="s">
        <v>53</v>
      </c>
      <c r="C159" s="126" t="s">
        <v>461</v>
      </c>
      <c r="D159" s="126" t="s">
        <v>503</v>
      </c>
      <c r="E159" s="126" t="s">
        <v>45</v>
      </c>
      <c r="F159" s="133" t="s">
        <v>162</v>
      </c>
      <c r="G159" s="131" t="s">
        <v>131</v>
      </c>
      <c r="H159" s="132" t="s">
        <v>520</v>
      </c>
      <c r="I159" s="131" t="s">
        <v>521</v>
      </c>
      <c r="J159" s="131">
        <v>2</v>
      </c>
      <c r="K159" s="111" t="s">
        <v>50</v>
      </c>
      <c r="L159" s="135" t="s">
        <v>80</v>
      </c>
      <c r="M159" s="127"/>
    </row>
    <row r="160" spans="2:13" ht="22.15" customHeight="1">
      <c r="B160" s="86" t="s">
        <v>53</v>
      </c>
      <c r="C160" s="126" t="s">
        <v>461</v>
      </c>
      <c r="D160" s="126" t="s">
        <v>503</v>
      </c>
      <c r="E160" s="126" t="s">
        <v>45</v>
      </c>
      <c r="F160" s="133" t="s">
        <v>162</v>
      </c>
      <c r="G160" s="131" t="s">
        <v>131</v>
      </c>
      <c r="H160" s="132" t="s">
        <v>522</v>
      </c>
      <c r="I160" s="131" t="s">
        <v>523</v>
      </c>
      <c r="J160" s="131">
        <v>84</v>
      </c>
      <c r="K160" s="111" t="s">
        <v>50</v>
      </c>
      <c r="L160" s="135" t="s">
        <v>80</v>
      </c>
      <c r="M160" s="127"/>
    </row>
    <row r="161" spans="2:13" ht="22.15" customHeight="1">
      <c r="B161" s="86" t="s">
        <v>7</v>
      </c>
      <c r="C161" s="126" t="s">
        <v>461</v>
      </c>
      <c r="D161" s="126" t="s">
        <v>503</v>
      </c>
      <c r="E161" s="126" t="s">
        <v>45</v>
      </c>
      <c r="F161" s="128" t="s">
        <v>500</v>
      </c>
      <c r="G161" s="128" t="s">
        <v>242</v>
      </c>
      <c r="H161" s="14" t="s">
        <v>524</v>
      </c>
      <c r="I161" s="13" t="s">
        <v>525</v>
      </c>
      <c r="J161" s="13">
        <v>1</v>
      </c>
      <c r="K161" s="111" t="s">
        <v>50</v>
      </c>
      <c r="L161" s="104">
        <v>24.9</v>
      </c>
      <c r="M161" s="127"/>
    </row>
    <row r="162" spans="2:13" ht="22.15" customHeight="1">
      <c r="B162" s="86" t="s">
        <v>526</v>
      </c>
      <c r="C162" s="126" t="s">
        <v>461</v>
      </c>
      <c r="D162" s="126" t="s">
        <v>503</v>
      </c>
      <c r="E162" s="126" t="s">
        <v>45</v>
      </c>
      <c r="F162" s="128" t="s">
        <v>500</v>
      </c>
      <c r="G162" s="128" t="s">
        <v>242</v>
      </c>
      <c r="H162" s="14" t="s">
        <v>527</v>
      </c>
      <c r="I162" s="13" t="s">
        <v>528</v>
      </c>
      <c r="J162" s="13">
        <v>3</v>
      </c>
      <c r="K162" s="111" t="s">
        <v>50</v>
      </c>
      <c r="L162" s="104">
        <v>16.5</v>
      </c>
      <c r="M162" s="127"/>
    </row>
    <row r="163" spans="2:13" ht="22.15" customHeight="1">
      <c r="B163" s="86" t="s">
        <v>53</v>
      </c>
      <c r="C163" s="126" t="s">
        <v>461</v>
      </c>
      <c r="D163" s="126" t="s">
        <v>529</v>
      </c>
      <c r="E163" s="126" t="s">
        <v>45</v>
      </c>
      <c r="F163" s="133" t="s">
        <v>162</v>
      </c>
      <c r="G163" s="131" t="s">
        <v>297</v>
      </c>
      <c r="H163" s="132" t="s">
        <v>530</v>
      </c>
      <c r="I163" s="131" t="s">
        <v>531</v>
      </c>
      <c r="J163" s="131">
        <v>21</v>
      </c>
      <c r="K163" s="111" t="s">
        <v>50</v>
      </c>
      <c r="L163" s="130">
        <v>3.9</v>
      </c>
      <c r="M163" s="127"/>
    </row>
    <row r="164" spans="2:13" ht="22.15" customHeight="1">
      <c r="B164" s="86" t="s">
        <v>53</v>
      </c>
      <c r="C164" s="126" t="s">
        <v>461</v>
      </c>
      <c r="D164" s="126" t="s">
        <v>529</v>
      </c>
      <c r="E164" s="126" t="s">
        <v>45</v>
      </c>
      <c r="F164" s="133" t="s">
        <v>162</v>
      </c>
      <c r="G164" s="131" t="s">
        <v>297</v>
      </c>
      <c r="H164" s="132" t="s">
        <v>532</v>
      </c>
      <c r="I164" s="131" t="s">
        <v>533</v>
      </c>
      <c r="J164" s="131">
        <v>21</v>
      </c>
      <c r="K164" s="111" t="s">
        <v>50</v>
      </c>
      <c r="L164" s="130">
        <v>3.5</v>
      </c>
      <c r="M164" s="127"/>
    </row>
    <row r="165" spans="2:13" ht="22.15" customHeight="1">
      <c r="B165" s="86" t="s">
        <v>7</v>
      </c>
      <c r="C165" s="126" t="s">
        <v>461</v>
      </c>
      <c r="D165" s="126" t="s">
        <v>529</v>
      </c>
      <c r="E165" s="126" t="s">
        <v>45</v>
      </c>
      <c r="F165" s="123" t="s">
        <v>80</v>
      </c>
      <c r="G165" s="129" t="s">
        <v>194</v>
      </c>
      <c r="H165" s="138" t="s">
        <v>80</v>
      </c>
      <c r="I165" s="100" t="s">
        <v>534</v>
      </c>
      <c r="J165" s="100">
        <v>1</v>
      </c>
      <c r="K165" s="124" t="s">
        <v>50</v>
      </c>
      <c r="L165" s="135" t="s">
        <v>80</v>
      </c>
      <c r="M165" s="136" t="s">
        <v>535</v>
      </c>
    </row>
    <row r="166" spans="2:13" ht="22.15" customHeight="1">
      <c r="B166" s="86" t="s">
        <v>7</v>
      </c>
      <c r="C166" s="126" t="s">
        <v>461</v>
      </c>
      <c r="D166" s="126" t="s">
        <v>529</v>
      </c>
      <c r="E166" s="126" t="s">
        <v>45</v>
      </c>
      <c r="F166" s="123" t="s">
        <v>80</v>
      </c>
      <c r="G166" s="129" t="s">
        <v>242</v>
      </c>
      <c r="H166" s="138" t="s">
        <v>80</v>
      </c>
      <c r="I166" s="100" t="s">
        <v>536</v>
      </c>
      <c r="J166" s="100">
        <v>9</v>
      </c>
      <c r="K166" s="124" t="s">
        <v>50</v>
      </c>
      <c r="L166" s="135" t="s">
        <v>80</v>
      </c>
      <c r="M166" s="136"/>
    </row>
    <row r="167" spans="2:13" ht="22.15" customHeight="1">
      <c r="B167" s="86" t="s">
        <v>53</v>
      </c>
      <c r="C167" s="126" t="s">
        <v>461</v>
      </c>
      <c r="D167" s="126" t="s">
        <v>529</v>
      </c>
      <c r="E167" s="126" t="s">
        <v>45</v>
      </c>
      <c r="F167" s="123" t="s">
        <v>80</v>
      </c>
      <c r="G167" s="125" t="s">
        <v>178</v>
      </c>
      <c r="H167" s="138" t="s">
        <v>80</v>
      </c>
      <c r="I167" s="100" t="s">
        <v>537</v>
      </c>
      <c r="J167" s="100">
        <v>5</v>
      </c>
      <c r="K167" s="124" t="s">
        <v>50</v>
      </c>
      <c r="L167" s="135" t="s">
        <v>80</v>
      </c>
      <c r="M167" s="122" t="s">
        <v>538</v>
      </c>
    </row>
    <row r="168" spans="2:13" ht="22.15" customHeight="1">
      <c r="B168" s="86" t="s">
        <v>53</v>
      </c>
      <c r="C168" s="126" t="s">
        <v>461</v>
      </c>
      <c r="D168" s="126" t="s">
        <v>529</v>
      </c>
      <c r="E168" s="126" t="s">
        <v>45</v>
      </c>
      <c r="F168" s="123" t="s">
        <v>80</v>
      </c>
      <c r="G168" s="125" t="s">
        <v>178</v>
      </c>
      <c r="H168" s="138" t="s">
        <v>80</v>
      </c>
      <c r="I168" s="100" t="s">
        <v>539</v>
      </c>
      <c r="J168" s="100">
        <v>3</v>
      </c>
      <c r="K168" s="124" t="s">
        <v>50</v>
      </c>
      <c r="L168" s="135" t="s">
        <v>80</v>
      </c>
      <c r="M168" s="122" t="s">
        <v>540</v>
      </c>
    </row>
    <row r="169" spans="2:13" ht="22.15" customHeight="1">
      <c r="B169" s="86" t="s">
        <v>53</v>
      </c>
      <c r="C169" s="126" t="s">
        <v>461</v>
      </c>
      <c r="D169" s="126" t="s">
        <v>529</v>
      </c>
      <c r="E169" s="126" t="s">
        <v>45</v>
      </c>
      <c r="F169" s="123" t="s">
        <v>80</v>
      </c>
      <c r="G169" s="125" t="s">
        <v>178</v>
      </c>
      <c r="H169" s="138" t="s">
        <v>80</v>
      </c>
      <c r="I169" s="100" t="s">
        <v>541</v>
      </c>
      <c r="J169" s="100">
        <v>1</v>
      </c>
      <c r="K169" s="124" t="s">
        <v>50</v>
      </c>
      <c r="L169" s="135" t="s">
        <v>80</v>
      </c>
      <c r="M169" s="122" t="s">
        <v>542</v>
      </c>
    </row>
    <row r="170" spans="2:13" ht="22.15" customHeight="1">
      <c r="B170" s="86" t="s">
        <v>53</v>
      </c>
      <c r="C170" s="126" t="s">
        <v>461</v>
      </c>
      <c r="D170" s="126" t="s">
        <v>529</v>
      </c>
      <c r="E170" s="126" t="s">
        <v>81</v>
      </c>
      <c r="F170" s="123" t="s">
        <v>80</v>
      </c>
      <c r="G170" s="125" t="s">
        <v>178</v>
      </c>
      <c r="H170" s="138" t="s">
        <v>80</v>
      </c>
      <c r="I170" s="100" t="s">
        <v>543</v>
      </c>
      <c r="J170" s="100">
        <v>1</v>
      </c>
      <c r="K170" s="124" t="s">
        <v>50</v>
      </c>
      <c r="L170" s="135" t="s">
        <v>80</v>
      </c>
      <c r="M170" s="122" t="s">
        <v>544</v>
      </c>
    </row>
    <row r="171" spans="2:13" ht="22.15" customHeight="1">
      <c r="B171" s="86" t="s">
        <v>53</v>
      </c>
      <c r="C171" s="126" t="s">
        <v>461</v>
      </c>
      <c r="D171" s="126" t="s">
        <v>529</v>
      </c>
      <c r="E171" s="126" t="s">
        <v>45</v>
      </c>
      <c r="F171" s="123" t="s">
        <v>80</v>
      </c>
      <c r="G171" s="125" t="s">
        <v>178</v>
      </c>
      <c r="H171" s="138" t="s">
        <v>80</v>
      </c>
      <c r="I171" s="100" t="s">
        <v>545</v>
      </c>
      <c r="J171" s="100">
        <v>1</v>
      </c>
      <c r="K171" s="124" t="s">
        <v>50</v>
      </c>
      <c r="L171" s="135" t="s">
        <v>80</v>
      </c>
      <c r="M171" s="122" t="s">
        <v>546</v>
      </c>
    </row>
    <row r="172" spans="2:13" ht="22.15" customHeight="1">
      <c r="B172" s="86" t="s">
        <v>53</v>
      </c>
      <c r="C172" s="126" t="s">
        <v>461</v>
      </c>
      <c r="D172" s="126" t="s">
        <v>529</v>
      </c>
      <c r="E172" s="126" t="s">
        <v>45</v>
      </c>
      <c r="F172" s="123" t="s">
        <v>80</v>
      </c>
      <c r="G172" s="125" t="s">
        <v>178</v>
      </c>
      <c r="H172" s="197" t="s">
        <v>80</v>
      </c>
      <c r="I172" s="100" t="s">
        <v>547</v>
      </c>
      <c r="J172" s="100">
        <v>1</v>
      </c>
      <c r="K172" s="124" t="s">
        <v>50</v>
      </c>
      <c r="L172" s="135" t="s">
        <v>80</v>
      </c>
      <c r="M172" s="122" t="s">
        <v>548</v>
      </c>
    </row>
    <row r="173" spans="2:13" ht="22.15" customHeight="1">
      <c r="B173" s="86" t="s">
        <v>59</v>
      </c>
      <c r="C173" s="126" t="s">
        <v>549</v>
      </c>
      <c r="D173" s="126" t="s">
        <v>550</v>
      </c>
      <c r="E173" s="126" t="s">
        <v>45</v>
      </c>
      <c r="F173" s="98" t="s">
        <v>551</v>
      </c>
      <c r="G173" s="129" t="s">
        <v>242</v>
      </c>
      <c r="H173" s="138" t="s">
        <v>80</v>
      </c>
      <c r="I173" s="100" t="s">
        <v>552</v>
      </c>
      <c r="J173" s="100">
        <v>4</v>
      </c>
      <c r="K173" s="124" t="s">
        <v>50</v>
      </c>
      <c r="L173" s="106" t="s">
        <v>424</v>
      </c>
      <c r="M173" s="136" t="s">
        <v>553</v>
      </c>
    </row>
    <row r="174" spans="2:13" ht="22.15" customHeight="1">
      <c r="B174" s="86" t="s">
        <v>59</v>
      </c>
      <c r="C174" s="126" t="s">
        <v>549</v>
      </c>
      <c r="D174" s="126" t="s">
        <v>550</v>
      </c>
      <c r="E174" s="126" t="s">
        <v>45</v>
      </c>
      <c r="F174" s="98" t="s">
        <v>551</v>
      </c>
      <c r="G174" s="98" t="s">
        <v>167</v>
      </c>
      <c r="H174" s="138" t="s">
        <v>80</v>
      </c>
      <c r="I174" s="123" t="s">
        <v>80</v>
      </c>
      <c r="J174" s="100">
        <v>9</v>
      </c>
      <c r="K174" s="124" t="s">
        <v>50</v>
      </c>
      <c r="L174" s="106" t="s">
        <v>424</v>
      </c>
      <c r="M174" s="136" t="s">
        <v>553</v>
      </c>
    </row>
    <row r="175" spans="2:13" ht="22.15" customHeight="1">
      <c r="B175" s="86" t="s">
        <v>59</v>
      </c>
      <c r="C175" s="126" t="s">
        <v>549</v>
      </c>
      <c r="D175" s="126" t="s">
        <v>554</v>
      </c>
      <c r="E175" s="126" t="s">
        <v>45</v>
      </c>
      <c r="F175" s="123" t="s">
        <v>80</v>
      </c>
      <c r="G175" s="129" t="s">
        <v>242</v>
      </c>
      <c r="H175" s="138" t="s">
        <v>80</v>
      </c>
      <c r="I175" s="100" t="s">
        <v>555</v>
      </c>
      <c r="J175" s="100">
        <v>12</v>
      </c>
      <c r="K175" s="124" t="s">
        <v>50</v>
      </c>
      <c r="L175" s="106" t="s">
        <v>424</v>
      </c>
      <c r="M175" s="136" t="s">
        <v>556</v>
      </c>
    </row>
    <row r="176" spans="2:13" ht="22.15" customHeight="1">
      <c r="B176" s="86" t="s">
        <v>59</v>
      </c>
      <c r="C176" s="126" t="s">
        <v>549</v>
      </c>
      <c r="D176" s="126" t="s">
        <v>557</v>
      </c>
      <c r="E176" s="126" t="s">
        <v>45</v>
      </c>
      <c r="F176" s="47" t="s">
        <v>558</v>
      </c>
      <c r="G176" s="13" t="s">
        <v>106</v>
      </c>
      <c r="H176" s="14" t="s">
        <v>559</v>
      </c>
      <c r="I176" s="13" t="s">
        <v>560</v>
      </c>
      <c r="J176" s="13">
        <v>3</v>
      </c>
      <c r="K176" s="111" t="s">
        <v>50</v>
      </c>
      <c r="L176" s="104">
        <v>118.49</v>
      </c>
      <c r="M176" s="127"/>
    </row>
    <row r="177" spans="2:13" ht="22.15" customHeight="1">
      <c r="B177" s="86" t="s">
        <v>59</v>
      </c>
      <c r="C177" s="126" t="s">
        <v>549</v>
      </c>
      <c r="D177" s="126" t="s">
        <v>557</v>
      </c>
      <c r="E177" s="126" t="s">
        <v>45</v>
      </c>
      <c r="F177" s="47" t="s">
        <v>558</v>
      </c>
      <c r="G177" s="13" t="s">
        <v>106</v>
      </c>
      <c r="H177" s="14" t="s">
        <v>561</v>
      </c>
      <c r="I177" s="13" t="s">
        <v>562</v>
      </c>
      <c r="J177" s="13">
        <v>1</v>
      </c>
      <c r="K177" s="111" t="s">
        <v>50</v>
      </c>
      <c r="L177" s="104">
        <v>131.26</v>
      </c>
      <c r="M177" s="127"/>
    </row>
    <row r="178" spans="2:13" ht="22.15" customHeight="1">
      <c r="B178" s="86" t="s">
        <v>59</v>
      </c>
      <c r="C178" s="126" t="s">
        <v>549</v>
      </c>
      <c r="D178" s="126" t="s">
        <v>563</v>
      </c>
      <c r="E178" s="126" t="s">
        <v>45</v>
      </c>
      <c r="F178" s="123" t="s">
        <v>80</v>
      </c>
      <c r="G178" s="129" t="s">
        <v>242</v>
      </c>
      <c r="H178" s="134" t="s">
        <v>564</v>
      </c>
      <c r="I178" s="100" t="s">
        <v>565</v>
      </c>
      <c r="J178" s="100">
        <v>1</v>
      </c>
      <c r="K178" s="124" t="s">
        <v>50</v>
      </c>
      <c r="L178" s="106" t="s">
        <v>424</v>
      </c>
      <c r="M178" s="136"/>
    </row>
    <row r="179" spans="2:13" ht="22.15" customHeight="1">
      <c r="B179" s="86" t="s">
        <v>7</v>
      </c>
      <c r="C179" s="126" t="s">
        <v>549</v>
      </c>
      <c r="D179" s="126" t="s">
        <v>563</v>
      </c>
      <c r="E179" s="126" t="s">
        <v>45</v>
      </c>
      <c r="F179" s="303" t="s">
        <v>566</v>
      </c>
      <c r="G179" s="131" t="s">
        <v>192</v>
      </c>
      <c r="H179" s="132" t="s">
        <v>567</v>
      </c>
      <c r="I179" s="131" t="s">
        <v>568</v>
      </c>
      <c r="J179" s="131">
        <v>2</v>
      </c>
      <c r="K179" s="111" t="s">
        <v>50</v>
      </c>
      <c r="L179" s="130">
        <v>130</v>
      </c>
      <c r="M179" s="127"/>
    </row>
    <row r="180" spans="2:13" ht="22.15" customHeight="1">
      <c r="B180" s="86" t="s">
        <v>53</v>
      </c>
      <c r="C180" s="126" t="s">
        <v>549</v>
      </c>
      <c r="D180" s="126" t="s">
        <v>563</v>
      </c>
      <c r="E180" s="126" t="s">
        <v>45</v>
      </c>
      <c r="F180" s="123" t="s">
        <v>80</v>
      </c>
      <c r="G180" s="100" t="s">
        <v>202</v>
      </c>
      <c r="H180" s="134" t="s">
        <v>569</v>
      </c>
      <c r="I180" s="100" t="s">
        <v>570</v>
      </c>
      <c r="J180" s="100">
        <v>1</v>
      </c>
      <c r="K180" s="124" t="s">
        <v>50</v>
      </c>
      <c r="L180" s="106" t="s">
        <v>424</v>
      </c>
      <c r="M180" s="136"/>
    </row>
    <row r="181" spans="2:13" ht="22.15" customHeight="1">
      <c r="B181" s="86" t="s">
        <v>53</v>
      </c>
      <c r="C181" s="126" t="s">
        <v>549</v>
      </c>
      <c r="D181" s="126" t="s">
        <v>563</v>
      </c>
      <c r="E181" s="126" t="s">
        <v>45</v>
      </c>
      <c r="F181" s="123" t="s">
        <v>330</v>
      </c>
      <c r="G181" s="129" t="s">
        <v>242</v>
      </c>
      <c r="H181" s="134" t="s">
        <v>571</v>
      </c>
      <c r="I181" s="123" t="s">
        <v>334</v>
      </c>
      <c r="J181" s="100">
        <v>32</v>
      </c>
      <c r="K181" s="124" t="s">
        <v>50</v>
      </c>
      <c r="L181" s="106">
        <v>1.21</v>
      </c>
      <c r="M181" s="136"/>
    </row>
    <row r="182" spans="2:13" ht="22.15" customHeight="1">
      <c r="B182" s="86" t="s">
        <v>53</v>
      </c>
      <c r="C182" s="126" t="s">
        <v>549</v>
      </c>
      <c r="D182" s="126" t="s">
        <v>563</v>
      </c>
      <c r="E182" s="126" t="s">
        <v>45</v>
      </c>
      <c r="F182" s="123" t="s">
        <v>80</v>
      </c>
      <c r="G182" s="129" t="s">
        <v>242</v>
      </c>
      <c r="H182" s="134" t="s">
        <v>572</v>
      </c>
      <c r="I182" s="123" t="s">
        <v>80</v>
      </c>
      <c r="J182" s="100">
        <v>12</v>
      </c>
      <c r="K182" s="124" t="s">
        <v>50</v>
      </c>
      <c r="L182" s="106" t="s">
        <v>424</v>
      </c>
      <c r="M182" s="136"/>
    </row>
    <row r="183" spans="2:13" ht="22.15" customHeight="1">
      <c r="B183" s="86" t="s">
        <v>53</v>
      </c>
      <c r="C183" s="126" t="s">
        <v>549</v>
      </c>
      <c r="D183" s="126" t="s">
        <v>563</v>
      </c>
      <c r="E183" s="126" t="s">
        <v>45</v>
      </c>
      <c r="F183" s="123" t="s">
        <v>80</v>
      </c>
      <c r="G183" s="129" t="s">
        <v>242</v>
      </c>
      <c r="H183" s="138" t="s">
        <v>80</v>
      </c>
      <c r="I183" s="123" t="s">
        <v>80</v>
      </c>
      <c r="J183" s="100">
        <v>23</v>
      </c>
      <c r="K183" s="124" t="s">
        <v>50</v>
      </c>
      <c r="L183" s="106" t="s">
        <v>424</v>
      </c>
      <c r="M183" s="302" t="s">
        <v>573</v>
      </c>
    </row>
    <row r="184" spans="2:13" ht="22.15" customHeight="1">
      <c r="B184" s="86" t="s">
        <v>59</v>
      </c>
      <c r="C184" s="126" t="s">
        <v>549</v>
      </c>
      <c r="D184" s="126" t="s">
        <v>574</v>
      </c>
      <c r="E184" s="126" t="s">
        <v>45</v>
      </c>
      <c r="F184" s="123" t="s">
        <v>80</v>
      </c>
      <c r="G184" s="129" t="s">
        <v>300</v>
      </c>
      <c r="H184" s="138" t="s">
        <v>80</v>
      </c>
      <c r="I184" s="100" t="s">
        <v>575</v>
      </c>
      <c r="J184" s="100">
        <v>1</v>
      </c>
      <c r="K184" s="124" t="s">
        <v>50</v>
      </c>
      <c r="L184" s="106" t="s">
        <v>424</v>
      </c>
      <c r="M184" s="127"/>
    </row>
    <row r="185" spans="2:13" ht="22.15" customHeight="1">
      <c r="B185" s="86" t="s">
        <v>7</v>
      </c>
      <c r="C185" s="126" t="s">
        <v>549</v>
      </c>
      <c r="D185" s="126" t="s">
        <v>574</v>
      </c>
      <c r="E185" s="126" t="s">
        <v>45</v>
      </c>
      <c r="F185" s="123" t="s">
        <v>80</v>
      </c>
      <c r="G185" s="134" t="s">
        <v>255</v>
      </c>
      <c r="H185" s="138" t="s">
        <v>80</v>
      </c>
      <c r="I185" s="100" t="s">
        <v>576</v>
      </c>
      <c r="J185" s="100">
        <v>1</v>
      </c>
      <c r="K185" s="124" t="s">
        <v>50</v>
      </c>
      <c r="L185" s="106">
        <v>48.5</v>
      </c>
      <c r="M185" s="127"/>
    </row>
    <row r="186" spans="2:13" ht="22.15" customHeight="1">
      <c r="B186" s="86" t="s">
        <v>7</v>
      </c>
      <c r="C186" s="126" t="s">
        <v>549</v>
      </c>
      <c r="D186" s="126" t="s">
        <v>574</v>
      </c>
      <c r="E186" s="126" t="s">
        <v>45</v>
      </c>
      <c r="F186" s="123" t="s">
        <v>80</v>
      </c>
      <c r="G186" s="134" t="s">
        <v>255</v>
      </c>
      <c r="H186" s="138" t="s">
        <v>80</v>
      </c>
      <c r="I186" s="100" t="s">
        <v>577</v>
      </c>
      <c r="J186" s="100">
        <v>2</v>
      </c>
      <c r="K186" s="124" t="s">
        <v>50</v>
      </c>
      <c r="L186" s="106" t="s">
        <v>424</v>
      </c>
      <c r="M186" s="127"/>
    </row>
    <row r="187" spans="2:13" ht="22.15" customHeight="1">
      <c r="B187" s="86" t="s">
        <v>7</v>
      </c>
      <c r="C187" s="126" t="s">
        <v>549</v>
      </c>
      <c r="D187" s="126" t="s">
        <v>574</v>
      </c>
      <c r="E187" s="126" t="s">
        <v>45</v>
      </c>
      <c r="F187" s="123" t="s">
        <v>80</v>
      </c>
      <c r="G187" s="134" t="s">
        <v>255</v>
      </c>
      <c r="H187" s="134" t="s">
        <v>578</v>
      </c>
      <c r="I187" s="123" t="s">
        <v>80</v>
      </c>
      <c r="J187" s="100">
        <v>1</v>
      </c>
      <c r="K187" s="124" t="s">
        <v>50</v>
      </c>
      <c r="L187" s="106">
        <v>86.5</v>
      </c>
      <c r="M187" s="127"/>
    </row>
    <row r="188" spans="2:13" ht="22.15" customHeight="1">
      <c r="B188" s="86" t="s">
        <v>59</v>
      </c>
      <c r="C188" s="126" t="s">
        <v>549</v>
      </c>
      <c r="D188" s="126" t="s">
        <v>574</v>
      </c>
      <c r="E188" s="126" t="s">
        <v>45</v>
      </c>
      <c r="F188" s="123" t="s">
        <v>80</v>
      </c>
      <c r="G188" s="129" t="s">
        <v>300</v>
      </c>
      <c r="H188" s="138" t="s">
        <v>80</v>
      </c>
      <c r="I188" s="100" t="s">
        <v>579</v>
      </c>
      <c r="J188" s="100">
        <v>1</v>
      </c>
      <c r="K188" s="124" t="s">
        <v>50</v>
      </c>
      <c r="L188" s="106" t="s">
        <v>424</v>
      </c>
      <c r="M188" s="136"/>
    </row>
    <row r="189" spans="2:13" ht="22.15" customHeight="1">
      <c r="B189" s="86" t="s">
        <v>53</v>
      </c>
      <c r="C189" s="126" t="s">
        <v>549</v>
      </c>
      <c r="D189" s="126" t="s">
        <v>574</v>
      </c>
      <c r="E189" s="126" t="s">
        <v>45</v>
      </c>
      <c r="F189" s="47" t="s">
        <v>330</v>
      </c>
      <c r="G189" s="128" t="s">
        <v>242</v>
      </c>
      <c r="H189" s="132" t="s">
        <v>580</v>
      </c>
      <c r="I189" s="131" t="s">
        <v>581</v>
      </c>
      <c r="J189" s="131">
        <v>3</v>
      </c>
      <c r="K189" s="111" t="s">
        <v>50</v>
      </c>
      <c r="L189" s="130">
        <v>5.2</v>
      </c>
      <c r="M189" s="127"/>
    </row>
    <row r="190" spans="2:13" ht="22.15" customHeight="1">
      <c r="B190" s="86" t="s">
        <v>59</v>
      </c>
      <c r="C190" s="126" t="s">
        <v>549</v>
      </c>
      <c r="D190" s="126" t="s">
        <v>574</v>
      </c>
      <c r="E190" s="126" t="s">
        <v>45</v>
      </c>
      <c r="F190" s="123" t="s">
        <v>80</v>
      </c>
      <c r="G190" s="129" t="s">
        <v>300</v>
      </c>
      <c r="H190" s="134" t="s">
        <v>582</v>
      </c>
      <c r="I190" s="100" t="s">
        <v>583</v>
      </c>
      <c r="J190" s="100">
        <v>2</v>
      </c>
      <c r="K190" s="124" t="s">
        <v>50</v>
      </c>
      <c r="L190" s="106" t="s">
        <v>424</v>
      </c>
      <c r="M190" s="136"/>
    </row>
    <row r="191" spans="2:13" ht="22.15" customHeight="1">
      <c r="B191" s="86" t="s">
        <v>53</v>
      </c>
      <c r="C191" s="126" t="s">
        <v>549</v>
      </c>
      <c r="D191" s="126" t="s">
        <v>574</v>
      </c>
      <c r="E191" s="126" t="s">
        <v>45</v>
      </c>
      <c r="F191" s="47" t="s">
        <v>330</v>
      </c>
      <c r="G191" s="128" t="s">
        <v>242</v>
      </c>
      <c r="H191" s="14" t="s">
        <v>584</v>
      </c>
      <c r="I191" s="13" t="s">
        <v>585</v>
      </c>
      <c r="J191" s="13">
        <v>4</v>
      </c>
      <c r="K191" s="111" t="s">
        <v>50</v>
      </c>
      <c r="L191" s="104">
        <v>10.105</v>
      </c>
      <c r="M191" s="127"/>
    </row>
    <row r="192" spans="2:13" ht="22.15" customHeight="1">
      <c r="B192" s="86" t="s">
        <v>53</v>
      </c>
      <c r="C192" s="126" t="s">
        <v>549</v>
      </c>
      <c r="D192" s="126" t="s">
        <v>574</v>
      </c>
      <c r="E192" s="126" t="s">
        <v>45</v>
      </c>
      <c r="F192" s="47" t="s">
        <v>330</v>
      </c>
      <c r="G192" s="128" t="s">
        <v>195</v>
      </c>
      <c r="H192" s="14" t="s">
        <v>586</v>
      </c>
      <c r="I192" s="13" t="s">
        <v>587</v>
      </c>
      <c r="J192" s="13">
        <v>5</v>
      </c>
      <c r="K192" s="111" t="s">
        <v>50</v>
      </c>
      <c r="L192" s="104">
        <v>6.8250000000000002</v>
      </c>
      <c r="M192" s="127"/>
    </row>
    <row r="193" spans="2:13" ht="22.15" customHeight="1">
      <c r="B193" s="86" t="s">
        <v>53</v>
      </c>
      <c r="C193" s="126" t="s">
        <v>549</v>
      </c>
      <c r="D193" s="126" t="s">
        <v>588</v>
      </c>
      <c r="E193" s="126" t="s">
        <v>45</v>
      </c>
      <c r="F193" s="123" t="s">
        <v>80</v>
      </c>
      <c r="G193" s="100" t="s">
        <v>202</v>
      </c>
      <c r="H193" s="138" t="s">
        <v>80</v>
      </c>
      <c r="I193" s="123" t="s">
        <v>80</v>
      </c>
      <c r="J193" s="100">
        <v>1</v>
      </c>
      <c r="K193" s="124" t="s">
        <v>50</v>
      </c>
      <c r="L193" s="106" t="s">
        <v>424</v>
      </c>
      <c r="M193" s="302" t="s">
        <v>589</v>
      </c>
    </row>
    <row r="194" spans="2:13" ht="22.15" customHeight="1">
      <c r="B194" s="86" t="s">
        <v>53</v>
      </c>
      <c r="C194" s="126" t="s">
        <v>549</v>
      </c>
      <c r="D194" s="126" t="s">
        <v>588</v>
      </c>
      <c r="E194" s="126" t="s">
        <v>45</v>
      </c>
      <c r="F194" s="123" t="s">
        <v>80</v>
      </c>
      <c r="G194" s="100" t="s">
        <v>202</v>
      </c>
      <c r="H194" s="138" t="s">
        <v>80</v>
      </c>
      <c r="I194" s="123" t="s">
        <v>80</v>
      </c>
      <c r="J194" s="100">
        <v>1</v>
      </c>
      <c r="K194" s="124" t="s">
        <v>50</v>
      </c>
      <c r="L194" s="106" t="s">
        <v>424</v>
      </c>
      <c r="M194" s="302" t="s">
        <v>590</v>
      </c>
    </row>
    <row r="195" spans="2:13" ht="22.15" customHeight="1">
      <c r="B195" s="86" t="s">
        <v>53</v>
      </c>
      <c r="C195" s="126" t="s">
        <v>549</v>
      </c>
      <c r="D195" s="126" t="s">
        <v>588</v>
      </c>
      <c r="E195" s="126" t="s">
        <v>45</v>
      </c>
      <c r="F195" s="123" t="s">
        <v>80</v>
      </c>
      <c r="G195" s="100" t="s">
        <v>202</v>
      </c>
      <c r="H195" s="138" t="s">
        <v>80</v>
      </c>
      <c r="I195" s="123" t="s">
        <v>80</v>
      </c>
      <c r="J195" s="100">
        <v>1</v>
      </c>
      <c r="K195" s="124" t="s">
        <v>50</v>
      </c>
      <c r="L195" s="106" t="s">
        <v>424</v>
      </c>
      <c r="M195" s="302" t="s">
        <v>591</v>
      </c>
    </row>
    <row r="196" spans="2:13" ht="22.15" customHeight="1">
      <c r="B196" s="86" t="s">
        <v>53</v>
      </c>
      <c r="C196" s="126" t="s">
        <v>549</v>
      </c>
      <c r="D196" s="126" t="s">
        <v>588</v>
      </c>
      <c r="E196" s="126" t="s">
        <v>45</v>
      </c>
      <c r="F196" s="123" t="s">
        <v>80</v>
      </c>
      <c r="G196" s="100" t="s">
        <v>202</v>
      </c>
      <c r="H196" s="138" t="s">
        <v>80</v>
      </c>
      <c r="I196" s="123" t="s">
        <v>80</v>
      </c>
      <c r="J196" s="100">
        <v>1</v>
      </c>
      <c r="K196" s="124" t="s">
        <v>50</v>
      </c>
      <c r="L196" s="106" t="s">
        <v>424</v>
      </c>
      <c r="M196" s="302" t="s">
        <v>592</v>
      </c>
    </row>
    <row r="197" spans="2:13" ht="22.15" customHeight="1">
      <c r="B197" s="86" t="s">
        <v>53</v>
      </c>
      <c r="C197" s="126" t="s">
        <v>549</v>
      </c>
      <c r="D197" s="126" t="s">
        <v>588</v>
      </c>
      <c r="E197" s="126" t="s">
        <v>45</v>
      </c>
      <c r="F197" s="123" t="s">
        <v>80</v>
      </c>
      <c r="G197" s="100" t="s">
        <v>202</v>
      </c>
      <c r="H197" s="138" t="s">
        <v>80</v>
      </c>
      <c r="I197" s="123" t="s">
        <v>80</v>
      </c>
      <c r="J197" s="100">
        <v>1</v>
      </c>
      <c r="K197" s="124" t="s">
        <v>50</v>
      </c>
      <c r="L197" s="106" t="s">
        <v>424</v>
      </c>
      <c r="M197" s="302" t="s">
        <v>593</v>
      </c>
    </row>
    <row r="198" spans="2:13" ht="22.15" customHeight="1">
      <c r="B198" s="86" t="s">
        <v>53</v>
      </c>
      <c r="C198" s="126" t="s">
        <v>549</v>
      </c>
      <c r="D198" s="126" t="s">
        <v>588</v>
      </c>
      <c r="E198" s="126" t="s">
        <v>45</v>
      </c>
      <c r="F198" s="123" t="s">
        <v>80</v>
      </c>
      <c r="G198" s="100" t="s">
        <v>202</v>
      </c>
      <c r="H198" s="138" t="s">
        <v>80</v>
      </c>
      <c r="I198" s="123" t="s">
        <v>80</v>
      </c>
      <c r="J198" s="100">
        <v>1</v>
      </c>
      <c r="K198" s="124" t="s">
        <v>50</v>
      </c>
      <c r="L198" s="106" t="s">
        <v>424</v>
      </c>
      <c r="M198" s="302" t="s">
        <v>594</v>
      </c>
    </row>
    <row r="199" spans="2:13" ht="22.15" customHeight="1">
      <c r="B199" s="86" t="s">
        <v>53</v>
      </c>
      <c r="C199" s="126" t="s">
        <v>549</v>
      </c>
      <c r="D199" s="126" t="s">
        <v>588</v>
      </c>
      <c r="E199" s="126" t="s">
        <v>45</v>
      </c>
      <c r="F199" s="123" t="s">
        <v>80</v>
      </c>
      <c r="G199" s="100" t="s">
        <v>202</v>
      </c>
      <c r="H199" s="138" t="s">
        <v>80</v>
      </c>
      <c r="I199" s="123" t="s">
        <v>80</v>
      </c>
      <c r="J199" s="100">
        <v>1</v>
      </c>
      <c r="K199" s="124" t="s">
        <v>50</v>
      </c>
      <c r="L199" s="106" t="s">
        <v>424</v>
      </c>
      <c r="M199" s="302" t="s">
        <v>595</v>
      </c>
    </row>
    <row r="200" spans="2:13" ht="22.15" customHeight="1">
      <c r="B200" s="86" t="s">
        <v>53</v>
      </c>
      <c r="C200" s="126" t="s">
        <v>549</v>
      </c>
      <c r="D200" s="126" t="s">
        <v>588</v>
      </c>
      <c r="E200" s="126" t="s">
        <v>45</v>
      </c>
      <c r="F200" s="123" t="s">
        <v>80</v>
      </c>
      <c r="G200" s="100" t="s">
        <v>202</v>
      </c>
      <c r="H200" s="138" t="s">
        <v>80</v>
      </c>
      <c r="I200" s="123" t="s">
        <v>80</v>
      </c>
      <c r="J200" s="100">
        <v>1</v>
      </c>
      <c r="K200" s="124" t="s">
        <v>50</v>
      </c>
      <c r="L200" s="106" t="s">
        <v>424</v>
      </c>
      <c r="M200" s="302" t="s">
        <v>596</v>
      </c>
    </row>
    <row r="201" spans="2:13" ht="22.15" customHeight="1">
      <c r="B201" s="86" t="s">
        <v>53</v>
      </c>
      <c r="C201" s="126" t="s">
        <v>549</v>
      </c>
      <c r="D201" s="126" t="s">
        <v>588</v>
      </c>
      <c r="E201" s="126" t="s">
        <v>45</v>
      </c>
      <c r="F201" s="123" t="s">
        <v>80</v>
      </c>
      <c r="G201" s="100" t="s">
        <v>202</v>
      </c>
      <c r="H201" s="138" t="s">
        <v>80</v>
      </c>
      <c r="I201" s="123" t="s">
        <v>80</v>
      </c>
      <c r="J201" s="100">
        <v>2</v>
      </c>
      <c r="K201" s="124" t="s">
        <v>50</v>
      </c>
      <c r="L201" s="106" t="s">
        <v>424</v>
      </c>
      <c r="M201" s="302" t="s">
        <v>597</v>
      </c>
    </row>
    <row r="202" spans="2:13" ht="22.15" customHeight="1">
      <c r="B202" s="86" t="s">
        <v>53</v>
      </c>
      <c r="C202" s="126" t="s">
        <v>549</v>
      </c>
      <c r="D202" s="126" t="s">
        <v>588</v>
      </c>
      <c r="E202" s="126" t="s">
        <v>45</v>
      </c>
      <c r="F202" s="123" t="s">
        <v>80</v>
      </c>
      <c r="G202" s="100" t="s">
        <v>202</v>
      </c>
      <c r="H202" s="138" t="s">
        <v>80</v>
      </c>
      <c r="I202" s="123" t="s">
        <v>80</v>
      </c>
      <c r="J202" s="100">
        <v>1</v>
      </c>
      <c r="K202" s="124" t="s">
        <v>50</v>
      </c>
      <c r="L202" s="106" t="s">
        <v>424</v>
      </c>
      <c r="M202" s="302" t="s">
        <v>598</v>
      </c>
    </row>
    <row r="203" spans="2:13" ht="22.15" customHeight="1">
      <c r="B203" s="86" t="s">
        <v>53</v>
      </c>
      <c r="C203" s="126" t="s">
        <v>549</v>
      </c>
      <c r="D203" s="126" t="s">
        <v>588</v>
      </c>
      <c r="E203" s="126" t="s">
        <v>45</v>
      </c>
      <c r="F203" s="123" t="s">
        <v>80</v>
      </c>
      <c r="G203" s="100" t="s">
        <v>202</v>
      </c>
      <c r="H203" s="138" t="s">
        <v>80</v>
      </c>
      <c r="I203" s="123" t="s">
        <v>80</v>
      </c>
      <c r="J203" s="100">
        <v>1</v>
      </c>
      <c r="K203" s="124" t="s">
        <v>50</v>
      </c>
      <c r="L203" s="106" t="s">
        <v>424</v>
      </c>
      <c r="M203" s="302" t="s">
        <v>599</v>
      </c>
    </row>
    <row r="204" spans="2:13" ht="22.15" customHeight="1">
      <c r="B204" s="86" t="s">
        <v>53</v>
      </c>
      <c r="C204" s="126" t="s">
        <v>549</v>
      </c>
      <c r="D204" s="126" t="s">
        <v>588</v>
      </c>
      <c r="E204" s="126" t="s">
        <v>45</v>
      </c>
      <c r="F204" s="123" t="s">
        <v>80</v>
      </c>
      <c r="G204" s="100" t="s">
        <v>202</v>
      </c>
      <c r="H204" s="138" t="s">
        <v>80</v>
      </c>
      <c r="I204" s="123" t="s">
        <v>80</v>
      </c>
      <c r="J204" s="100">
        <v>1</v>
      </c>
      <c r="K204" s="124" t="s">
        <v>50</v>
      </c>
      <c r="L204" s="106" t="s">
        <v>424</v>
      </c>
      <c r="M204" s="302" t="s">
        <v>600</v>
      </c>
    </row>
    <row r="205" spans="2:13" ht="22.15" customHeight="1">
      <c r="B205" s="86" t="s">
        <v>53</v>
      </c>
      <c r="C205" s="126" t="s">
        <v>549</v>
      </c>
      <c r="D205" s="126" t="s">
        <v>588</v>
      </c>
      <c r="E205" s="126" t="s">
        <v>45</v>
      </c>
      <c r="F205" s="123" t="s">
        <v>80</v>
      </c>
      <c r="G205" s="100" t="s">
        <v>202</v>
      </c>
      <c r="H205" s="138" t="s">
        <v>80</v>
      </c>
      <c r="I205" s="123" t="s">
        <v>80</v>
      </c>
      <c r="J205" s="100">
        <v>1</v>
      </c>
      <c r="K205" s="124" t="s">
        <v>50</v>
      </c>
      <c r="L205" s="106" t="s">
        <v>424</v>
      </c>
      <c r="M205" s="302" t="s">
        <v>601</v>
      </c>
    </row>
    <row r="206" spans="2:13" ht="22.15" customHeight="1">
      <c r="B206" s="86" t="s">
        <v>53</v>
      </c>
      <c r="C206" s="126" t="s">
        <v>549</v>
      </c>
      <c r="D206" s="126" t="s">
        <v>588</v>
      </c>
      <c r="E206" s="126" t="s">
        <v>45</v>
      </c>
      <c r="F206" s="123" t="s">
        <v>80</v>
      </c>
      <c r="G206" s="100" t="s">
        <v>202</v>
      </c>
      <c r="H206" s="138" t="s">
        <v>80</v>
      </c>
      <c r="I206" s="123" t="s">
        <v>80</v>
      </c>
      <c r="J206" s="100">
        <v>1</v>
      </c>
      <c r="K206" s="124" t="s">
        <v>50</v>
      </c>
      <c r="L206" s="106" t="s">
        <v>424</v>
      </c>
      <c r="M206" s="302" t="s">
        <v>602</v>
      </c>
    </row>
    <row r="207" spans="2:13" ht="22.15" customHeight="1">
      <c r="B207" s="86" t="s">
        <v>53</v>
      </c>
      <c r="C207" s="126" t="s">
        <v>549</v>
      </c>
      <c r="D207" s="126" t="s">
        <v>588</v>
      </c>
      <c r="E207" s="126" t="s">
        <v>45</v>
      </c>
      <c r="F207" s="123" t="s">
        <v>80</v>
      </c>
      <c r="G207" s="100" t="s">
        <v>202</v>
      </c>
      <c r="H207" s="138" t="s">
        <v>80</v>
      </c>
      <c r="I207" s="123" t="s">
        <v>80</v>
      </c>
      <c r="J207" s="100">
        <v>1</v>
      </c>
      <c r="K207" s="124" t="s">
        <v>50</v>
      </c>
      <c r="L207" s="106" t="s">
        <v>424</v>
      </c>
      <c r="M207" s="302" t="s">
        <v>603</v>
      </c>
    </row>
    <row r="208" spans="2:13" ht="22.15" customHeight="1">
      <c r="B208" s="86" t="s">
        <v>526</v>
      </c>
      <c r="C208" s="126" t="s">
        <v>549</v>
      </c>
      <c r="D208" s="126" t="s">
        <v>604</v>
      </c>
      <c r="E208" s="126" t="s">
        <v>45</v>
      </c>
      <c r="F208" s="47" t="s">
        <v>353</v>
      </c>
      <c r="G208" s="128" t="s">
        <v>56</v>
      </c>
      <c r="H208" s="14" t="s">
        <v>605</v>
      </c>
      <c r="I208" s="47" t="s">
        <v>606</v>
      </c>
      <c r="J208" s="13">
        <v>1</v>
      </c>
      <c r="K208" s="111" t="s">
        <v>50</v>
      </c>
      <c r="L208" s="104">
        <v>117.6</v>
      </c>
      <c r="M208" s="127"/>
    </row>
    <row r="209" spans="2:13" ht="22.15" customHeight="1">
      <c r="B209" s="86" t="s">
        <v>526</v>
      </c>
      <c r="C209" s="126" t="s">
        <v>549</v>
      </c>
      <c r="D209" s="126" t="s">
        <v>604</v>
      </c>
      <c r="E209" s="126" t="s">
        <v>45</v>
      </c>
      <c r="F209" s="47" t="s">
        <v>607</v>
      </c>
      <c r="G209" s="128" t="s">
        <v>56</v>
      </c>
      <c r="H209" s="132" t="s">
        <v>608</v>
      </c>
      <c r="I209" s="131" t="s">
        <v>609</v>
      </c>
      <c r="J209" s="131">
        <v>4</v>
      </c>
      <c r="K209" s="111" t="s">
        <v>50</v>
      </c>
      <c r="L209" s="130">
        <v>14.9</v>
      </c>
      <c r="M209" s="127"/>
    </row>
    <row r="210" spans="2:13" ht="22.15" customHeight="1">
      <c r="B210" s="86" t="s">
        <v>526</v>
      </c>
      <c r="C210" s="126" t="s">
        <v>549</v>
      </c>
      <c r="D210" s="126" t="s">
        <v>604</v>
      </c>
      <c r="E210" s="126" t="s">
        <v>45</v>
      </c>
      <c r="F210" s="47" t="s">
        <v>607</v>
      </c>
      <c r="G210" s="128" t="s">
        <v>56</v>
      </c>
      <c r="H210" s="132" t="s">
        <v>610</v>
      </c>
      <c r="I210" s="131" t="s">
        <v>611</v>
      </c>
      <c r="J210" s="131">
        <v>2</v>
      </c>
      <c r="K210" s="111" t="s">
        <v>50</v>
      </c>
      <c r="L210" s="130">
        <v>15.4</v>
      </c>
      <c r="M210" s="127"/>
    </row>
    <row r="211" spans="2:13" ht="22.15" customHeight="1">
      <c r="B211" s="86" t="s">
        <v>526</v>
      </c>
      <c r="C211" s="126" t="s">
        <v>549</v>
      </c>
      <c r="D211" s="126" t="s">
        <v>604</v>
      </c>
      <c r="E211" s="126" t="s">
        <v>45</v>
      </c>
      <c r="F211" s="47" t="s">
        <v>612</v>
      </c>
      <c r="G211" s="128" t="s">
        <v>56</v>
      </c>
      <c r="H211" s="132" t="s">
        <v>613</v>
      </c>
      <c r="I211" s="131" t="s">
        <v>614</v>
      </c>
      <c r="J211" s="131">
        <v>2</v>
      </c>
      <c r="K211" s="111" t="s">
        <v>50</v>
      </c>
      <c r="L211" s="130">
        <v>28.9</v>
      </c>
      <c r="M211" s="127"/>
    </row>
    <row r="212" spans="2:13" ht="22.15" customHeight="1">
      <c r="B212" s="86" t="s">
        <v>526</v>
      </c>
      <c r="C212" s="126" t="s">
        <v>549</v>
      </c>
      <c r="D212" s="126" t="s">
        <v>604</v>
      </c>
      <c r="E212" s="126" t="s">
        <v>45</v>
      </c>
      <c r="F212" s="47" t="s">
        <v>615</v>
      </c>
      <c r="G212" s="128" t="s">
        <v>56</v>
      </c>
      <c r="H212" s="14" t="s">
        <v>616</v>
      </c>
      <c r="I212" s="13" t="s">
        <v>617</v>
      </c>
      <c r="J212" s="13">
        <v>33</v>
      </c>
      <c r="K212" s="111" t="s">
        <v>50</v>
      </c>
      <c r="L212" s="104">
        <v>3.1</v>
      </c>
      <c r="M212" s="127"/>
    </row>
    <row r="213" spans="2:13" ht="22.15" customHeight="1">
      <c r="B213" s="86" t="s">
        <v>526</v>
      </c>
      <c r="C213" s="126" t="s">
        <v>549</v>
      </c>
      <c r="D213" s="126" t="s">
        <v>604</v>
      </c>
      <c r="E213" s="304" t="s">
        <v>45</v>
      </c>
      <c r="F213" s="123" t="s">
        <v>80</v>
      </c>
      <c r="G213" s="129" t="s">
        <v>56</v>
      </c>
      <c r="H213" s="134" t="s">
        <v>618</v>
      </c>
      <c r="I213" s="100" t="s">
        <v>424</v>
      </c>
      <c r="J213" s="100">
        <v>1</v>
      </c>
      <c r="K213" s="124" t="s">
        <v>50</v>
      </c>
      <c r="L213" s="106" t="s">
        <v>424</v>
      </c>
      <c r="M213" s="127"/>
    </row>
    <row r="214" spans="2:13" ht="22.15" customHeight="1">
      <c r="B214" s="86" t="s">
        <v>59</v>
      </c>
      <c r="C214" s="126" t="s">
        <v>549</v>
      </c>
      <c r="D214" s="126" t="s">
        <v>619</v>
      </c>
      <c r="E214" s="126" t="s">
        <v>263</v>
      </c>
      <c r="F214" s="123" t="s">
        <v>279</v>
      </c>
      <c r="G214" s="87" t="s">
        <v>167</v>
      </c>
      <c r="H214" s="132" t="s">
        <v>295</v>
      </c>
      <c r="I214" s="303" t="s">
        <v>279</v>
      </c>
      <c r="J214" s="131">
        <v>2</v>
      </c>
      <c r="K214" s="111" t="s">
        <v>50</v>
      </c>
      <c r="L214" s="130">
        <v>21.61</v>
      </c>
      <c r="M214" s="127"/>
    </row>
    <row r="215" spans="2:13" ht="22.15" customHeight="1">
      <c r="B215" s="86" t="s">
        <v>59</v>
      </c>
      <c r="C215" s="126" t="s">
        <v>549</v>
      </c>
      <c r="D215" s="126" t="s">
        <v>619</v>
      </c>
      <c r="E215" s="126" t="s">
        <v>263</v>
      </c>
      <c r="F215" s="123" t="s">
        <v>279</v>
      </c>
      <c r="G215" s="87" t="s">
        <v>167</v>
      </c>
      <c r="H215" s="132" t="s">
        <v>620</v>
      </c>
      <c r="I215" s="303" t="s">
        <v>279</v>
      </c>
      <c r="J215" s="131">
        <v>3</v>
      </c>
      <c r="K215" s="111" t="s">
        <v>50</v>
      </c>
      <c r="L215" s="130">
        <v>32.6</v>
      </c>
      <c r="M215" s="127"/>
    </row>
    <row r="216" spans="2:13" ht="22.15" customHeight="1">
      <c r="B216" s="86" t="s">
        <v>59</v>
      </c>
      <c r="C216" s="126" t="s">
        <v>549</v>
      </c>
      <c r="D216" s="126" t="s">
        <v>619</v>
      </c>
      <c r="E216" s="126" t="s">
        <v>45</v>
      </c>
      <c r="F216" s="47" t="s">
        <v>566</v>
      </c>
      <c r="G216" s="131" t="s">
        <v>131</v>
      </c>
      <c r="H216" s="132" t="s">
        <v>621</v>
      </c>
      <c r="I216" s="131" t="s">
        <v>622</v>
      </c>
      <c r="J216" s="131">
        <v>2</v>
      </c>
      <c r="K216" s="111" t="s">
        <v>50</v>
      </c>
      <c r="L216" s="130">
        <v>40.119999999999997</v>
      </c>
      <c r="M216" s="127"/>
    </row>
    <row r="217" spans="2:13" ht="22.15" customHeight="1">
      <c r="B217" s="86" t="s">
        <v>59</v>
      </c>
      <c r="C217" s="126" t="s">
        <v>549</v>
      </c>
      <c r="D217" s="126" t="s">
        <v>619</v>
      </c>
      <c r="E217" s="126" t="s">
        <v>45</v>
      </c>
      <c r="F217" s="47" t="s">
        <v>566</v>
      </c>
      <c r="G217" s="131" t="s">
        <v>131</v>
      </c>
      <c r="H217" s="132" t="s">
        <v>623</v>
      </c>
      <c r="I217" s="131" t="s">
        <v>624</v>
      </c>
      <c r="J217" s="131">
        <v>3</v>
      </c>
      <c r="K217" s="111" t="s">
        <v>50</v>
      </c>
      <c r="L217" s="130">
        <v>34.21</v>
      </c>
      <c r="M217" s="127"/>
    </row>
    <row r="218" spans="2:13" ht="22.15" customHeight="1">
      <c r="B218" s="86" t="s">
        <v>59</v>
      </c>
      <c r="C218" s="126" t="s">
        <v>549</v>
      </c>
      <c r="D218" s="126" t="s">
        <v>619</v>
      </c>
      <c r="E218" s="126" t="s">
        <v>45</v>
      </c>
      <c r="F218" s="47" t="s">
        <v>566</v>
      </c>
      <c r="G218" s="131" t="s">
        <v>131</v>
      </c>
      <c r="H218" s="132" t="s">
        <v>625</v>
      </c>
      <c r="I218" s="131" t="s">
        <v>626</v>
      </c>
      <c r="J218" s="131">
        <v>1</v>
      </c>
      <c r="K218" s="111" t="s">
        <v>50</v>
      </c>
      <c r="L218" s="130">
        <v>36.21</v>
      </c>
      <c r="M218" s="127"/>
    </row>
    <row r="219" spans="2:13" ht="22.15" customHeight="1">
      <c r="B219" s="86" t="s">
        <v>53</v>
      </c>
      <c r="C219" s="126" t="s">
        <v>549</v>
      </c>
      <c r="D219" s="126" t="s">
        <v>627</v>
      </c>
      <c r="E219" s="126" t="s">
        <v>45</v>
      </c>
      <c r="F219" s="123" t="s">
        <v>80</v>
      </c>
      <c r="G219" s="129" t="s">
        <v>242</v>
      </c>
      <c r="H219" s="134" t="s">
        <v>628</v>
      </c>
      <c r="I219" s="100" t="s">
        <v>629</v>
      </c>
      <c r="J219" s="100">
        <v>1</v>
      </c>
      <c r="K219" s="124" t="s">
        <v>50</v>
      </c>
      <c r="L219" s="106" t="s">
        <v>424</v>
      </c>
      <c r="M219" s="136"/>
    </row>
    <row r="220" spans="2:13" ht="22.15" customHeight="1">
      <c r="B220" s="86" t="s">
        <v>53</v>
      </c>
      <c r="C220" s="126" t="s">
        <v>549</v>
      </c>
      <c r="D220" s="126" t="s">
        <v>627</v>
      </c>
      <c r="E220" s="126" t="s">
        <v>45</v>
      </c>
      <c r="F220" s="47" t="s">
        <v>630</v>
      </c>
      <c r="G220" s="128" t="s">
        <v>242</v>
      </c>
      <c r="H220" s="132" t="s">
        <v>631</v>
      </c>
      <c r="I220" s="131" t="s">
        <v>632</v>
      </c>
      <c r="J220" s="131">
        <v>10</v>
      </c>
      <c r="K220" s="111" t="s">
        <v>50</v>
      </c>
      <c r="L220" s="130">
        <v>13</v>
      </c>
      <c r="M220" s="127"/>
    </row>
    <row r="221" spans="2:13" ht="22.15" customHeight="1">
      <c r="B221" s="86" t="s">
        <v>53</v>
      </c>
      <c r="C221" s="126" t="s">
        <v>549</v>
      </c>
      <c r="D221" s="126" t="s">
        <v>627</v>
      </c>
      <c r="E221" s="126" t="s">
        <v>45</v>
      </c>
      <c r="F221" s="47" t="s">
        <v>630</v>
      </c>
      <c r="G221" s="128" t="s">
        <v>242</v>
      </c>
      <c r="H221" s="132" t="s">
        <v>633</v>
      </c>
      <c r="I221" s="131" t="s">
        <v>634</v>
      </c>
      <c r="J221" s="131">
        <v>6</v>
      </c>
      <c r="K221" s="111" t="s">
        <v>50</v>
      </c>
      <c r="L221" s="130">
        <v>18</v>
      </c>
      <c r="M221" s="127"/>
    </row>
    <row r="222" spans="2:13" ht="22.15" customHeight="1">
      <c r="B222" s="86" t="s">
        <v>53</v>
      </c>
      <c r="C222" s="126" t="s">
        <v>549</v>
      </c>
      <c r="D222" s="126" t="s">
        <v>627</v>
      </c>
      <c r="E222" s="126" t="s">
        <v>45</v>
      </c>
      <c r="F222" s="123" t="s">
        <v>80</v>
      </c>
      <c r="G222" s="129" t="s">
        <v>242</v>
      </c>
      <c r="H222" s="134" t="s">
        <v>635</v>
      </c>
      <c r="I222" s="100" t="s">
        <v>636</v>
      </c>
      <c r="J222" s="100">
        <v>2</v>
      </c>
      <c r="K222" s="124" t="s">
        <v>50</v>
      </c>
      <c r="L222" s="106" t="s">
        <v>424</v>
      </c>
      <c r="M222" s="136"/>
    </row>
    <row r="223" spans="2:13" ht="22.15" customHeight="1">
      <c r="B223" s="86" t="s">
        <v>53</v>
      </c>
      <c r="C223" s="126" t="s">
        <v>549</v>
      </c>
      <c r="D223" s="126" t="s">
        <v>627</v>
      </c>
      <c r="E223" s="126" t="s">
        <v>45</v>
      </c>
      <c r="F223" s="123" t="s">
        <v>80</v>
      </c>
      <c r="G223" s="129" t="s">
        <v>242</v>
      </c>
      <c r="H223" s="134" t="s">
        <v>637</v>
      </c>
      <c r="I223" s="100" t="s">
        <v>638</v>
      </c>
      <c r="J223" s="100">
        <v>2</v>
      </c>
      <c r="K223" s="124" t="s">
        <v>50</v>
      </c>
      <c r="L223" s="106" t="s">
        <v>424</v>
      </c>
      <c r="M223" s="136"/>
    </row>
    <row r="224" spans="2:13" ht="22.15" customHeight="1">
      <c r="B224" s="86" t="s">
        <v>53</v>
      </c>
      <c r="C224" s="126" t="s">
        <v>549</v>
      </c>
      <c r="D224" s="126" t="s">
        <v>627</v>
      </c>
      <c r="E224" s="126" t="s">
        <v>45</v>
      </c>
      <c r="F224" s="123" t="s">
        <v>80</v>
      </c>
      <c r="G224" s="129" t="s">
        <v>300</v>
      </c>
      <c r="H224" s="138" t="s">
        <v>80</v>
      </c>
      <c r="I224" s="100" t="s">
        <v>639</v>
      </c>
      <c r="J224" s="100">
        <v>2</v>
      </c>
      <c r="K224" s="124" t="s">
        <v>50</v>
      </c>
      <c r="L224" s="106" t="s">
        <v>424</v>
      </c>
      <c r="M224" s="136"/>
    </row>
    <row r="225" spans="2:13" ht="22.15" customHeight="1">
      <c r="B225" s="86" t="s">
        <v>53</v>
      </c>
      <c r="C225" s="126" t="s">
        <v>549</v>
      </c>
      <c r="D225" s="126" t="s">
        <v>627</v>
      </c>
      <c r="E225" s="126" t="s">
        <v>45</v>
      </c>
      <c r="F225" s="123" t="s">
        <v>80</v>
      </c>
      <c r="G225" s="129" t="s">
        <v>242</v>
      </c>
      <c r="H225" s="138" t="s">
        <v>80</v>
      </c>
      <c r="I225" s="100" t="s">
        <v>424</v>
      </c>
      <c r="J225" s="100">
        <v>2</v>
      </c>
      <c r="K225" s="124" t="s">
        <v>50</v>
      </c>
      <c r="L225" s="106" t="s">
        <v>424</v>
      </c>
      <c r="M225" s="302" t="s">
        <v>640</v>
      </c>
    </row>
    <row r="226" spans="2:13" ht="22.15" customHeight="1">
      <c r="B226" s="86" t="s">
        <v>53</v>
      </c>
      <c r="C226" s="126" t="s">
        <v>549</v>
      </c>
      <c r="D226" s="126" t="s">
        <v>627</v>
      </c>
      <c r="E226" s="126" t="s">
        <v>45</v>
      </c>
      <c r="F226" s="123" t="s">
        <v>80</v>
      </c>
      <c r="G226" s="129" t="s">
        <v>242</v>
      </c>
      <c r="H226" s="138" t="s">
        <v>80</v>
      </c>
      <c r="I226" s="100" t="s">
        <v>641</v>
      </c>
      <c r="J226" s="100">
        <v>2</v>
      </c>
      <c r="K226" s="124" t="s">
        <v>50</v>
      </c>
      <c r="L226" s="106" t="s">
        <v>424</v>
      </c>
      <c r="M226" s="302" t="s">
        <v>642</v>
      </c>
    </row>
    <row r="227" spans="2:13" ht="22.15" customHeight="1">
      <c r="B227" s="86" t="s">
        <v>53</v>
      </c>
      <c r="C227" s="126" t="s">
        <v>549</v>
      </c>
      <c r="D227" s="126" t="s">
        <v>627</v>
      </c>
      <c r="E227" s="126" t="s">
        <v>45</v>
      </c>
      <c r="F227" s="123" t="s">
        <v>80</v>
      </c>
      <c r="G227" s="129" t="s">
        <v>242</v>
      </c>
      <c r="H227" s="138" t="s">
        <v>80</v>
      </c>
      <c r="I227" s="100" t="s">
        <v>536</v>
      </c>
      <c r="J227" s="100">
        <v>1</v>
      </c>
      <c r="K227" s="124" t="s">
        <v>50</v>
      </c>
      <c r="L227" s="106" t="s">
        <v>424</v>
      </c>
      <c r="M227" s="136"/>
    </row>
    <row r="228" spans="2:13" ht="22.15" customHeight="1">
      <c r="B228" s="86" t="s">
        <v>53</v>
      </c>
      <c r="C228" s="126" t="s">
        <v>549</v>
      </c>
      <c r="D228" s="126" t="s">
        <v>627</v>
      </c>
      <c r="E228" s="126" t="s">
        <v>45</v>
      </c>
      <c r="F228" s="123" t="s">
        <v>80</v>
      </c>
      <c r="G228" s="129" t="s">
        <v>242</v>
      </c>
      <c r="H228" s="138" t="s">
        <v>80</v>
      </c>
      <c r="I228" s="100" t="s">
        <v>643</v>
      </c>
      <c r="J228" s="100">
        <v>1</v>
      </c>
      <c r="K228" s="124" t="s">
        <v>50</v>
      </c>
      <c r="L228" s="106" t="s">
        <v>424</v>
      </c>
      <c r="M228" s="136"/>
    </row>
    <row r="229" spans="2:13" ht="22.15" customHeight="1">
      <c r="B229" s="86" t="s">
        <v>53</v>
      </c>
      <c r="C229" s="126" t="s">
        <v>549</v>
      </c>
      <c r="D229" s="126" t="s">
        <v>627</v>
      </c>
      <c r="E229" s="126" t="s">
        <v>45</v>
      </c>
      <c r="F229" s="123" t="s">
        <v>80</v>
      </c>
      <c r="G229" s="129" t="s">
        <v>242</v>
      </c>
      <c r="H229" s="134" t="s">
        <v>644</v>
      </c>
      <c r="I229" s="100" t="s">
        <v>645</v>
      </c>
      <c r="J229" s="100">
        <v>1</v>
      </c>
      <c r="K229" s="124" t="s">
        <v>50</v>
      </c>
      <c r="L229" s="106" t="s">
        <v>424</v>
      </c>
      <c r="M229" s="136"/>
    </row>
    <row r="230" spans="2:13" ht="22.15" customHeight="1">
      <c r="B230" s="86" t="s">
        <v>53</v>
      </c>
      <c r="C230" s="126" t="s">
        <v>549</v>
      </c>
      <c r="D230" s="126" t="s">
        <v>627</v>
      </c>
      <c r="E230" s="126" t="s">
        <v>45</v>
      </c>
      <c r="F230" s="123" t="s">
        <v>80</v>
      </c>
      <c r="G230" s="98" t="s">
        <v>167</v>
      </c>
      <c r="H230" s="134" t="s">
        <v>646</v>
      </c>
      <c r="I230" s="100" t="s">
        <v>647</v>
      </c>
      <c r="J230" s="100">
        <v>2</v>
      </c>
      <c r="K230" s="124" t="s">
        <v>50</v>
      </c>
      <c r="L230" s="106" t="s">
        <v>424</v>
      </c>
      <c r="M230" s="136"/>
    </row>
    <row r="231" spans="2:13" ht="22.15" customHeight="1">
      <c r="B231" s="86" t="s">
        <v>53</v>
      </c>
      <c r="C231" s="126" t="s">
        <v>549</v>
      </c>
      <c r="D231" s="126" t="s">
        <v>627</v>
      </c>
      <c r="E231" s="126" t="s">
        <v>45</v>
      </c>
      <c r="F231" s="123" t="s">
        <v>80</v>
      </c>
      <c r="G231" s="125" t="s">
        <v>178</v>
      </c>
      <c r="H231" s="138" t="s">
        <v>80</v>
      </c>
      <c r="I231" s="100" t="s">
        <v>648</v>
      </c>
      <c r="J231" s="100">
        <v>7</v>
      </c>
      <c r="K231" s="124" t="s">
        <v>50</v>
      </c>
      <c r="L231" s="106" t="s">
        <v>424</v>
      </c>
      <c r="M231" s="136"/>
    </row>
    <row r="232" spans="2:13" ht="22.15" customHeight="1">
      <c r="B232" s="86" t="s">
        <v>53</v>
      </c>
      <c r="C232" s="126" t="s">
        <v>549</v>
      </c>
      <c r="D232" s="126" t="s">
        <v>627</v>
      </c>
      <c r="E232" s="126" t="s">
        <v>45</v>
      </c>
      <c r="F232" s="123" t="s">
        <v>80</v>
      </c>
      <c r="G232" s="125" t="s">
        <v>178</v>
      </c>
      <c r="H232" s="138" t="s">
        <v>80</v>
      </c>
      <c r="I232" s="100" t="s">
        <v>649</v>
      </c>
      <c r="J232" s="100">
        <v>7</v>
      </c>
      <c r="K232" s="124" t="s">
        <v>50</v>
      </c>
      <c r="L232" s="106" t="s">
        <v>424</v>
      </c>
      <c r="M232" s="136"/>
    </row>
    <row r="233" spans="2:13" ht="22.15" customHeight="1">
      <c r="B233" s="305" t="s">
        <v>650</v>
      </c>
      <c r="C233" s="126" t="s">
        <v>549</v>
      </c>
      <c r="D233" s="133" t="s">
        <v>651</v>
      </c>
      <c r="E233" s="222" t="s">
        <v>45</v>
      </c>
      <c r="F233" s="123" t="s">
        <v>80</v>
      </c>
      <c r="G233" s="100" t="s">
        <v>652</v>
      </c>
      <c r="H233" s="138" t="s">
        <v>80</v>
      </c>
      <c r="I233" s="124" t="s">
        <v>653</v>
      </c>
      <c r="J233" s="100">
        <v>2</v>
      </c>
      <c r="K233" s="124" t="s">
        <v>50</v>
      </c>
      <c r="L233" s="306" t="s">
        <v>424</v>
      </c>
      <c r="M233" s="307"/>
    </row>
    <row r="234" spans="2:13" ht="22.15" customHeight="1">
      <c r="B234" s="305" t="s">
        <v>526</v>
      </c>
      <c r="C234" s="126" t="s">
        <v>549</v>
      </c>
      <c r="D234" s="133" t="s">
        <v>654</v>
      </c>
      <c r="E234" s="222" t="s">
        <v>45</v>
      </c>
      <c r="F234" s="47" t="s">
        <v>612</v>
      </c>
      <c r="G234" s="131" t="s">
        <v>655</v>
      </c>
      <c r="H234" s="132" t="s">
        <v>656</v>
      </c>
      <c r="I234" s="111" t="s">
        <v>657</v>
      </c>
      <c r="J234" s="131">
        <v>1</v>
      </c>
      <c r="K234" s="111" t="s">
        <v>50</v>
      </c>
      <c r="L234" s="308">
        <v>129.19999999999999</v>
      </c>
      <c r="M234" s="309"/>
    </row>
    <row r="235" spans="2:13" ht="22.15" customHeight="1">
      <c r="B235" s="305" t="s">
        <v>526</v>
      </c>
      <c r="C235" s="126" t="s">
        <v>549</v>
      </c>
      <c r="D235" s="133" t="s">
        <v>654</v>
      </c>
      <c r="E235" s="222" t="s">
        <v>45</v>
      </c>
      <c r="F235" s="47" t="s">
        <v>612</v>
      </c>
      <c r="G235" s="131" t="s">
        <v>655</v>
      </c>
      <c r="H235" s="132" t="s">
        <v>658</v>
      </c>
      <c r="I235" s="111" t="s">
        <v>659</v>
      </c>
      <c r="J235" s="131">
        <v>1</v>
      </c>
      <c r="K235" s="111" t="s">
        <v>50</v>
      </c>
      <c r="L235" s="308">
        <v>166.31</v>
      </c>
      <c r="M235" s="309"/>
    </row>
    <row r="236" spans="2:13" ht="22.15" customHeight="1">
      <c r="B236" s="305" t="s">
        <v>526</v>
      </c>
      <c r="C236" s="126" t="s">
        <v>549</v>
      </c>
      <c r="D236" s="133" t="s">
        <v>654</v>
      </c>
      <c r="E236" s="222" t="s">
        <v>45</v>
      </c>
      <c r="F236" s="47" t="s">
        <v>353</v>
      </c>
      <c r="G236" s="131" t="s">
        <v>255</v>
      </c>
      <c r="H236" s="132" t="s">
        <v>660</v>
      </c>
      <c r="I236" s="111" t="s">
        <v>661</v>
      </c>
      <c r="J236" s="131">
        <v>3</v>
      </c>
      <c r="K236" s="111" t="s">
        <v>50</v>
      </c>
      <c r="L236" s="308">
        <v>96.31</v>
      </c>
      <c r="M236" s="309"/>
    </row>
    <row r="237" spans="2:13" ht="22.15" customHeight="1">
      <c r="B237" s="305" t="s">
        <v>526</v>
      </c>
      <c r="C237" s="126" t="s">
        <v>549</v>
      </c>
      <c r="D237" s="133" t="s">
        <v>662</v>
      </c>
      <c r="E237" s="222" t="s">
        <v>45</v>
      </c>
      <c r="F237" s="123" t="s">
        <v>80</v>
      </c>
      <c r="G237" s="100" t="s">
        <v>255</v>
      </c>
      <c r="H237" s="134" t="s">
        <v>663</v>
      </c>
      <c r="I237" s="124" t="s">
        <v>664</v>
      </c>
      <c r="J237" s="100">
        <v>1</v>
      </c>
      <c r="K237" s="124" t="s">
        <v>50</v>
      </c>
      <c r="L237" s="306">
        <v>89.5</v>
      </c>
      <c r="M237" s="309"/>
    </row>
    <row r="238" spans="2:13" ht="22.15" customHeight="1">
      <c r="B238" s="305" t="s">
        <v>650</v>
      </c>
      <c r="C238" s="126" t="s">
        <v>549</v>
      </c>
      <c r="D238" s="133" t="s">
        <v>662</v>
      </c>
      <c r="E238" s="222" t="s">
        <v>45</v>
      </c>
      <c r="F238" s="123" t="s">
        <v>80</v>
      </c>
      <c r="G238" s="100" t="s">
        <v>165</v>
      </c>
      <c r="H238" s="138" t="s">
        <v>80</v>
      </c>
      <c r="I238" s="124" t="s">
        <v>665</v>
      </c>
      <c r="J238" s="100">
        <v>2</v>
      </c>
      <c r="K238" s="124" t="s">
        <v>50</v>
      </c>
      <c r="L238" s="306" t="s">
        <v>424</v>
      </c>
      <c r="M238" s="309"/>
    </row>
    <row r="239" spans="2:13" ht="22.15" customHeight="1">
      <c r="B239" s="305" t="s">
        <v>650</v>
      </c>
      <c r="C239" s="126" t="s">
        <v>549</v>
      </c>
      <c r="D239" s="133" t="s">
        <v>662</v>
      </c>
      <c r="E239" s="222" t="s">
        <v>45</v>
      </c>
      <c r="F239" s="123" t="s">
        <v>80</v>
      </c>
      <c r="G239" s="100" t="s">
        <v>666</v>
      </c>
      <c r="H239" s="138" t="s">
        <v>80</v>
      </c>
      <c r="I239" s="124" t="s">
        <v>667</v>
      </c>
      <c r="J239" s="100">
        <v>3</v>
      </c>
      <c r="K239" s="124" t="s">
        <v>50</v>
      </c>
      <c r="L239" s="306" t="s">
        <v>424</v>
      </c>
      <c r="M239" s="309"/>
    </row>
    <row r="240" spans="2:13" ht="22.15" customHeight="1">
      <c r="B240" s="305" t="s">
        <v>650</v>
      </c>
      <c r="C240" s="126" t="s">
        <v>549</v>
      </c>
      <c r="D240" s="133" t="s">
        <v>662</v>
      </c>
      <c r="E240" s="222" t="s">
        <v>45</v>
      </c>
      <c r="F240" s="123" t="s">
        <v>80</v>
      </c>
      <c r="G240" s="129" t="s">
        <v>300</v>
      </c>
      <c r="H240" s="138" t="s">
        <v>80</v>
      </c>
      <c r="I240" s="124" t="s">
        <v>668</v>
      </c>
      <c r="J240" s="100">
        <v>1</v>
      </c>
      <c r="K240" s="124" t="s">
        <v>50</v>
      </c>
      <c r="L240" s="306" t="s">
        <v>424</v>
      </c>
      <c r="M240" s="309"/>
    </row>
    <row r="241" spans="2:13" ht="22.15" customHeight="1">
      <c r="B241" s="305" t="s">
        <v>650</v>
      </c>
      <c r="C241" s="126" t="s">
        <v>549</v>
      </c>
      <c r="D241" s="133" t="s">
        <v>662</v>
      </c>
      <c r="E241" s="222" t="s">
        <v>45</v>
      </c>
      <c r="F241" s="123" t="s">
        <v>80</v>
      </c>
      <c r="G241" s="129" t="s">
        <v>300</v>
      </c>
      <c r="H241" s="138" t="s">
        <v>80</v>
      </c>
      <c r="I241" s="124" t="s">
        <v>669</v>
      </c>
      <c r="J241" s="100">
        <v>2</v>
      </c>
      <c r="K241" s="124" t="s">
        <v>50</v>
      </c>
      <c r="L241" s="306" t="s">
        <v>424</v>
      </c>
      <c r="M241" s="309"/>
    </row>
    <row r="242" spans="2:13" ht="22.15" customHeight="1">
      <c r="B242" s="305" t="s">
        <v>526</v>
      </c>
      <c r="C242" s="126" t="s">
        <v>549</v>
      </c>
      <c r="D242" s="133" t="s">
        <v>670</v>
      </c>
      <c r="E242" s="222" t="s">
        <v>45</v>
      </c>
      <c r="F242" s="123" t="s">
        <v>80</v>
      </c>
      <c r="G242" s="129" t="s">
        <v>192</v>
      </c>
      <c r="H242" s="138" t="s">
        <v>80</v>
      </c>
      <c r="I242" s="124" t="s">
        <v>671</v>
      </c>
      <c r="J242" s="100">
        <v>1</v>
      </c>
      <c r="K242" s="124" t="s">
        <v>50</v>
      </c>
      <c r="L242" s="306" t="s">
        <v>424</v>
      </c>
      <c r="M242" s="309"/>
    </row>
    <row r="243" spans="2:13" ht="22.15" customHeight="1">
      <c r="B243" s="305" t="s">
        <v>650</v>
      </c>
      <c r="C243" s="126" t="s">
        <v>549</v>
      </c>
      <c r="D243" s="133" t="s">
        <v>670</v>
      </c>
      <c r="E243" s="222" t="s">
        <v>45</v>
      </c>
      <c r="F243" s="47" t="s">
        <v>672</v>
      </c>
      <c r="G243" s="128" t="s">
        <v>200</v>
      </c>
      <c r="H243" s="14" t="s">
        <v>673</v>
      </c>
      <c r="I243" s="110" t="s">
        <v>674</v>
      </c>
      <c r="J243" s="13">
        <v>132</v>
      </c>
      <c r="K243" s="111" t="s">
        <v>50</v>
      </c>
      <c r="L243" s="308">
        <v>1.21</v>
      </c>
      <c r="M243" s="309"/>
    </row>
    <row r="244" spans="2:13" ht="22.15" customHeight="1">
      <c r="B244" s="305" t="s">
        <v>650</v>
      </c>
      <c r="C244" s="126" t="s">
        <v>549</v>
      </c>
      <c r="D244" s="133" t="s">
        <v>675</v>
      </c>
      <c r="E244" s="222" t="s">
        <v>45</v>
      </c>
      <c r="F244" s="123" t="s">
        <v>80</v>
      </c>
      <c r="G244" s="100" t="s">
        <v>666</v>
      </c>
      <c r="H244" s="134" t="s">
        <v>676</v>
      </c>
      <c r="I244" s="124" t="s">
        <v>677</v>
      </c>
      <c r="J244" s="100">
        <v>94</v>
      </c>
      <c r="K244" s="124" t="s">
        <v>50</v>
      </c>
      <c r="L244" s="306" t="s">
        <v>424</v>
      </c>
      <c r="M244" s="307"/>
    </row>
    <row r="245" spans="2:13" ht="22.15" customHeight="1">
      <c r="B245" s="305" t="s">
        <v>650</v>
      </c>
      <c r="C245" s="126" t="s">
        <v>549</v>
      </c>
      <c r="D245" s="133" t="s">
        <v>675</v>
      </c>
      <c r="E245" s="222" t="s">
        <v>45</v>
      </c>
      <c r="F245" s="123" t="s">
        <v>80</v>
      </c>
      <c r="G245" s="100" t="s">
        <v>666</v>
      </c>
      <c r="H245" s="138" t="s">
        <v>64</v>
      </c>
      <c r="I245" s="124" t="s">
        <v>65</v>
      </c>
      <c r="J245" s="100">
        <v>171</v>
      </c>
      <c r="K245" s="124" t="s">
        <v>50</v>
      </c>
      <c r="L245" s="306" t="s">
        <v>424</v>
      </c>
      <c r="M245" s="307"/>
    </row>
    <row r="246" spans="2:13" ht="22.15" customHeight="1">
      <c r="B246" s="305" t="s">
        <v>650</v>
      </c>
      <c r="C246" s="126" t="s">
        <v>549</v>
      </c>
      <c r="D246" s="133" t="s">
        <v>678</v>
      </c>
      <c r="E246" s="222" t="s">
        <v>45</v>
      </c>
      <c r="F246" s="47" t="s">
        <v>679</v>
      </c>
      <c r="G246" s="131" t="s">
        <v>680</v>
      </c>
      <c r="H246" s="132" t="s">
        <v>681</v>
      </c>
      <c r="I246" s="111" t="s">
        <v>682</v>
      </c>
      <c r="J246" s="131">
        <v>4</v>
      </c>
      <c r="K246" s="111" t="s">
        <v>50</v>
      </c>
      <c r="L246" s="308">
        <v>43.07</v>
      </c>
      <c r="M246" s="309" t="s">
        <v>683</v>
      </c>
    </row>
    <row r="247" spans="2:13" ht="22.15" customHeight="1">
      <c r="B247" s="305" t="s">
        <v>650</v>
      </c>
      <c r="C247" s="126" t="s">
        <v>549</v>
      </c>
      <c r="D247" s="133" t="s">
        <v>678</v>
      </c>
      <c r="E247" s="222" t="s">
        <v>45</v>
      </c>
      <c r="F247" s="47" t="s">
        <v>679</v>
      </c>
      <c r="G247" s="131" t="s">
        <v>684</v>
      </c>
      <c r="H247" s="132" t="s">
        <v>685</v>
      </c>
      <c r="I247" s="111" t="s">
        <v>682</v>
      </c>
      <c r="J247" s="131">
        <v>2</v>
      </c>
      <c r="K247" s="111" t="s">
        <v>50</v>
      </c>
      <c r="L247" s="308">
        <v>17.43</v>
      </c>
      <c r="M247" s="309" t="s">
        <v>686</v>
      </c>
    </row>
    <row r="248" spans="2:13" ht="22.15" customHeight="1">
      <c r="B248" s="305" t="s">
        <v>526</v>
      </c>
      <c r="C248" s="126" t="s">
        <v>549</v>
      </c>
      <c r="D248" s="133" t="s">
        <v>678</v>
      </c>
      <c r="E248" s="222" t="s">
        <v>45</v>
      </c>
      <c r="F248" s="123" t="s">
        <v>80</v>
      </c>
      <c r="G248" s="100" t="s">
        <v>192</v>
      </c>
      <c r="H248" s="138" t="s">
        <v>80</v>
      </c>
      <c r="I248" s="124" t="s">
        <v>687</v>
      </c>
      <c r="J248" s="100">
        <v>1</v>
      </c>
      <c r="K248" s="124" t="s">
        <v>50</v>
      </c>
      <c r="L248" s="306" t="s">
        <v>424</v>
      </c>
      <c r="M248" s="307" t="s">
        <v>688</v>
      </c>
    </row>
    <row r="249" spans="2:13" ht="22.15" customHeight="1">
      <c r="B249" s="305" t="s">
        <v>526</v>
      </c>
      <c r="C249" s="126" t="s">
        <v>549</v>
      </c>
      <c r="D249" s="133" t="s">
        <v>678</v>
      </c>
      <c r="E249" s="222" t="s">
        <v>45</v>
      </c>
      <c r="F249" s="123" t="s">
        <v>80</v>
      </c>
      <c r="G249" s="100" t="s">
        <v>192</v>
      </c>
      <c r="H249" s="138" t="s">
        <v>80</v>
      </c>
      <c r="I249" s="124" t="s">
        <v>689</v>
      </c>
      <c r="J249" s="100">
        <v>1</v>
      </c>
      <c r="K249" s="124" t="s">
        <v>50</v>
      </c>
      <c r="L249" s="306">
        <v>130</v>
      </c>
      <c r="M249" s="307" t="s">
        <v>690</v>
      </c>
    </row>
    <row r="250" spans="2:13" ht="22.15" customHeight="1">
      <c r="B250" s="305" t="s">
        <v>526</v>
      </c>
      <c r="C250" s="126" t="s">
        <v>549</v>
      </c>
      <c r="D250" s="133" t="s">
        <v>678</v>
      </c>
      <c r="E250" s="310" t="s">
        <v>45</v>
      </c>
      <c r="F250" s="311" t="s">
        <v>80</v>
      </c>
      <c r="G250" s="312" t="s">
        <v>192</v>
      </c>
      <c r="H250" s="313" t="s">
        <v>567</v>
      </c>
      <c r="I250" s="314" t="s">
        <v>691</v>
      </c>
      <c r="J250" s="312">
        <v>1</v>
      </c>
      <c r="K250" s="314" t="s">
        <v>50</v>
      </c>
      <c r="L250" s="315">
        <v>59</v>
      </c>
      <c r="M250" s="327" t="s">
        <v>692</v>
      </c>
    </row>
    <row r="251" spans="2:13" ht="22.15" customHeight="1">
      <c r="B251" s="305" t="s">
        <v>650</v>
      </c>
      <c r="C251" s="126" t="s">
        <v>549</v>
      </c>
      <c r="D251" s="133" t="s">
        <v>693</v>
      </c>
      <c r="E251" s="222" t="s">
        <v>45</v>
      </c>
      <c r="F251" s="123" t="s">
        <v>80</v>
      </c>
      <c r="G251" s="100" t="s">
        <v>694</v>
      </c>
      <c r="H251" s="138" t="s">
        <v>80</v>
      </c>
      <c r="I251" s="124" t="s">
        <v>695</v>
      </c>
      <c r="J251" s="100">
        <v>5</v>
      </c>
      <c r="K251" s="124" t="s">
        <v>50</v>
      </c>
      <c r="L251" s="306" t="s">
        <v>424</v>
      </c>
      <c r="M251" s="307" t="s">
        <v>688</v>
      </c>
    </row>
    <row r="252" spans="2:13" ht="22.15" customHeight="1">
      <c r="B252" s="305" t="s">
        <v>650</v>
      </c>
      <c r="C252" s="126" t="s">
        <v>549</v>
      </c>
      <c r="D252" s="133" t="s">
        <v>693</v>
      </c>
      <c r="E252" s="222" t="s">
        <v>45</v>
      </c>
      <c r="F252" s="123" t="s">
        <v>80</v>
      </c>
      <c r="G252" s="100" t="s">
        <v>195</v>
      </c>
      <c r="H252" s="138" t="s">
        <v>80</v>
      </c>
      <c r="I252" s="124" t="s">
        <v>696</v>
      </c>
      <c r="J252" s="100">
        <v>3</v>
      </c>
      <c r="K252" s="124" t="s">
        <v>50</v>
      </c>
      <c r="L252" s="306" t="s">
        <v>424</v>
      </c>
      <c r="M252" s="307" t="s">
        <v>688</v>
      </c>
    </row>
    <row r="253" spans="2:13" ht="22.15" customHeight="1">
      <c r="B253" s="305" t="s">
        <v>526</v>
      </c>
      <c r="C253" s="126" t="s">
        <v>549</v>
      </c>
      <c r="D253" s="133" t="s">
        <v>693</v>
      </c>
      <c r="E253" s="222" t="s">
        <v>45</v>
      </c>
      <c r="F253" s="123" t="s">
        <v>80</v>
      </c>
      <c r="G253" s="100" t="s">
        <v>192</v>
      </c>
      <c r="H253" s="138" t="s">
        <v>80</v>
      </c>
      <c r="I253" s="124" t="s">
        <v>697</v>
      </c>
      <c r="J253" s="100">
        <v>3</v>
      </c>
      <c r="K253" s="124" t="s">
        <v>50</v>
      </c>
      <c r="L253" s="306">
        <v>17.5</v>
      </c>
      <c r="M253" s="307" t="s">
        <v>688</v>
      </c>
    </row>
    <row r="254" spans="2:13" ht="22.15" customHeight="1">
      <c r="B254" s="305" t="s">
        <v>526</v>
      </c>
      <c r="C254" s="126" t="s">
        <v>549</v>
      </c>
      <c r="D254" s="133" t="s">
        <v>693</v>
      </c>
      <c r="E254" s="222" t="s">
        <v>45</v>
      </c>
      <c r="F254" s="123" t="s">
        <v>80</v>
      </c>
      <c r="G254" s="100" t="s">
        <v>192</v>
      </c>
      <c r="H254" s="138" t="s">
        <v>80</v>
      </c>
      <c r="I254" s="124" t="s">
        <v>698</v>
      </c>
      <c r="J254" s="100">
        <v>3</v>
      </c>
      <c r="K254" s="124" t="s">
        <v>50</v>
      </c>
      <c r="L254" s="306">
        <v>26</v>
      </c>
      <c r="M254" s="302" t="s">
        <v>699</v>
      </c>
    </row>
    <row r="255" spans="2:13" ht="22.15" customHeight="1">
      <c r="B255" s="305" t="s">
        <v>526</v>
      </c>
      <c r="C255" s="126" t="s">
        <v>549</v>
      </c>
      <c r="D255" s="133" t="s">
        <v>693</v>
      </c>
      <c r="E255" s="222" t="s">
        <v>45</v>
      </c>
      <c r="F255" s="123" t="s">
        <v>80</v>
      </c>
      <c r="G255" s="100" t="s">
        <v>192</v>
      </c>
      <c r="H255" s="138" t="s">
        <v>80</v>
      </c>
      <c r="I255" s="124" t="s">
        <v>700</v>
      </c>
      <c r="J255" s="100">
        <v>1</v>
      </c>
      <c r="K255" s="124" t="s">
        <v>50</v>
      </c>
      <c r="L255" s="306" t="s">
        <v>424</v>
      </c>
      <c r="M255" s="307" t="s">
        <v>688</v>
      </c>
    </row>
    <row r="256" spans="2:13" ht="22.15" customHeight="1">
      <c r="B256" s="305" t="s">
        <v>526</v>
      </c>
      <c r="C256" s="126" t="s">
        <v>549</v>
      </c>
      <c r="D256" s="133" t="s">
        <v>693</v>
      </c>
      <c r="E256" s="222" t="s">
        <v>45</v>
      </c>
      <c r="F256" s="123" t="s">
        <v>80</v>
      </c>
      <c r="G256" s="100" t="s">
        <v>192</v>
      </c>
      <c r="H256" s="138" t="s">
        <v>80</v>
      </c>
      <c r="I256" s="124" t="s">
        <v>701</v>
      </c>
      <c r="J256" s="100">
        <v>1</v>
      </c>
      <c r="K256" s="124" t="s">
        <v>50</v>
      </c>
      <c r="L256" s="306" t="s">
        <v>424</v>
      </c>
      <c r="M256" s="307" t="s">
        <v>688</v>
      </c>
    </row>
    <row r="257" spans="2:13" ht="22.15" customHeight="1">
      <c r="B257" s="305" t="s">
        <v>526</v>
      </c>
      <c r="C257" s="126" t="s">
        <v>549</v>
      </c>
      <c r="D257" s="133" t="s">
        <v>693</v>
      </c>
      <c r="E257" s="222" t="s">
        <v>45</v>
      </c>
      <c r="F257" s="123" t="s">
        <v>80</v>
      </c>
      <c r="G257" s="100" t="s">
        <v>192</v>
      </c>
      <c r="H257" s="138" t="s">
        <v>80</v>
      </c>
      <c r="I257" s="124" t="s">
        <v>702</v>
      </c>
      <c r="J257" s="100">
        <v>2</v>
      </c>
      <c r="K257" s="124" t="s">
        <v>50</v>
      </c>
      <c r="L257" s="306" t="s">
        <v>424</v>
      </c>
      <c r="M257" s="302" t="s">
        <v>703</v>
      </c>
    </row>
    <row r="258" spans="2:13" ht="22.15" customHeight="1">
      <c r="B258" s="305" t="s">
        <v>650</v>
      </c>
      <c r="C258" s="126" t="s">
        <v>549</v>
      </c>
      <c r="D258" s="133" t="s">
        <v>693</v>
      </c>
      <c r="E258" s="222" t="s">
        <v>45</v>
      </c>
      <c r="F258" s="123" t="s">
        <v>80</v>
      </c>
      <c r="G258" s="100" t="s">
        <v>704</v>
      </c>
      <c r="H258" s="138" t="s">
        <v>80</v>
      </c>
      <c r="I258" s="124" t="s">
        <v>629</v>
      </c>
      <c r="J258" s="100">
        <v>1</v>
      </c>
      <c r="K258" s="124" t="s">
        <v>50</v>
      </c>
      <c r="L258" s="306" t="s">
        <v>424</v>
      </c>
      <c r="M258" s="307" t="s">
        <v>688</v>
      </c>
    </row>
    <row r="259" spans="2:13" ht="22.15" customHeight="1">
      <c r="B259" s="305" t="s">
        <v>650</v>
      </c>
      <c r="C259" s="126" t="s">
        <v>549</v>
      </c>
      <c r="D259" s="133" t="s">
        <v>693</v>
      </c>
      <c r="E259" s="222" t="s">
        <v>45</v>
      </c>
      <c r="F259" s="123" t="s">
        <v>80</v>
      </c>
      <c r="G259" s="100" t="s">
        <v>666</v>
      </c>
      <c r="H259" s="138" t="s">
        <v>80</v>
      </c>
      <c r="I259" s="124" t="s">
        <v>629</v>
      </c>
      <c r="J259" s="100">
        <v>1</v>
      </c>
      <c r="K259" s="124" t="s">
        <v>50</v>
      </c>
      <c r="L259" s="306" t="s">
        <v>424</v>
      </c>
      <c r="M259" s="307" t="s">
        <v>688</v>
      </c>
    </row>
    <row r="260" spans="2:13" ht="22.15" customHeight="1">
      <c r="B260" s="305" t="s">
        <v>526</v>
      </c>
      <c r="C260" s="126" t="s">
        <v>549</v>
      </c>
      <c r="D260" s="133" t="s">
        <v>693</v>
      </c>
      <c r="E260" s="222" t="s">
        <v>45</v>
      </c>
      <c r="F260" s="123" t="s">
        <v>80</v>
      </c>
      <c r="G260" s="100" t="s">
        <v>192</v>
      </c>
      <c r="H260" s="138" t="s">
        <v>80</v>
      </c>
      <c r="I260" s="124" t="s">
        <v>705</v>
      </c>
      <c r="J260" s="100">
        <v>2</v>
      </c>
      <c r="K260" s="124" t="s">
        <v>50</v>
      </c>
      <c r="L260" s="306" t="s">
        <v>424</v>
      </c>
      <c r="M260" s="302" t="s">
        <v>706</v>
      </c>
    </row>
    <row r="261" spans="2:13" ht="22.15" customHeight="1">
      <c r="B261" s="305" t="s">
        <v>650</v>
      </c>
      <c r="C261" s="126" t="s">
        <v>549</v>
      </c>
      <c r="D261" s="133" t="s">
        <v>693</v>
      </c>
      <c r="E261" s="222" t="s">
        <v>45</v>
      </c>
      <c r="F261" s="123" t="s">
        <v>80</v>
      </c>
      <c r="G261" s="100" t="s">
        <v>704</v>
      </c>
      <c r="H261" s="138" t="s">
        <v>80</v>
      </c>
      <c r="I261" s="124" t="s">
        <v>707</v>
      </c>
      <c r="J261" s="100">
        <v>1</v>
      </c>
      <c r="K261" s="124" t="s">
        <v>50</v>
      </c>
      <c r="L261" s="306" t="s">
        <v>424</v>
      </c>
      <c r="M261" s="307" t="s">
        <v>688</v>
      </c>
    </row>
    <row r="262" spans="2:13" ht="22.15" customHeight="1">
      <c r="B262" s="305" t="s">
        <v>526</v>
      </c>
      <c r="C262" s="126" t="s">
        <v>549</v>
      </c>
      <c r="D262" s="133" t="s">
        <v>693</v>
      </c>
      <c r="E262" s="222" t="s">
        <v>45</v>
      </c>
      <c r="F262" s="123" t="s">
        <v>80</v>
      </c>
      <c r="G262" s="100" t="s">
        <v>192</v>
      </c>
      <c r="H262" s="134" t="s">
        <v>708</v>
      </c>
      <c r="I262" s="124" t="s">
        <v>709</v>
      </c>
      <c r="J262" s="100">
        <v>1</v>
      </c>
      <c r="K262" s="124" t="s">
        <v>50</v>
      </c>
      <c r="L262" s="306" t="s">
        <v>424</v>
      </c>
      <c r="M262" s="307" t="s">
        <v>688</v>
      </c>
    </row>
    <row r="263" spans="2:13" ht="22.15" customHeight="1">
      <c r="B263" s="305" t="s">
        <v>66</v>
      </c>
      <c r="C263" s="126" t="s">
        <v>710</v>
      </c>
      <c r="D263" s="133" t="s">
        <v>711</v>
      </c>
      <c r="E263" s="222" t="s">
        <v>45</v>
      </c>
      <c r="F263" s="87" t="s">
        <v>164</v>
      </c>
      <c r="G263" s="131" t="s">
        <v>116</v>
      </c>
      <c r="H263" s="117" t="s">
        <v>712</v>
      </c>
      <c r="I263" s="87" t="s">
        <v>713</v>
      </c>
      <c r="J263" s="131">
        <v>37</v>
      </c>
      <c r="K263" s="111" t="s">
        <v>714</v>
      </c>
      <c r="L263" s="308">
        <v>25</v>
      </c>
      <c r="M263" s="309" t="s">
        <v>688</v>
      </c>
    </row>
    <row r="264" spans="2:13" ht="22.15" customHeight="1">
      <c r="B264" s="305" t="s">
        <v>66</v>
      </c>
      <c r="C264" s="126" t="s">
        <v>710</v>
      </c>
      <c r="D264" s="133" t="s">
        <v>715</v>
      </c>
      <c r="E264" s="222" t="s">
        <v>45</v>
      </c>
      <c r="F264" s="87" t="s">
        <v>164</v>
      </c>
      <c r="G264" s="131" t="s">
        <v>116</v>
      </c>
      <c r="H264" s="117" t="s">
        <v>712</v>
      </c>
      <c r="I264" s="87" t="s">
        <v>713</v>
      </c>
      <c r="J264" s="131">
        <v>40</v>
      </c>
      <c r="K264" s="111" t="s">
        <v>714</v>
      </c>
      <c r="L264" s="308">
        <v>25</v>
      </c>
      <c r="M264" s="309" t="s">
        <v>688</v>
      </c>
    </row>
    <row r="265" spans="2:13" ht="22.15" customHeight="1">
      <c r="B265" s="305" t="s">
        <v>66</v>
      </c>
      <c r="C265" s="126" t="s">
        <v>710</v>
      </c>
      <c r="D265" s="133" t="s">
        <v>716</v>
      </c>
      <c r="E265" s="222" t="s">
        <v>45</v>
      </c>
      <c r="F265" s="87" t="s">
        <v>164</v>
      </c>
      <c r="G265" s="131" t="s">
        <v>116</v>
      </c>
      <c r="H265" s="117" t="s">
        <v>712</v>
      </c>
      <c r="I265" s="87" t="s">
        <v>713</v>
      </c>
      <c r="J265" s="131">
        <v>40</v>
      </c>
      <c r="K265" s="111" t="s">
        <v>714</v>
      </c>
      <c r="L265" s="308">
        <v>25</v>
      </c>
      <c r="M265" s="309" t="s">
        <v>688</v>
      </c>
    </row>
    <row r="266" spans="2:13" ht="22.15" customHeight="1">
      <c r="B266" s="305" t="s">
        <v>66</v>
      </c>
      <c r="C266" s="126" t="s">
        <v>710</v>
      </c>
      <c r="D266" s="133" t="s">
        <v>717</v>
      </c>
      <c r="E266" s="222" t="s">
        <v>45</v>
      </c>
      <c r="F266" s="87" t="s">
        <v>164</v>
      </c>
      <c r="G266" s="131" t="s">
        <v>718</v>
      </c>
      <c r="H266" s="117" t="s">
        <v>712</v>
      </c>
      <c r="I266" s="87" t="s">
        <v>713</v>
      </c>
      <c r="J266" s="131">
        <v>25</v>
      </c>
      <c r="K266" s="111" t="s">
        <v>714</v>
      </c>
      <c r="L266" s="308">
        <v>25</v>
      </c>
      <c r="M266" s="309" t="s">
        <v>688</v>
      </c>
    </row>
    <row r="267" spans="2:13" ht="22.15" customHeight="1">
      <c r="B267" s="305" t="s">
        <v>66</v>
      </c>
      <c r="C267" s="126" t="s">
        <v>710</v>
      </c>
      <c r="D267" s="133" t="s">
        <v>719</v>
      </c>
      <c r="E267" s="222" t="s">
        <v>45</v>
      </c>
      <c r="F267" s="87" t="s">
        <v>164</v>
      </c>
      <c r="G267" s="131" t="s">
        <v>720</v>
      </c>
      <c r="H267" s="117" t="s">
        <v>712</v>
      </c>
      <c r="I267" s="87" t="s">
        <v>713</v>
      </c>
      <c r="J267" s="131">
        <v>17</v>
      </c>
      <c r="K267" s="111" t="s">
        <v>714</v>
      </c>
      <c r="L267" s="308">
        <v>20</v>
      </c>
      <c r="M267" s="309" t="s">
        <v>721</v>
      </c>
    </row>
    <row r="268" spans="2:13" ht="22.15" customHeight="1">
      <c r="B268" s="305" t="s">
        <v>66</v>
      </c>
      <c r="C268" s="126" t="s">
        <v>710</v>
      </c>
      <c r="D268" s="133" t="s">
        <v>722</v>
      </c>
      <c r="E268" s="222" t="s">
        <v>45</v>
      </c>
      <c r="F268" s="87" t="s">
        <v>164</v>
      </c>
      <c r="G268" s="131" t="s">
        <v>158</v>
      </c>
      <c r="H268" s="117" t="s">
        <v>712</v>
      </c>
      <c r="I268" s="87" t="s">
        <v>713</v>
      </c>
      <c r="J268" s="131">
        <v>3</v>
      </c>
      <c r="K268" s="111" t="s">
        <v>714</v>
      </c>
      <c r="L268" s="308">
        <v>25</v>
      </c>
      <c r="M268" s="309" t="s">
        <v>688</v>
      </c>
    </row>
    <row r="269" spans="2:13" ht="22.15" customHeight="1">
      <c r="B269" s="305" t="s">
        <v>66</v>
      </c>
      <c r="C269" s="126" t="s">
        <v>710</v>
      </c>
      <c r="D269" s="133" t="s">
        <v>722</v>
      </c>
      <c r="E269" s="222" t="s">
        <v>45</v>
      </c>
      <c r="F269" s="87" t="s">
        <v>164</v>
      </c>
      <c r="G269" s="131" t="s">
        <v>206</v>
      </c>
      <c r="H269" s="117" t="s">
        <v>712</v>
      </c>
      <c r="I269" s="87" t="s">
        <v>723</v>
      </c>
      <c r="J269" s="131">
        <v>32</v>
      </c>
      <c r="K269" s="111" t="s">
        <v>724</v>
      </c>
      <c r="L269" s="308">
        <v>25</v>
      </c>
      <c r="M269" s="309"/>
    </row>
    <row r="270" spans="2:13" ht="22.15" customHeight="1">
      <c r="B270" s="305" t="s">
        <v>66</v>
      </c>
      <c r="C270" s="126" t="s">
        <v>710</v>
      </c>
      <c r="D270" s="133" t="s">
        <v>722</v>
      </c>
      <c r="E270" s="222" t="s">
        <v>45</v>
      </c>
      <c r="F270" s="87" t="s">
        <v>164</v>
      </c>
      <c r="G270" s="131" t="s">
        <v>206</v>
      </c>
      <c r="H270" s="117" t="s">
        <v>712</v>
      </c>
      <c r="I270" s="87" t="s">
        <v>723</v>
      </c>
      <c r="J270" s="131">
        <v>27</v>
      </c>
      <c r="K270" s="111" t="s">
        <v>724</v>
      </c>
      <c r="L270" s="308">
        <v>25</v>
      </c>
      <c r="M270" s="309"/>
    </row>
    <row r="271" spans="2:13" ht="22.15" customHeight="1">
      <c r="B271" s="305" t="s">
        <v>66</v>
      </c>
      <c r="C271" s="126" t="s">
        <v>710</v>
      </c>
      <c r="D271" s="133" t="s">
        <v>725</v>
      </c>
      <c r="E271" s="222" t="s">
        <v>45</v>
      </c>
      <c r="F271" s="87" t="s">
        <v>164</v>
      </c>
      <c r="G271" s="131" t="s">
        <v>726</v>
      </c>
      <c r="H271" s="117" t="s">
        <v>712</v>
      </c>
      <c r="I271" s="87" t="s">
        <v>713</v>
      </c>
      <c r="J271" s="131">
        <v>1</v>
      </c>
      <c r="K271" s="111" t="s">
        <v>714</v>
      </c>
      <c r="L271" s="308">
        <v>25</v>
      </c>
      <c r="M271" s="309" t="s">
        <v>727</v>
      </c>
    </row>
    <row r="272" spans="2:13" ht="22.15" customHeight="1">
      <c r="B272" s="305" t="s">
        <v>66</v>
      </c>
      <c r="C272" s="126" t="s">
        <v>710</v>
      </c>
      <c r="D272" s="133" t="s">
        <v>725</v>
      </c>
      <c r="E272" s="222" t="s">
        <v>45</v>
      </c>
      <c r="F272" s="87" t="s">
        <v>164</v>
      </c>
      <c r="G272" s="131" t="s">
        <v>728</v>
      </c>
      <c r="H272" s="117" t="s">
        <v>712</v>
      </c>
      <c r="I272" s="87" t="s">
        <v>713</v>
      </c>
      <c r="J272" s="131">
        <v>1</v>
      </c>
      <c r="K272" s="111" t="s">
        <v>714</v>
      </c>
      <c r="L272" s="308">
        <v>25</v>
      </c>
      <c r="M272" s="309" t="s">
        <v>729</v>
      </c>
    </row>
    <row r="273" spans="2:14" ht="22.15" customHeight="1">
      <c r="B273" s="305" t="s">
        <v>66</v>
      </c>
      <c r="C273" s="126" t="s">
        <v>710</v>
      </c>
      <c r="D273" s="133" t="s">
        <v>725</v>
      </c>
      <c r="E273" s="222" t="s">
        <v>45</v>
      </c>
      <c r="F273" s="87" t="s">
        <v>164</v>
      </c>
      <c r="G273" s="131" t="s">
        <v>730</v>
      </c>
      <c r="H273" s="117" t="s">
        <v>712</v>
      </c>
      <c r="I273" s="87" t="s">
        <v>713</v>
      </c>
      <c r="J273" s="131">
        <v>4</v>
      </c>
      <c r="K273" s="111" t="s">
        <v>714</v>
      </c>
      <c r="L273" s="308">
        <v>25</v>
      </c>
      <c r="M273" s="193" t="s">
        <v>731</v>
      </c>
    </row>
    <row r="274" spans="2:14" ht="22.15" customHeight="1">
      <c r="B274" s="305" t="s">
        <v>66</v>
      </c>
      <c r="C274" s="126" t="s">
        <v>710</v>
      </c>
      <c r="D274" s="133" t="s">
        <v>725</v>
      </c>
      <c r="E274" s="222" t="s">
        <v>45</v>
      </c>
      <c r="F274" s="87" t="s">
        <v>164</v>
      </c>
      <c r="G274" s="131" t="s">
        <v>207</v>
      </c>
      <c r="H274" s="117" t="s">
        <v>712</v>
      </c>
      <c r="I274" s="87" t="s">
        <v>713</v>
      </c>
      <c r="J274" s="131">
        <v>5</v>
      </c>
      <c r="K274" s="111" t="s">
        <v>714</v>
      </c>
      <c r="L274" s="308">
        <v>25</v>
      </c>
      <c r="M274" s="193" t="s">
        <v>732</v>
      </c>
    </row>
    <row r="275" spans="2:14" ht="22.15" customHeight="1">
      <c r="B275" s="305" t="s">
        <v>66</v>
      </c>
      <c r="C275" s="126" t="s">
        <v>710</v>
      </c>
      <c r="D275" s="133" t="s">
        <v>733</v>
      </c>
      <c r="E275" s="222" t="s">
        <v>45</v>
      </c>
      <c r="F275" s="87" t="s">
        <v>164</v>
      </c>
      <c r="G275" s="131" t="s">
        <v>190</v>
      </c>
      <c r="H275" s="117" t="s">
        <v>712</v>
      </c>
      <c r="I275" s="87" t="s">
        <v>713</v>
      </c>
      <c r="J275" s="131">
        <v>14</v>
      </c>
      <c r="K275" s="111" t="s">
        <v>714</v>
      </c>
      <c r="L275" s="308">
        <v>25</v>
      </c>
      <c r="M275" s="309" t="s">
        <v>688</v>
      </c>
    </row>
    <row r="276" spans="2:14" ht="22.15" customHeight="1">
      <c r="B276" s="305" t="s">
        <v>59</v>
      </c>
      <c r="C276" s="126" t="s">
        <v>232</v>
      </c>
      <c r="D276" s="133" t="s">
        <v>734</v>
      </c>
      <c r="E276" s="222" t="s">
        <v>45</v>
      </c>
      <c r="F276" s="123" t="s">
        <v>80</v>
      </c>
      <c r="G276" s="100" t="s">
        <v>165</v>
      </c>
      <c r="H276" s="134" t="s">
        <v>735</v>
      </c>
      <c r="I276" s="124" t="s">
        <v>736</v>
      </c>
      <c r="J276" s="100">
        <v>2</v>
      </c>
      <c r="K276" s="124" t="s">
        <v>50</v>
      </c>
      <c r="L276" s="306" t="s">
        <v>341</v>
      </c>
      <c r="M276" s="307" t="s">
        <v>688</v>
      </c>
    </row>
    <row r="277" spans="2:14" ht="22.15" customHeight="1">
      <c r="B277" s="305" t="s">
        <v>59</v>
      </c>
      <c r="C277" s="332" t="s">
        <v>232</v>
      </c>
      <c r="D277" s="344" t="s">
        <v>739</v>
      </c>
      <c r="E277" s="360" t="s">
        <v>45</v>
      </c>
      <c r="F277" s="361" t="s">
        <v>80</v>
      </c>
      <c r="G277" s="335" t="s">
        <v>300</v>
      </c>
      <c r="H277" s="347" t="s">
        <v>740</v>
      </c>
      <c r="I277" s="362" t="s">
        <v>424</v>
      </c>
      <c r="J277" s="335">
        <v>5</v>
      </c>
      <c r="K277" s="363" t="s">
        <v>50</v>
      </c>
      <c r="L277" s="364" t="s">
        <v>424</v>
      </c>
      <c r="M277" s="339" t="s">
        <v>741</v>
      </c>
      <c r="N277" s="116" t="s">
        <v>742</v>
      </c>
    </row>
    <row r="278" spans="2:14" ht="22.15" customHeight="1">
      <c r="B278" s="305" t="s">
        <v>59</v>
      </c>
      <c r="C278" s="126" t="s">
        <v>232</v>
      </c>
      <c r="D278" s="133" t="s">
        <v>734</v>
      </c>
      <c r="E278" s="222" t="s">
        <v>45</v>
      </c>
      <c r="F278" s="123" t="s">
        <v>80</v>
      </c>
      <c r="G278" s="100" t="s">
        <v>180</v>
      </c>
      <c r="H278" s="134" t="s">
        <v>743</v>
      </c>
      <c r="I278" s="123" t="s">
        <v>80</v>
      </c>
      <c r="J278" s="100">
        <v>2</v>
      </c>
      <c r="K278" s="124" t="s">
        <v>50</v>
      </c>
      <c r="L278" s="306" t="s">
        <v>341</v>
      </c>
      <c r="M278" s="307" t="s">
        <v>741</v>
      </c>
    </row>
    <row r="279" spans="2:14" ht="22.15" customHeight="1">
      <c r="B279" s="305" t="s">
        <v>59</v>
      </c>
      <c r="C279" s="126" t="s">
        <v>232</v>
      </c>
      <c r="D279" s="133" t="s">
        <v>734</v>
      </c>
      <c r="E279" s="222" t="s">
        <v>45</v>
      </c>
      <c r="F279" s="134" t="s">
        <v>551</v>
      </c>
      <c r="G279" s="100" t="s">
        <v>180</v>
      </c>
      <c r="H279" s="138" t="s">
        <v>80</v>
      </c>
      <c r="I279" s="123" t="s">
        <v>80</v>
      </c>
      <c r="J279" s="100">
        <v>2</v>
      </c>
      <c r="K279" s="124" t="s">
        <v>50</v>
      </c>
      <c r="L279" s="306" t="s">
        <v>341</v>
      </c>
      <c r="M279" s="307" t="s">
        <v>741</v>
      </c>
    </row>
    <row r="280" spans="2:14" ht="22.15" customHeight="1">
      <c r="B280" s="305" t="s">
        <v>59</v>
      </c>
      <c r="C280" s="126" t="s">
        <v>232</v>
      </c>
      <c r="D280" s="133" t="s">
        <v>734</v>
      </c>
      <c r="E280" s="222" t="s">
        <v>45</v>
      </c>
      <c r="F280" s="134" t="s">
        <v>551</v>
      </c>
      <c r="G280" s="100" t="s">
        <v>180</v>
      </c>
      <c r="H280" s="134" t="s">
        <v>744</v>
      </c>
      <c r="I280" s="123" t="s">
        <v>80</v>
      </c>
      <c r="J280" s="100">
        <v>1</v>
      </c>
      <c r="K280" s="124" t="s">
        <v>50</v>
      </c>
      <c r="L280" s="306" t="s">
        <v>341</v>
      </c>
      <c r="M280" s="307" t="s">
        <v>741</v>
      </c>
    </row>
    <row r="281" spans="2:14" ht="22.15" customHeight="1">
      <c r="B281" s="305" t="s">
        <v>59</v>
      </c>
      <c r="C281" s="126" t="s">
        <v>232</v>
      </c>
      <c r="D281" s="133" t="s">
        <v>734</v>
      </c>
      <c r="E281" s="222" t="s">
        <v>45</v>
      </c>
      <c r="F281" s="134" t="s">
        <v>551</v>
      </c>
      <c r="G281" s="100" t="s">
        <v>180</v>
      </c>
      <c r="H281" s="138" t="s">
        <v>80</v>
      </c>
      <c r="I281" s="123" t="s">
        <v>80</v>
      </c>
      <c r="J281" s="100">
        <v>5</v>
      </c>
      <c r="K281" s="124" t="s">
        <v>50</v>
      </c>
      <c r="L281" s="306" t="s">
        <v>341</v>
      </c>
      <c r="M281" s="307" t="s">
        <v>741</v>
      </c>
    </row>
    <row r="282" spans="2:14" ht="22.15" customHeight="1">
      <c r="B282" s="408" t="s">
        <v>1946</v>
      </c>
      <c r="C282" s="405" t="s">
        <v>232</v>
      </c>
      <c r="D282" s="406" t="s">
        <v>734</v>
      </c>
      <c r="E282" s="409" t="s">
        <v>45</v>
      </c>
      <c r="F282" s="410" t="s">
        <v>1947</v>
      </c>
      <c r="G282" s="411" t="s">
        <v>195</v>
      </c>
      <c r="H282" s="412" t="s">
        <v>1948</v>
      </c>
      <c r="I282" s="413" t="s">
        <v>80</v>
      </c>
      <c r="J282" s="414">
        <v>2</v>
      </c>
      <c r="K282" s="415" t="s">
        <v>1944</v>
      </c>
      <c r="L282" s="416">
        <v>12.97</v>
      </c>
      <c r="M282" s="417"/>
      <c r="N282" s="407" t="s">
        <v>1945</v>
      </c>
    </row>
    <row r="283" spans="2:14" ht="22.15" customHeight="1">
      <c r="B283" s="305" t="s">
        <v>59</v>
      </c>
      <c r="C283" s="126" t="s">
        <v>232</v>
      </c>
      <c r="D283" s="133" t="s">
        <v>745</v>
      </c>
      <c r="E283" s="222" t="s">
        <v>45</v>
      </c>
      <c r="F283" s="123" t="s">
        <v>80</v>
      </c>
      <c r="G283" s="100" t="s">
        <v>746</v>
      </c>
      <c r="H283" s="134" t="s">
        <v>747</v>
      </c>
      <c r="I283" s="124" t="s">
        <v>748</v>
      </c>
      <c r="J283" s="100">
        <v>2</v>
      </c>
      <c r="K283" s="124" t="s">
        <v>50</v>
      </c>
      <c r="L283" s="306" t="s">
        <v>341</v>
      </c>
      <c r="M283" s="307" t="s">
        <v>688</v>
      </c>
    </row>
    <row r="284" spans="2:14" ht="22.15" customHeight="1">
      <c r="B284" s="305" t="s">
        <v>53</v>
      </c>
      <c r="C284" s="126" t="s">
        <v>232</v>
      </c>
      <c r="D284" s="133" t="s">
        <v>745</v>
      </c>
      <c r="E284" s="222" t="s">
        <v>45</v>
      </c>
      <c r="F284" s="123" t="s">
        <v>80</v>
      </c>
      <c r="G284" s="100" t="s">
        <v>749</v>
      </c>
      <c r="H284" s="134" t="s">
        <v>750</v>
      </c>
      <c r="I284" s="124" t="s">
        <v>751</v>
      </c>
      <c r="J284" s="100">
        <v>2</v>
      </c>
      <c r="K284" s="124" t="s">
        <v>50</v>
      </c>
      <c r="L284" s="306" t="s">
        <v>341</v>
      </c>
      <c r="M284" s="307" t="s">
        <v>688</v>
      </c>
    </row>
    <row r="285" spans="2:14" ht="22.15" customHeight="1">
      <c r="B285" s="305" t="s">
        <v>53</v>
      </c>
      <c r="C285" s="126" t="s">
        <v>232</v>
      </c>
      <c r="D285" s="133" t="s">
        <v>745</v>
      </c>
      <c r="E285" s="222" t="s">
        <v>45</v>
      </c>
      <c r="F285" s="123" t="s">
        <v>80</v>
      </c>
      <c r="G285" s="100" t="s">
        <v>195</v>
      </c>
      <c r="H285" s="138" t="s">
        <v>80</v>
      </c>
      <c r="I285" s="124" t="s">
        <v>293</v>
      </c>
      <c r="J285" s="100">
        <v>2</v>
      </c>
      <c r="K285" s="124" t="s">
        <v>50</v>
      </c>
      <c r="L285" s="306" t="s">
        <v>341</v>
      </c>
      <c r="M285" s="307" t="s">
        <v>688</v>
      </c>
    </row>
    <row r="286" spans="2:14" ht="22.15" customHeight="1">
      <c r="B286" s="305" t="s">
        <v>59</v>
      </c>
      <c r="C286" s="126" t="s">
        <v>232</v>
      </c>
      <c r="D286" s="133" t="s">
        <v>745</v>
      </c>
      <c r="E286" s="222" t="s">
        <v>45</v>
      </c>
      <c r="F286" s="123" t="s">
        <v>80</v>
      </c>
      <c r="G286" s="100" t="s">
        <v>180</v>
      </c>
      <c r="H286" s="134" t="s">
        <v>752</v>
      </c>
      <c r="I286" s="124" t="s">
        <v>753</v>
      </c>
      <c r="J286" s="100">
        <v>1</v>
      </c>
      <c r="K286" s="124" t="s">
        <v>50</v>
      </c>
      <c r="L286" s="306" t="s">
        <v>341</v>
      </c>
      <c r="M286" s="307" t="s">
        <v>688</v>
      </c>
    </row>
    <row r="287" spans="2:14" ht="22.15" customHeight="1">
      <c r="B287" s="305" t="s">
        <v>53</v>
      </c>
      <c r="C287" s="126" t="s">
        <v>232</v>
      </c>
      <c r="D287" s="133" t="s">
        <v>745</v>
      </c>
      <c r="E287" s="222" t="s">
        <v>45</v>
      </c>
      <c r="F287" s="123" t="s">
        <v>80</v>
      </c>
      <c r="G287" s="100" t="s">
        <v>749</v>
      </c>
      <c r="H287" s="134" t="s">
        <v>754</v>
      </c>
      <c r="I287" s="124" t="s">
        <v>755</v>
      </c>
      <c r="J287" s="100">
        <v>1</v>
      </c>
      <c r="K287" s="124" t="s">
        <v>50</v>
      </c>
      <c r="L287" s="306" t="s">
        <v>341</v>
      </c>
      <c r="M287" s="307" t="s">
        <v>688</v>
      </c>
    </row>
    <row r="288" spans="2:14" ht="22.15" customHeight="1">
      <c r="B288" s="316" t="s">
        <v>53</v>
      </c>
      <c r="C288" s="317" t="s">
        <v>232</v>
      </c>
      <c r="D288" s="133" t="s">
        <v>745</v>
      </c>
      <c r="E288" s="211" t="s">
        <v>45</v>
      </c>
      <c r="F288" s="123" t="s">
        <v>80</v>
      </c>
      <c r="G288" s="100" t="s">
        <v>195</v>
      </c>
      <c r="H288" s="138" t="s">
        <v>80</v>
      </c>
      <c r="I288" s="123" t="s">
        <v>80</v>
      </c>
      <c r="J288" s="318">
        <v>1</v>
      </c>
      <c r="K288" s="124" t="s">
        <v>50</v>
      </c>
      <c r="L288" s="319" t="s">
        <v>341</v>
      </c>
      <c r="M288" s="320" t="s">
        <v>756</v>
      </c>
    </row>
    <row r="289" spans="2:13" ht="22.15" customHeight="1">
      <c r="B289" s="305" t="s">
        <v>650</v>
      </c>
      <c r="C289" s="368" t="s">
        <v>1929</v>
      </c>
      <c r="D289" s="133" t="s">
        <v>757</v>
      </c>
      <c r="E289" s="222" t="s">
        <v>45</v>
      </c>
      <c r="F289" s="132" t="s">
        <v>330</v>
      </c>
      <c r="G289" s="131" t="s">
        <v>749</v>
      </c>
      <c r="H289" s="255" t="s">
        <v>361</v>
      </c>
      <c r="I289" s="13" t="s">
        <v>362</v>
      </c>
      <c r="J289" s="131">
        <v>4</v>
      </c>
      <c r="K289" s="111" t="s">
        <v>50</v>
      </c>
      <c r="L289" s="308">
        <v>313.2</v>
      </c>
      <c r="M289" s="309"/>
    </row>
    <row r="290" spans="2:13" ht="22.15" customHeight="1">
      <c r="B290" s="305" t="s">
        <v>53</v>
      </c>
      <c r="C290" s="368" t="s">
        <v>1929</v>
      </c>
      <c r="D290" s="133" t="s">
        <v>758</v>
      </c>
      <c r="E290" s="222" t="s">
        <v>45</v>
      </c>
      <c r="F290" s="123" t="s">
        <v>80</v>
      </c>
      <c r="G290" s="100" t="s">
        <v>195</v>
      </c>
      <c r="H290" s="138" t="s">
        <v>80</v>
      </c>
      <c r="I290" s="123" t="s">
        <v>80</v>
      </c>
      <c r="J290" s="100">
        <v>1</v>
      </c>
      <c r="K290" s="124" t="s">
        <v>50</v>
      </c>
      <c r="L290" s="306" t="s">
        <v>341</v>
      </c>
      <c r="M290" s="101" t="s">
        <v>759</v>
      </c>
    </row>
    <row r="291" spans="2:13" ht="22.15" customHeight="1">
      <c r="B291" s="305" t="s">
        <v>53</v>
      </c>
      <c r="C291" s="368" t="s">
        <v>1929</v>
      </c>
      <c r="D291" s="133" t="s">
        <v>758</v>
      </c>
      <c r="E291" s="222" t="s">
        <v>45</v>
      </c>
      <c r="F291" s="123" t="s">
        <v>80</v>
      </c>
      <c r="G291" s="100" t="s">
        <v>195</v>
      </c>
      <c r="H291" s="138" t="s">
        <v>80</v>
      </c>
      <c r="I291" s="123" t="s">
        <v>80</v>
      </c>
      <c r="J291" s="100">
        <v>1</v>
      </c>
      <c r="K291" s="124" t="s">
        <v>50</v>
      </c>
      <c r="L291" s="306" t="s">
        <v>341</v>
      </c>
      <c r="M291" s="101" t="s">
        <v>760</v>
      </c>
    </row>
    <row r="292" spans="2:13" ht="22.15" customHeight="1">
      <c r="B292" s="305" t="s">
        <v>53</v>
      </c>
      <c r="C292" s="368" t="s">
        <v>1929</v>
      </c>
      <c r="D292" s="133" t="s">
        <v>758</v>
      </c>
      <c r="E292" s="222" t="s">
        <v>45</v>
      </c>
      <c r="F292" s="123" t="s">
        <v>80</v>
      </c>
      <c r="G292" s="100" t="s">
        <v>195</v>
      </c>
      <c r="H292" s="138" t="s">
        <v>80</v>
      </c>
      <c r="I292" s="123" t="s">
        <v>80</v>
      </c>
      <c r="J292" s="100">
        <v>1</v>
      </c>
      <c r="K292" s="124" t="s">
        <v>50</v>
      </c>
      <c r="L292" s="306" t="s">
        <v>341</v>
      </c>
      <c r="M292" s="101" t="s">
        <v>761</v>
      </c>
    </row>
    <row r="293" spans="2:13" ht="22.15" customHeight="1">
      <c r="B293" s="305" t="s">
        <v>53</v>
      </c>
      <c r="C293" s="368" t="s">
        <v>1929</v>
      </c>
      <c r="D293" s="133" t="s">
        <v>758</v>
      </c>
      <c r="E293" s="222" t="s">
        <v>45</v>
      </c>
      <c r="F293" s="123" t="s">
        <v>80</v>
      </c>
      <c r="G293" s="100" t="s">
        <v>195</v>
      </c>
      <c r="H293" s="138" t="s">
        <v>80</v>
      </c>
      <c r="I293" s="123" t="s">
        <v>80</v>
      </c>
      <c r="J293" s="100">
        <v>1</v>
      </c>
      <c r="K293" s="124" t="s">
        <v>50</v>
      </c>
      <c r="L293" s="306" t="s">
        <v>341</v>
      </c>
      <c r="M293" s="101" t="s">
        <v>762</v>
      </c>
    </row>
    <row r="294" spans="2:13" ht="22.15" customHeight="1">
      <c r="B294" s="305" t="s">
        <v>53</v>
      </c>
      <c r="C294" s="368" t="s">
        <v>1929</v>
      </c>
      <c r="D294" s="133" t="s">
        <v>758</v>
      </c>
      <c r="E294" s="222" t="s">
        <v>45</v>
      </c>
      <c r="F294" s="123" t="s">
        <v>80</v>
      </c>
      <c r="G294" s="100" t="s">
        <v>195</v>
      </c>
      <c r="H294" s="138" t="s">
        <v>80</v>
      </c>
      <c r="I294" s="123" t="s">
        <v>80</v>
      </c>
      <c r="J294" s="100">
        <v>1</v>
      </c>
      <c r="K294" s="124" t="s">
        <v>50</v>
      </c>
      <c r="L294" s="306" t="s">
        <v>341</v>
      </c>
      <c r="M294" s="101" t="s">
        <v>763</v>
      </c>
    </row>
    <row r="295" spans="2:13" ht="22.15" customHeight="1">
      <c r="B295" s="305" t="s">
        <v>53</v>
      </c>
      <c r="C295" s="368" t="s">
        <v>1929</v>
      </c>
      <c r="D295" s="133" t="s">
        <v>758</v>
      </c>
      <c r="E295" s="222" t="s">
        <v>45</v>
      </c>
      <c r="F295" s="123" t="s">
        <v>80</v>
      </c>
      <c r="G295" s="100" t="s">
        <v>195</v>
      </c>
      <c r="H295" s="138" t="s">
        <v>80</v>
      </c>
      <c r="I295" s="123" t="s">
        <v>80</v>
      </c>
      <c r="J295" s="100">
        <v>1</v>
      </c>
      <c r="K295" s="124" t="s">
        <v>50</v>
      </c>
      <c r="L295" s="306" t="s">
        <v>341</v>
      </c>
      <c r="M295" s="101" t="s">
        <v>764</v>
      </c>
    </row>
    <row r="296" spans="2:13" ht="22.15" customHeight="1">
      <c r="B296" s="305" t="s">
        <v>53</v>
      </c>
      <c r="C296" s="368" t="s">
        <v>1929</v>
      </c>
      <c r="D296" s="133" t="s">
        <v>758</v>
      </c>
      <c r="E296" s="222" t="s">
        <v>45</v>
      </c>
      <c r="F296" s="123" t="s">
        <v>80</v>
      </c>
      <c r="G296" s="100" t="s">
        <v>195</v>
      </c>
      <c r="H296" s="138" t="s">
        <v>80</v>
      </c>
      <c r="I296" s="123" t="s">
        <v>80</v>
      </c>
      <c r="J296" s="100">
        <v>2</v>
      </c>
      <c r="K296" s="124" t="s">
        <v>50</v>
      </c>
      <c r="L296" s="306" t="s">
        <v>341</v>
      </c>
      <c r="M296" s="101" t="s">
        <v>765</v>
      </c>
    </row>
    <row r="297" spans="2:13" ht="22.15" customHeight="1">
      <c r="B297" s="305" t="s">
        <v>53</v>
      </c>
      <c r="C297" s="368" t="s">
        <v>1929</v>
      </c>
      <c r="D297" s="133" t="s">
        <v>758</v>
      </c>
      <c r="E297" s="222" t="s">
        <v>45</v>
      </c>
      <c r="F297" s="123" t="s">
        <v>80</v>
      </c>
      <c r="G297" s="100" t="s">
        <v>195</v>
      </c>
      <c r="H297" s="138" t="s">
        <v>80</v>
      </c>
      <c r="I297" s="123" t="s">
        <v>80</v>
      </c>
      <c r="J297" s="100">
        <v>1</v>
      </c>
      <c r="K297" s="124" t="s">
        <v>50</v>
      </c>
      <c r="L297" s="306" t="s">
        <v>341</v>
      </c>
      <c r="M297" s="101" t="s">
        <v>766</v>
      </c>
    </row>
    <row r="298" spans="2:13" ht="22.15" customHeight="1">
      <c r="B298" s="305" t="s">
        <v>53</v>
      </c>
      <c r="C298" s="368" t="s">
        <v>1929</v>
      </c>
      <c r="D298" s="133" t="s">
        <v>758</v>
      </c>
      <c r="E298" s="222" t="s">
        <v>45</v>
      </c>
      <c r="F298" s="123" t="s">
        <v>80</v>
      </c>
      <c r="G298" s="100" t="s">
        <v>242</v>
      </c>
      <c r="H298" s="138" t="s">
        <v>80</v>
      </c>
      <c r="I298" s="123" t="s">
        <v>80</v>
      </c>
      <c r="J298" s="100">
        <v>2</v>
      </c>
      <c r="K298" s="124" t="s">
        <v>50</v>
      </c>
      <c r="L298" s="306" t="s">
        <v>341</v>
      </c>
      <c r="M298" s="101" t="s">
        <v>767</v>
      </c>
    </row>
    <row r="299" spans="2:13" ht="22.15" customHeight="1">
      <c r="B299" s="305" t="s">
        <v>53</v>
      </c>
      <c r="C299" s="368" t="s">
        <v>1929</v>
      </c>
      <c r="D299" s="133" t="s">
        <v>758</v>
      </c>
      <c r="E299" s="222" t="s">
        <v>45</v>
      </c>
      <c r="F299" s="123" t="s">
        <v>80</v>
      </c>
      <c r="G299" s="100" t="s">
        <v>195</v>
      </c>
      <c r="H299" s="138" t="s">
        <v>80</v>
      </c>
      <c r="I299" s="123" t="s">
        <v>80</v>
      </c>
      <c r="J299" s="100">
        <v>5</v>
      </c>
      <c r="K299" s="124" t="s">
        <v>50</v>
      </c>
      <c r="L299" s="306" t="s">
        <v>341</v>
      </c>
      <c r="M299" s="101" t="s">
        <v>768</v>
      </c>
    </row>
    <row r="300" spans="2:13" ht="22.15" customHeight="1">
      <c r="B300" s="305" t="s">
        <v>53</v>
      </c>
      <c r="C300" s="368" t="s">
        <v>1929</v>
      </c>
      <c r="D300" s="133" t="s">
        <v>769</v>
      </c>
      <c r="E300" s="222" t="s">
        <v>45</v>
      </c>
      <c r="F300" s="128" t="s">
        <v>236</v>
      </c>
      <c r="G300" s="131" t="s">
        <v>194</v>
      </c>
      <c r="H300" s="132" t="s">
        <v>770</v>
      </c>
      <c r="I300" s="13" t="s">
        <v>362</v>
      </c>
      <c r="J300" s="131">
        <v>1</v>
      </c>
      <c r="K300" s="111" t="s">
        <v>50</v>
      </c>
      <c r="L300" s="308">
        <v>394</v>
      </c>
      <c r="M300" s="309"/>
    </row>
    <row r="301" spans="2:13" ht="22.15" customHeight="1">
      <c r="B301" s="305" t="s">
        <v>53</v>
      </c>
      <c r="C301" s="368" t="s">
        <v>1929</v>
      </c>
      <c r="D301" s="133" t="s">
        <v>769</v>
      </c>
      <c r="E301" s="126" t="s">
        <v>45</v>
      </c>
      <c r="F301" s="128" t="s">
        <v>236</v>
      </c>
      <c r="G301" s="13" t="s">
        <v>194</v>
      </c>
      <c r="H301" s="14" t="s">
        <v>385</v>
      </c>
      <c r="I301" s="13" t="s">
        <v>362</v>
      </c>
      <c r="J301" s="13">
        <v>1</v>
      </c>
      <c r="K301" s="111" t="s">
        <v>50</v>
      </c>
      <c r="L301" s="104">
        <v>410.7</v>
      </c>
      <c r="M301" s="309"/>
    </row>
    <row r="302" spans="2:13" ht="22.15" customHeight="1">
      <c r="B302" s="305" t="s">
        <v>53</v>
      </c>
      <c r="C302" s="368" t="s">
        <v>1929</v>
      </c>
      <c r="D302" s="133" t="s">
        <v>771</v>
      </c>
      <c r="E302" s="126" t="s">
        <v>45</v>
      </c>
      <c r="F302" s="13" t="s">
        <v>236</v>
      </c>
      <c r="G302" s="13" t="s">
        <v>194</v>
      </c>
      <c r="H302" s="14" t="s">
        <v>361</v>
      </c>
      <c r="I302" s="13" t="s">
        <v>362</v>
      </c>
      <c r="J302" s="131">
        <v>4</v>
      </c>
      <c r="K302" s="111" t="s">
        <v>50</v>
      </c>
      <c r="L302" s="308">
        <v>313.2</v>
      </c>
      <c r="M302" s="309"/>
    </row>
    <row r="303" spans="2:13" ht="22.15" customHeight="1" thickBot="1">
      <c r="B303" s="321" t="s">
        <v>66</v>
      </c>
      <c r="C303" s="370" t="s">
        <v>1929</v>
      </c>
      <c r="D303" s="322" t="s">
        <v>772</v>
      </c>
      <c r="E303" s="121" t="s">
        <v>263</v>
      </c>
      <c r="F303" s="49" t="s">
        <v>773</v>
      </c>
      <c r="G303" s="49" t="s">
        <v>774</v>
      </c>
      <c r="H303" s="329" t="s">
        <v>712</v>
      </c>
      <c r="I303" s="330" t="s">
        <v>713</v>
      </c>
      <c r="J303" s="49">
        <v>28</v>
      </c>
      <c r="K303" s="323" t="s">
        <v>714</v>
      </c>
      <c r="L303" s="108">
        <v>25</v>
      </c>
      <c r="M303" s="324" t="s">
        <v>775</v>
      </c>
    </row>
    <row r="304" spans="2:13" ht="22.15" customHeight="1">
      <c r="B304" s="331" t="s">
        <v>53</v>
      </c>
      <c r="C304" s="369" t="s">
        <v>232</v>
      </c>
      <c r="D304" s="333" t="s">
        <v>776</v>
      </c>
      <c r="E304" s="332" t="s">
        <v>45</v>
      </c>
      <c r="F304" s="334" t="s">
        <v>424</v>
      </c>
      <c r="G304" s="335" t="s">
        <v>777</v>
      </c>
      <c r="H304" s="336" t="s">
        <v>778</v>
      </c>
      <c r="I304" s="335" t="s">
        <v>609</v>
      </c>
      <c r="J304" s="335">
        <v>49</v>
      </c>
      <c r="K304" s="337" t="s">
        <v>779</v>
      </c>
      <c r="L304" s="338">
        <v>12.3</v>
      </c>
      <c r="M304" s="339"/>
    </row>
    <row r="305" spans="2:42" ht="22.15" customHeight="1">
      <c r="B305" s="331" t="s">
        <v>53</v>
      </c>
      <c r="C305" s="332" t="s">
        <v>232</v>
      </c>
      <c r="D305" s="333" t="s">
        <v>780</v>
      </c>
      <c r="E305" s="332" t="s">
        <v>45</v>
      </c>
      <c r="F305" s="340" t="s">
        <v>424</v>
      </c>
      <c r="G305" s="335" t="s">
        <v>777</v>
      </c>
      <c r="H305" s="336" t="s">
        <v>778</v>
      </c>
      <c r="I305" s="335" t="s">
        <v>609</v>
      </c>
      <c r="J305" s="341">
        <v>90</v>
      </c>
      <c r="K305" s="337" t="s">
        <v>779</v>
      </c>
      <c r="L305" s="342">
        <v>12.3</v>
      </c>
      <c r="M305" s="339"/>
    </row>
    <row r="306" spans="2:42" ht="22.15" customHeight="1">
      <c r="B306" s="331" t="s">
        <v>53</v>
      </c>
      <c r="C306" s="332" t="s">
        <v>232</v>
      </c>
      <c r="D306" s="333" t="s">
        <v>781</v>
      </c>
      <c r="E306" s="332" t="s">
        <v>45</v>
      </c>
      <c r="F306" s="334" t="s">
        <v>424</v>
      </c>
      <c r="G306" s="335" t="s">
        <v>777</v>
      </c>
      <c r="H306" s="336" t="s">
        <v>778</v>
      </c>
      <c r="I306" s="335" t="s">
        <v>609</v>
      </c>
      <c r="J306" s="335">
        <v>90</v>
      </c>
      <c r="K306" s="337" t="s">
        <v>779</v>
      </c>
      <c r="L306" s="338">
        <v>12.3</v>
      </c>
      <c r="M306" s="339"/>
    </row>
    <row r="307" spans="2:42" ht="22.15" customHeight="1">
      <c r="B307" s="331" t="s">
        <v>53</v>
      </c>
      <c r="C307" s="332" t="s">
        <v>232</v>
      </c>
      <c r="D307" s="333" t="s">
        <v>782</v>
      </c>
      <c r="E307" s="332" t="s">
        <v>45</v>
      </c>
      <c r="F307" s="334" t="s">
        <v>424</v>
      </c>
      <c r="G307" s="340" t="s">
        <v>783</v>
      </c>
      <c r="H307" s="343" t="s">
        <v>424</v>
      </c>
      <c r="I307" s="344" t="s">
        <v>239</v>
      </c>
      <c r="J307" s="335">
        <v>2</v>
      </c>
      <c r="K307" s="337" t="s">
        <v>779</v>
      </c>
      <c r="L307" s="345" t="s">
        <v>424</v>
      </c>
      <c r="M307" s="346" t="s">
        <v>784</v>
      </c>
    </row>
    <row r="308" spans="2:42" ht="22.15" customHeight="1">
      <c r="B308" s="367" t="s">
        <v>785</v>
      </c>
      <c r="C308" s="332" t="s">
        <v>232</v>
      </c>
      <c r="D308" s="333" t="s">
        <v>782</v>
      </c>
      <c r="E308" s="332" t="s">
        <v>45</v>
      </c>
      <c r="F308" s="334" t="s">
        <v>424</v>
      </c>
      <c r="G308" s="340" t="s">
        <v>300</v>
      </c>
      <c r="H308" s="347" t="s">
        <v>786</v>
      </c>
      <c r="I308" s="365" t="s">
        <v>787</v>
      </c>
      <c r="J308" s="335">
        <v>4</v>
      </c>
      <c r="K308" s="337" t="s">
        <v>779</v>
      </c>
      <c r="L308" s="345" t="s">
        <v>424</v>
      </c>
      <c r="M308" s="339"/>
    </row>
    <row r="309" spans="2:42" ht="22.15" customHeight="1">
      <c r="B309" s="367" t="s">
        <v>785</v>
      </c>
      <c r="C309" s="332" t="s">
        <v>232</v>
      </c>
      <c r="D309" s="333" t="s">
        <v>782</v>
      </c>
      <c r="E309" s="332" t="s">
        <v>45</v>
      </c>
      <c r="F309" s="334" t="s">
        <v>424</v>
      </c>
      <c r="G309" s="340" t="s">
        <v>300</v>
      </c>
      <c r="H309" s="343" t="s">
        <v>424</v>
      </c>
      <c r="I309" s="340" t="s">
        <v>575</v>
      </c>
      <c r="J309" s="335">
        <v>8</v>
      </c>
      <c r="K309" s="337" t="s">
        <v>779</v>
      </c>
      <c r="L309" s="345" t="s">
        <v>424</v>
      </c>
      <c r="M309" s="339"/>
    </row>
    <row r="310" spans="2:42" ht="22.15" customHeight="1">
      <c r="B310" s="367" t="s">
        <v>785</v>
      </c>
      <c r="C310" s="332" t="s">
        <v>232</v>
      </c>
      <c r="D310" s="333" t="s">
        <v>782</v>
      </c>
      <c r="E310" s="332" t="s">
        <v>45</v>
      </c>
      <c r="F310" s="334" t="s">
        <v>424</v>
      </c>
      <c r="G310" s="340" t="s">
        <v>788</v>
      </c>
      <c r="H310" s="343" t="s">
        <v>424</v>
      </c>
      <c r="I310" s="340" t="s">
        <v>424</v>
      </c>
      <c r="J310" s="335">
        <v>1</v>
      </c>
      <c r="K310" s="348" t="s">
        <v>779</v>
      </c>
      <c r="L310" s="345" t="s">
        <v>424</v>
      </c>
      <c r="M310" s="349" t="s">
        <v>789</v>
      </c>
    </row>
    <row r="311" spans="2:42" ht="22.15" customHeight="1">
      <c r="B311" s="331" t="s">
        <v>53</v>
      </c>
      <c r="C311" s="332" t="s">
        <v>232</v>
      </c>
      <c r="D311" s="333" t="s">
        <v>782</v>
      </c>
      <c r="E311" s="332" t="s">
        <v>45</v>
      </c>
      <c r="F311" s="334" t="s">
        <v>424</v>
      </c>
      <c r="G311" s="340" t="s">
        <v>652</v>
      </c>
      <c r="H311" s="343" t="s">
        <v>424</v>
      </c>
      <c r="I311" s="340" t="s">
        <v>424</v>
      </c>
      <c r="J311" s="335">
        <v>2</v>
      </c>
      <c r="K311" s="348" t="s">
        <v>790</v>
      </c>
      <c r="L311" s="345" t="s">
        <v>424</v>
      </c>
      <c r="M311" s="349" t="s">
        <v>791</v>
      </c>
    </row>
    <row r="312" spans="2:42" ht="22.15" customHeight="1">
      <c r="B312" s="331" t="s">
        <v>53</v>
      </c>
      <c r="C312" s="332" t="s">
        <v>232</v>
      </c>
      <c r="D312" s="333" t="s">
        <v>782</v>
      </c>
      <c r="E312" s="332" t="s">
        <v>45</v>
      </c>
      <c r="F312" s="334" t="s">
        <v>424</v>
      </c>
      <c r="G312" s="340" t="s">
        <v>339</v>
      </c>
      <c r="H312" s="343" t="s">
        <v>792</v>
      </c>
      <c r="I312" s="340" t="s">
        <v>424</v>
      </c>
      <c r="J312" s="335">
        <v>1</v>
      </c>
      <c r="K312" s="348" t="s">
        <v>779</v>
      </c>
      <c r="L312" s="345" t="s">
        <v>424</v>
      </c>
      <c r="M312" s="339"/>
    </row>
    <row r="313" spans="2:42" ht="22.15" customHeight="1">
      <c r="B313" s="331" t="s">
        <v>53</v>
      </c>
      <c r="C313" s="332" t="s">
        <v>232</v>
      </c>
      <c r="D313" s="333" t="s">
        <v>782</v>
      </c>
      <c r="E313" s="332" t="s">
        <v>45</v>
      </c>
      <c r="F313" s="334" t="s">
        <v>424</v>
      </c>
      <c r="G313" s="340" t="s">
        <v>793</v>
      </c>
      <c r="H313" s="343" t="s">
        <v>794</v>
      </c>
      <c r="I313" s="340" t="s">
        <v>424</v>
      </c>
      <c r="J313" s="335">
        <v>1</v>
      </c>
      <c r="K313" s="348" t="s">
        <v>779</v>
      </c>
      <c r="L313" s="345" t="s">
        <v>424</v>
      </c>
      <c r="M313" s="339"/>
    </row>
    <row r="314" spans="2:42" ht="22.15" customHeight="1">
      <c r="B314" s="331" t="s">
        <v>1941</v>
      </c>
      <c r="C314" s="332" t="s">
        <v>232</v>
      </c>
      <c r="D314" s="333" t="s">
        <v>782</v>
      </c>
      <c r="E314" s="332" t="s">
        <v>45</v>
      </c>
      <c r="F314" s="334" t="s">
        <v>424</v>
      </c>
      <c r="G314" s="340" t="s">
        <v>793</v>
      </c>
      <c r="H314" s="343" t="s">
        <v>424</v>
      </c>
      <c r="I314" s="340" t="s">
        <v>795</v>
      </c>
      <c r="J314" s="335">
        <v>202</v>
      </c>
      <c r="K314" s="337" t="s">
        <v>779</v>
      </c>
      <c r="L314" s="338">
        <v>0.1</v>
      </c>
      <c r="M314" s="339"/>
    </row>
    <row r="315" spans="2:42" ht="22.15" customHeight="1" thickBot="1">
      <c r="B315" s="350" t="s">
        <v>53</v>
      </c>
      <c r="C315" s="351" t="s">
        <v>232</v>
      </c>
      <c r="D315" s="352" t="s">
        <v>782</v>
      </c>
      <c r="E315" s="351" t="s">
        <v>45</v>
      </c>
      <c r="F315" s="353" t="s">
        <v>424</v>
      </c>
      <c r="G315" s="354" t="s">
        <v>793</v>
      </c>
      <c r="H315" s="355" t="s">
        <v>424</v>
      </c>
      <c r="I315" s="366" t="s">
        <v>796</v>
      </c>
      <c r="J315" s="356">
        <v>2</v>
      </c>
      <c r="K315" s="357" t="s">
        <v>779</v>
      </c>
      <c r="L315" s="358">
        <v>0.3</v>
      </c>
      <c r="M315" s="359"/>
    </row>
    <row r="316" spans="2:42" s="380" customFormat="1" ht="22.15" customHeight="1">
      <c r="B316" s="381" t="s">
        <v>59</v>
      </c>
      <c r="C316" s="382" t="s">
        <v>1929</v>
      </c>
      <c r="D316" s="383" t="s">
        <v>782</v>
      </c>
      <c r="E316" s="384" t="s">
        <v>45</v>
      </c>
      <c r="F316" s="385"/>
      <c r="G316" s="386" t="s">
        <v>1935</v>
      </c>
      <c r="H316" s="387" t="s">
        <v>1939</v>
      </c>
      <c r="I316" s="388" t="s">
        <v>1940</v>
      </c>
      <c r="J316" s="389">
        <v>219</v>
      </c>
      <c r="K316" s="390" t="s">
        <v>1934</v>
      </c>
      <c r="L316" s="391" t="s">
        <v>1931</v>
      </c>
      <c r="M316" s="392"/>
      <c r="N316" s="403">
        <v>45154</v>
      </c>
      <c r="O316" s="116"/>
      <c r="P316" s="116"/>
      <c r="Q316" s="116"/>
      <c r="R316" s="116"/>
      <c r="S316" s="116"/>
      <c r="T316" s="116"/>
      <c r="U316" s="116"/>
      <c r="V316" s="116"/>
      <c r="W316" s="116"/>
      <c r="X316" s="116"/>
      <c r="Y316" s="116"/>
      <c r="Z316" s="116"/>
      <c r="AA316" s="116"/>
      <c r="AB316" s="116"/>
      <c r="AC316" s="116"/>
      <c r="AD316" s="116"/>
      <c r="AE316" s="116"/>
      <c r="AF316" s="116"/>
      <c r="AG316" s="116"/>
      <c r="AH316" s="116"/>
      <c r="AI316" s="116"/>
      <c r="AJ316" s="116"/>
      <c r="AK316" s="116"/>
      <c r="AL316" s="116"/>
      <c r="AM316" s="116"/>
      <c r="AN316" s="116"/>
      <c r="AO316" s="116"/>
      <c r="AP316" s="116"/>
    </row>
    <row r="317" spans="2:42" s="380" customFormat="1" ht="22.15" customHeight="1">
      <c r="B317" s="381" t="s">
        <v>59</v>
      </c>
      <c r="C317" s="382" t="s">
        <v>1929</v>
      </c>
      <c r="D317" s="383" t="s">
        <v>782</v>
      </c>
      <c r="E317" s="382" t="s">
        <v>45</v>
      </c>
      <c r="F317" s="393"/>
      <c r="G317" s="388" t="s">
        <v>1936</v>
      </c>
      <c r="H317" s="387" t="s">
        <v>1939</v>
      </c>
      <c r="I317" s="388" t="s">
        <v>1940</v>
      </c>
      <c r="J317" s="394">
        <v>77</v>
      </c>
      <c r="K317" s="395" t="s">
        <v>1934</v>
      </c>
      <c r="L317" s="396" t="s">
        <v>1931</v>
      </c>
      <c r="M317" s="397"/>
      <c r="N317" s="116"/>
      <c r="O317" s="116"/>
      <c r="P317" s="116"/>
      <c r="Q317" s="116"/>
      <c r="R317" s="116"/>
      <c r="S317" s="116"/>
      <c r="T317" s="116"/>
      <c r="U317" s="116"/>
      <c r="V317" s="116"/>
      <c r="W317" s="116"/>
      <c r="X317" s="116"/>
      <c r="Y317" s="116"/>
      <c r="Z317" s="116"/>
      <c r="AA317" s="116"/>
      <c r="AB317" s="116"/>
      <c r="AC317" s="116"/>
      <c r="AD317" s="116"/>
      <c r="AE317" s="116"/>
      <c r="AF317" s="116"/>
      <c r="AG317" s="116"/>
      <c r="AH317" s="116"/>
      <c r="AI317" s="116"/>
      <c r="AJ317" s="116"/>
      <c r="AK317" s="116"/>
      <c r="AL317" s="116"/>
      <c r="AM317" s="116"/>
      <c r="AN317" s="116"/>
      <c r="AO317" s="116"/>
      <c r="AP317" s="116"/>
    </row>
    <row r="318" spans="2:42" s="380" customFormat="1" ht="22.15" customHeight="1">
      <c r="B318" s="381" t="s">
        <v>59</v>
      </c>
      <c r="C318" s="382" t="s">
        <v>1929</v>
      </c>
      <c r="D318" s="383" t="s">
        <v>782</v>
      </c>
      <c r="E318" s="382" t="s">
        <v>45</v>
      </c>
      <c r="F318" s="393"/>
      <c r="G318" s="388" t="s">
        <v>1937</v>
      </c>
      <c r="H318" s="398" t="s">
        <v>1931</v>
      </c>
      <c r="I318" s="388" t="s">
        <v>1940</v>
      </c>
      <c r="J318" s="394">
        <v>28</v>
      </c>
      <c r="K318" s="395" t="s">
        <v>1934</v>
      </c>
      <c r="L318" s="396" t="s">
        <v>1931</v>
      </c>
      <c r="M318" s="397"/>
      <c r="N318" s="116"/>
      <c r="O318" s="116"/>
      <c r="P318" s="116"/>
      <c r="Q318" s="116"/>
      <c r="R318" s="116"/>
      <c r="S318" s="116"/>
      <c r="T318" s="116"/>
      <c r="U318" s="116"/>
      <c r="V318" s="116"/>
      <c r="W318" s="116"/>
      <c r="X318" s="116"/>
      <c r="Y318" s="116"/>
      <c r="Z318" s="116"/>
      <c r="AA318" s="116"/>
      <c r="AB318" s="116"/>
      <c r="AC318" s="116"/>
      <c r="AD318" s="116"/>
      <c r="AE318" s="116"/>
      <c r="AF318" s="116"/>
      <c r="AG318" s="116"/>
      <c r="AH318" s="116"/>
      <c r="AI318" s="116"/>
      <c r="AJ318" s="116"/>
      <c r="AK318" s="116"/>
      <c r="AL318" s="116"/>
      <c r="AM318" s="116"/>
      <c r="AN318" s="116"/>
      <c r="AO318" s="116"/>
      <c r="AP318" s="116"/>
    </row>
    <row r="319" spans="2:42" s="380" customFormat="1" ht="22.15" customHeight="1">
      <c r="B319" s="381" t="s">
        <v>1941</v>
      </c>
      <c r="C319" s="382" t="s">
        <v>1929</v>
      </c>
      <c r="D319" s="383" t="s">
        <v>1938</v>
      </c>
      <c r="E319" s="399" t="s">
        <v>1943</v>
      </c>
      <c r="F319" s="400" t="s">
        <v>630</v>
      </c>
      <c r="G319" s="401" t="s">
        <v>737</v>
      </c>
      <c r="H319" s="402" t="s">
        <v>64</v>
      </c>
      <c r="I319" s="395" t="s">
        <v>738</v>
      </c>
      <c r="J319" s="394">
        <v>145</v>
      </c>
      <c r="K319" s="395" t="s">
        <v>1934</v>
      </c>
      <c r="L319" s="396" t="s">
        <v>1931</v>
      </c>
      <c r="M319" s="397"/>
      <c r="N319" s="116"/>
      <c r="O319" s="116"/>
      <c r="P319" s="116"/>
      <c r="Q319" s="116"/>
      <c r="R319" s="116"/>
      <c r="S319" s="116"/>
      <c r="T319" s="116"/>
      <c r="U319" s="116"/>
      <c r="V319" s="116"/>
      <c r="W319" s="116"/>
      <c r="X319" s="116"/>
      <c r="Y319" s="116"/>
      <c r="Z319" s="116"/>
      <c r="AA319" s="116"/>
      <c r="AB319" s="116"/>
      <c r="AC319" s="116"/>
      <c r="AD319" s="116"/>
      <c r="AE319" s="116"/>
      <c r="AF319" s="116"/>
      <c r="AG319" s="116"/>
      <c r="AH319" s="116"/>
      <c r="AI319" s="116"/>
      <c r="AJ319" s="116"/>
      <c r="AK319" s="116"/>
      <c r="AL319" s="116"/>
      <c r="AM319" s="116"/>
      <c r="AN319" s="116"/>
      <c r="AO319" s="116"/>
      <c r="AP319" s="116"/>
    </row>
    <row r="320" spans="2:42" ht="22.15" customHeight="1">
      <c r="B320" s="305"/>
      <c r="C320" s="317"/>
      <c r="D320" s="133"/>
      <c r="E320" s="126"/>
      <c r="F320" s="128"/>
      <c r="G320" s="13"/>
      <c r="H320" s="14"/>
      <c r="I320" s="13"/>
      <c r="J320" s="13"/>
      <c r="K320" s="111"/>
      <c r="L320" s="104"/>
      <c r="M320" s="309"/>
    </row>
    <row r="321" spans="2:13" ht="22.15" customHeight="1">
      <c r="B321" s="305"/>
      <c r="C321" s="317"/>
      <c r="D321" s="133"/>
      <c r="E321" s="126"/>
      <c r="F321" s="128"/>
      <c r="G321" s="13"/>
      <c r="H321" s="14"/>
      <c r="I321" s="13"/>
      <c r="J321" s="13"/>
      <c r="K321" s="111"/>
      <c r="L321" s="104"/>
      <c r="M321" s="309"/>
    </row>
    <row r="322" spans="2:13" ht="22.15" customHeight="1">
      <c r="B322" s="305"/>
      <c r="C322" s="317"/>
      <c r="D322" s="133"/>
      <c r="E322" s="126"/>
      <c r="F322" s="128"/>
      <c r="G322" s="13"/>
      <c r="H322" s="14"/>
      <c r="I322" s="13"/>
      <c r="J322" s="13"/>
      <c r="K322" s="111"/>
      <c r="L322" s="104"/>
      <c r="M322" s="309"/>
    </row>
    <row r="323" spans="2:13" ht="22.15" customHeight="1">
      <c r="B323" s="305"/>
      <c r="C323" s="317"/>
      <c r="D323" s="133"/>
      <c r="E323" s="126"/>
      <c r="F323" s="128"/>
      <c r="G323" s="13"/>
      <c r="H323" s="14"/>
      <c r="I323" s="13"/>
      <c r="J323" s="13"/>
      <c r="K323" s="111"/>
      <c r="L323" s="104"/>
      <c r="M323" s="309"/>
    </row>
    <row r="324" spans="2:13" ht="22.15" customHeight="1">
      <c r="B324" s="305"/>
      <c r="C324" s="317"/>
      <c r="D324" s="133"/>
      <c r="E324" s="126"/>
      <c r="F324" s="128"/>
      <c r="G324" s="13"/>
      <c r="H324" s="14"/>
      <c r="I324" s="13"/>
      <c r="J324" s="13"/>
      <c r="K324" s="111"/>
      <c r="L324" s="104"/>
      <c r="M324" s="309"/>
    </row>
    <row r="325" spans="2:13" ht="22.15" customHeight="1">
      <c r="B325" s="305"/>
      <c r="C325" s="317"/>
      <c r="D325" s="133"/>
      <c r="E325" s="126"/>
      <c r="F325" s="128"/>
      <c r="G325" s="13"/>
      <c r="H325" s="14"/>
      <c r="I325" s="13"/>
      <c r="J325" s="13"/>
      <c r="K325" s="111"/>
      <c r="L325" s="104"/>
      <c r="M325" s="309"/>
    </row>
    <row r="326" spans="2:13" ht="22.15" customHeight="1">
      <c r="B326" s="305"/>
      <c r="C326" s="317"/>
      <c r="D326" s="133"/>
      <c r="E326" s="126"/>
      <c r="F326" s="128"/>
      <c r="G326" s="13"/>
      <c r="H326" s="14"/>
      <c r="I326" s="13"/>
      <c r="J326" s="13"/>
      <c r="K326" s="111"/>
      <c r="L326" s="104"/>
      <c r="M326" s="309"/>
    </row>
    <row r="327" spans="2:13" ht="22.15" customHeight="1">
      <c r="B327" s="305"/>
      <c r="C327" s="317"/>
      <c r="D327" s="133"/>
      <c r="E327" s="126"/>
      <c r="F327" s="128"/>
      <c r="G327" s="13"/>
      <c r="H327" s="14"/>
      <c r="I327" s="13"/>
      <c r="J327" s="13"/>
      <c r="K327" s="111"/>
      <c r="L327" s="104"/>
      <c r="M327" s="309"/>
    </row>
    <row r="328" spans="2:13" ht="22.15" customHeight="1">
      <c r="B328" s="305"/>
      <c r="C328" s="317"/>
      <c r="D328" s="133"/>
      <c r="E328" s="126"/>
      <c r="F328" s="128"/>
      <c r="G328" s="13"/>
      <c r="H328" s="14"/>
      <c r="I328" s="13"/>
      <c r="J328" s="13"/>
      <c r="K328" s="111"/>
      <c r="L328" s="104"/>
      <c r="M328" s="309"/>
    </row>
    <row r="329" spans="2:13" ht="22.15" customHeight="1">
      <c r="B329" s="305"/>
      <c r="C329" s="317"/>
      <c r="D329" s="133"/>
      <c r="E329" s="126"/>
      <c r="F329" s="128"/>
      <c r="G329" s="13"/>
      <c r="H329" s="14"/>
      <c r="I329" s="13"/>
      <c r="J329" s="13"/>
      <c r="K329" s="111"/>
      <c r="L329" s="104"/>
      <c r="M329" s="309"/>
    </row>
    <row r="330" spans="2:13" ht="22.15" customHeight="1">
      <c r="B330" s="305"/>
      <c r="C330" s="317"/>
      <c r="D330" s="133"/>
      <c r="E330" s="126"/>
      <c r="F330" s="128"/>
      <c r="G330" s="13"/>
      <c r="H330" s="14"/>
      <c r="I330" s="13"/>
      <c r="J330" s="13"/>
      <c r="K330" s="111"/>
      <c r="L330" s="104"/>
      <c r="M330" s="309"/>
    </row>
    <row r="331" spans="2:13" ht="22.15" customHeight="1">
      <c r="B331" s="305"/>
      <c r="C331" s="317"/>
      <c r="D331" s="133"/>
      <c r="E331" s="126"/>
      <c r="F331" s="128"/>
      <c r="G331" s="13"/>
      <c r="H331" s="14"/>
      <c r="I331" s="13"/>
      <c r="J331" s="13"/>
      <c r="K331" s="111"/>
      <c r="L331" s="104"/>
      <c r="M331" s="309"/>
    </row>
    <row r="332" spans="2:13" ht="22.15" customHeight="1">
      <c r="B332" s="305"/>
      <c r="C332" s="317"/>
      <c r="D332" s="133"/>
      <c r="E332" s="126"/>
      <c r="F332" s="128"/>
      <c r="G332" s="13"/>
      <c r="H332" s="14"/>
      <c r="I332" s="13"/>
      <c r="J332" s="13"/>
      <c r="K332" s="111"/>
      <c r="L332" s="104"/>
      <c r="M332" s="309"/>
    </row>
    <row r="333" spans="2:13" ht="22.15" customHeight="1">
      <c r="B333" s="305"/>
      <c r="C333" s="317"/>
      <c r="D333" s="133"/>
      <c r="E333" s="126"/>
      <c r="F333" s="128"/>
      <c r="G333" s="13"/>
      <c r="H333" s="14"/>
      <c r="I333" s="13"/>
      <c r="J333" s="13"/>
      <c r="K333" s="111"/>
      <c r="L333" s="104"/>
      <c r="M333" s="309"/>
    </row>
    <row r="334" spans="2:13" ht="22.15" customHeight="1">
      <c r="B334" s="305"/>
      <c r="C334" s="317"/>
      <c r="D334" s="133"/>
      <c r="E334" s="126"/>
      <c r="F334" s="128"/>
      <c r="G334" s="13"/>
      <c r="H334" s="14"/>
      <c r="I334" s="13"/>
      <c r="J334" s="13"/>
      <c r="K334" s="111"/>
      <c r="L334" s="104"/>
      <c r="M334" s="309"/>
    </row>
    <row r="335" spans="2:13" ht="22.15" customHeight="1">
      <c r="B335" s="305"/>
      <c r="C335" s="317"/>
      <c r="D335" s="133"/>
      <c r="E335" s="126"/>
      <c r="F335" s="128"/>
      <c r="G335" s="13"/>
      <c r="H335" s="14"/>
      <c r="I335" s="13"/>
      <c r="J335" s="13"/>
      <c r="K335" s="111"/>
      <c r="L335" s="104"/>
      <c r="M335" s="309"/>
    </row>
    <row r="336" spans="2:13" ht="22.15" customHeight="1">
      <c r="B336" s="305"/>
      <c r="C336" s="317"/>
      <c r="D336" s="133"/>
      <c r="E336" s="126"/>
      <c r="F336" s="128"/>
      <c r="G336" s="13"/>
      <c r="H336" s="14"/>
      <c r="I336" s="13"/>
      <c r="J336" s="13"/>
      <c r="K336" s="111"/>
      <c r="L336" s="104"/>
      <c r="M336" s="309"/>
    </row>
    <row r="337" spans="2:13" ht="22.15" customHeight="1">
      <c r="B337" s="305"/>
      <c r="C337" s="317"/>
      <c r="D337" s="133"/>
      <c r="E337" s="126"/>
      <c r="F337" s="128"/>
      <c r="G337" s="13"/>
      <c r="H337" s="14"/>
      <c r="I337" s="13"/>
      <c r="J337" s="13"/>
      <c r="K337" s="111"/>
      <c r="L337" s="104"/>
      <c r="M337" s="309"/>
    </row>
    <row r="338" spans="2:13" ht="22.15" customHeight="1">
      <c r="B338" s="305"/>
      <c r="C338" s="317"/>
      <c r="D338" s="133"/>
      <c r="E338" s="126"/>
      <c r="F338" s="128"/>
      <c r="G338" s="13"/>
      <c r="H338" s="14"/>
      <c r="I338" s="13"/>
      <c r="J338" s="13"/>
      <c r="K338" s="111"/>
      <c r="L338" s="104"/>
      <c r="M338" s="309"/>
    </row>
    <row r="339" spans="2:13" ht="22.15" customHeight="1">
      <c r="B339" s="305"/>
      <c r="C339" s="317"/>
      <c r="D339" s="133"/>
      <c r="E339" s="126"/>
      <c r="F339" s="128"/>
      <c r="G339" s="13"/>
      <c r="H339" s="14"/>
      <c r="I339" s="13"/>
      <c r="J339" s="13"/>
      <c r="K339" s="111"/>
      <c r="L339" s="104"/>
      <c r="M339" s="309"/>
    </row>
    <row r="340" spans="2:13" ht="22.15" customHeight="1">
      <c r="B340" s="305"/>
      <c r="C340" s="317"/>
      <c r="D340" s="133"/>
      <c r="E340" s="126"/>
      <c r="F340" s="128"/>
      <c r="G340" s="13"/>
      <c r="H340" s="14"/>
      <c r="I340" s="13"/>
      <c r="J340" s="13"/>
      <c r="K340" s="111"/>
      <c r="L340" s="104"/>
      <c r="M340" s="309"/>
    </row>
    <row r="341" spans="2:13" ht="22.15" customHeight="1">
      <c r="B341" s="305"/>
      <c r="C341" s="317"/>
      <c r="D341" s="133"/>
      <c r="E341" s="126"/>
      <c r="F341" s="128"/>
      <c r="G341" s="13"/>
      <c r="H341" s="14"/>
      <c r="I341" s="13"/>
      <c r="J341" s="13"/>
      <c r="K341" s="111"/>
      <c r="L341" s="104"/>
      <c r="M341" s="309"/>
    </row>
    <row r="342" spans="2:13" ht="22.15" customHeight="1">
      <c r="B342" s="305"/>
      <c r="C342" s="317"/>
      <c r="D342" s="133"/>
      <c r="E342" s="126"/>
      <c r="F342" s="128"/>
      <c r="G342" s="13"/>
      <c r="H342" s="14"/>
      <c r="I342" s="13"/>
      <c r="J342" s="13"/>
      <c r="K342" s="111"/>
      <c r="L342" s="104"/>
      <c r="M342" s="309"/>
    </row>
    <row r="343" spans="2:13" ht="22.15" customHeight="1">
      <c r="B343" s="305"/>
      <c r="C343" s="317"/>
      <c r="D343" s="133"/>
      <c r="E343" s="126"/>
      <c r="F343" s="128"/>
      <c r="G343" s="13"/>
      <c r="H343" s="14"/>
      <c r="I343" s="13"/>
      <c r="J343" s="13"/>
      <c r="K343" s="111"/>
      <c r="L343" s="104"/>
      <c r="M343" s="309"/>
    </row>
    <row r="344" spans="2:13" ht="22.15" customHeight="1">
      <c r="B344" s="305"/>
      <c r="C344" s="317"/>
      <c r="D344" s="133"/>
      <c r="E344" s="126"/>
      <c r="F344" s="128"/>
      <c r="G344" s="13"/>
      <c r="H344" s="14"/>
      <c r="I344" s="13"/>
      <c r="J344" s="13"/>
      <c r="K344" s="111"/>
      <c r="L344" s="104"/>
      <c r="M344" s="309"/>
    </row>
    <row r="345" spans="2:13" ht="22.15" customHeight="1">
      <c r="B345" s="305"/>
      <c r="C345" s="317"/>
      <c r="D345" s="133"/>
      <c r="E345" s="126"/>
      <c r="F345" s="128"/>
      <c r="G345" s="13"/>
      <c r="H345" s="14"/>
      <c r="I345" s="13"/>
      <c r="J345" s="13"/>
      <c r="K345" s="111"/>
      <c r="L345" s="104"/>
      <c r="M345" s="309"/>
    </row>
    <row r="346" spans="2:13" ht="22.15" customHeight="1">
      <c r="B346" s="305"/>
      <c r="C346" s="317"/>
      <c r="D346" s="133"/>
      <c r="E346" s="126"/>
      <c r="F346" s="128"/>
      <c r="G346" s="13"/>
      <c r="H346" s="14"/>
      <c r="I346" s="13"/>
      <c r="J346" s="13"/>
      <c r="K346" s="111"/>
      <c r="L346" s="104"/>
      <c r="M346" s="309"/>
    </row>
    <row r="347" spans="2:13" ht="22.15" customHeight="1">
      <c r="B347" s="305"/>
      <c r="C347" s="317"/>
      <c r="D347" s="133"/>
      <c r="E347" s="126"/>
      <c r="F347" s="128"/>
      <c r="G347" s="13"/>
      <c r="H347" s="14"/>
      <c r="I347" s="13"/>
      <c r="J347" s="13"/>
      <c r="K347" s="111"/>
      <c r="L347" s="104"/>
      <c r="M347" s="309"/>
    </row>
    <row r="348" spans="2:13" ht="22.15" customHeight="1">
      <c r="B348" s="305"/>
      <c r="C348" s="317"/>
      <c r="D348" s="133"/>
      <c r="E348" s="126"/>
      <c r="F348" s="128"/>
      <c r="G348" s="13"/>
      <c r="H348" s="14"/>
      <c r="I348" s="13"/>
      <c r="J348" s="13"/>
      <c r="K348" s="111"/>
      <c r="L348" s="104"/>
      <c r="M348" s="309"/>
    </row>
    <row r="349" spans="2:13" ht="22.15" customHeight="1">
      <c r="B349" s="305"/>
      <c r="C349" s="317"/>
      <c r="D349" s="133"/>
      <c r="E349" s="126"/>
      <c r="F349" s="128"/>
      <c r="G349" s="13"/>
      <c r="H349" s="14"/>
      <c r="I349" s="13"/>
      <c r="J349" s="13"/>
      <c r="K349" s="111"/>
      <c r="L349" s="104"/>
      <c r="M349" s="309"/>
    </row>
  </sheetData>
  <autoFilter ref="B10:M161" xr:uid="{00000000-0009-0000-0000-000002000000}"/>
  <mergeCells count="3">
    <mergeCell ref="K6:L6"/>
    <mergeCell ref="K7:L7"/>
    <mergeCell ref="K8:L8"/>
  </mergeCells>
  <phoneticPr fontId="1" type="noConversion"/>
  <dataValidations count="1">
    <dataValidation type="list" allowBlank="1" showInputMessage="1" showErrorMessage="1" sqref="B11:B60 B262 B244:B245 B248:B250 B253:B257 B260 B63:B241" xr:uid="{00000000-0002-0000-0200-000000000000}">
      <formula1>$B$4:$B$8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8" scale="83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1000000}">
          <x14:formula1>
            <xm:f>リスト!$C$2:$C$55</xm:f>
          </x14:formula1>
          <xm:sqref>F11:F140 F319 F142:F303</xm:sqref>
        </x14:dataValidation>
        <x14:dataValidation type="list" allowBlank="1" showInputMessage="1" showErrorMessage="1" xr:uid="{00000000-0002-0000-0200-000002000000}">
          <x14:formula1>
            <xm:f>リスト!$D$2:$D$100</xm:f>
          </x14:formula1>
          <xm:sqref>G319 G11:G303</xm:sqref>
        </x14:dataValidation>
        <x14:dataValidation type="list" allowBlank="1" showInputMessage="1" showErrorMessage="1" xr:uid="{00000000-0002-0000-0200-000003000000}">
          <x14:formula1>
            <xm:f>リスト!$B$2:$B$8</xm:f>
          </x14:formula1>
          <xm:sqref>E122:E349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/>
  <dimension ref="B1:T41"/>
  <sheetViews>
    <sheetView zoomScale="70" zoomScaleNormal="70" workbookViewId="0">
      <pane xSplit="1" ySplit="10" topLeftCell="B11" activePane="bottomRight" state="frozen"/>
      <selection pane="topRight" activeCell="B12" sqref="B12:L25"/>
      <selection pane="bottomLeft" activeCell="B12" sqref="B12:L25"/>
      <selection pane="bottomRight" activeCell="B11" sqref="B11:L25"/>
    </sheetView>
  </sheetViews>
  <sheetFormatPr defaultColWidth="8.875" defaultRowHeight="22.15" customHeight="1"/>
  <cols>
    <col min="1" max="1" width="2.75" style="116" customWidth="1"/>
    <col min="2" max="2" width="12.75" style="29" bestFit="1" customWidth="1"/>
    <col min="3" max="3" width="15.5" style="29" bestFit="1" customWidth="1"/>
    <col min="4" max="4" width="14.25" style="29" bestFit="1" customWidth="1"/>
    <col min="5" max="5" width="19.25" style="29" bestFit="1" customWidth="1"/>
    <col min="6" max="6" width="21.625" style="29" bestFit="1" customWidth="1"/>
    <col min="7" max="7" width="18" style="29" bestFit="1" customWidth="1"/>
    <col min="8" max="8" width="12.75" style="29" bestFit="1" customWidth="1"/>
    <col min="9" max="9" width="13.5" style="29" bestFit="1" customWidth="1"/>
    <col min="10" max="10" width="13.125" style="29" bestFit="1" customWidth="1"/>
    <col min="11" max="11" width="12.75" style="29" bestFit="1" customWidth="1"/>
    <col min="12" max="13" width="17.125" style="29" bestFit="1" customWidth="1"/>
    <col min="14" max="14" width="10.75" style="116" bestFit="1" customWidth="1"/>
    <col min="15" max="15" width="15.125" style="116" bestFit="1" customWidth="1"/>
    <col min="16" max="16" width="9.125" style="116" bestFit="1" customWidth="1"/>
    <col min="17" max="16384" width="8.875" style="116"/>
  </cols>
  <sheetData>
    <row r="1" spans="2:20" ht="6" customHeight="1" thickBot="1">
      <c r="J1" s="248"/>
      <c r="K1" s="248"/>
      <c r="L1" s="275"/>
      <c r="M1" s="115"/>
    </row>
    <row r="2" spans="2:20" ht="20.25" customHeight="1">
      <c r="B2" s="248"/>
      <c r="C2" s="248"/>
      <c r="D2" s="248"/>
      <c r="E2" s="248"/>
      <c r="F2" s="276" t="s">
        <v>0</v>
      </c>
      <c r="H2" s="73"/>
      <c r="J2" s="92" t="s">
        <v>1</v>
      </c>
      <c r="K2" s="326" t="s">
        <v>2</v>
      </c>
      <c r="L2" s="120"/>
      <c r="M2" s="116"/>
      <c r="N2" s="74"/>
      <c r="O2" s="75"/>
      <c r="P2" s="75"/>
      <c r="T2" s="76"/>
    </row>
    <row r="3" spans="2:20" ht="20.25" customHeight="1">
      <c r="B3" s="248" t="s">
        <v>3</v>
      </c>
      <c r="C3" s="248"/>
      <c r="E3" s="248" t="s">
        <v>4</v>
      </c>
      <c r="F3" s="248"/>
      <c r="G3" s="248"/>
      <c r="H3" s="73"/>
      <c r="J3" s="77"/>
      <c r="K3" s="165" t="s">
        <v>797</v>
      </c>
      <c r="L3" s="90" t="s">
        <v>28</v>
      </c>
      <c r="M3" s="163">
        <v>45189</v>
      </c>
      <c r="T3" s="248"/>
    </row>
    <row r="4" spans="2:20" ht="20.25" customHeight="1" thickBot="1">
      <c r="B4" s="248" t="s">
        <v>42</v>
      </c>
      <c r="C4" s="248" t="s">
        <v>8</v>
      </c>
      <c r="E4" s="16" t="s">
        <v>9</v>
      </c>
      <c r="F4" s="78" t="s">
        <v>225</v>
      </c>
      <c r="G4" s="79"/>
      <c r="H4" s="73"/>
      <c r="J4" s="80"/>
      <c r="K4" s="164" t="s">
        <v>798</v>
      </c>
      <c r="L4" s="90" t="s">
        <v>29</v>
      </c>
      <c r="M4" s="163">
        <v>45184</v>
      </c>
      <c r="T4" s="248"/>
    </row>
    <row r="5" spans="2:20" ht="20.25" customHeight="1" thickBot="1">
      <c r="B5" s="248" t="s">
        <v>11</v>
      </c>
      <c r="C5" s="248" t="s">
        <v>12</v>
      </c>
      <c r="E5" s="16" t="s">
        <v>13</v>
      </c>
      <c r="F5" s="78" t="s">
        <v>227</v>
      </c>
      <c r="G5" s="78"/>
      <c r="H5" s="73"/>
      <c r="J5" s="91"/>
      <c r="K5" s="91"/>
      <c r="L5" s="90"/>
      <c r="M5" s="81"/>
      <c r="T5" s="81"/>
    </row>
    <row r="6" spans="2:20" ht="20.25" customHeight="1">
      <c r="B6" s="248" t="s">
        <v>15</v>
      </c>
      <c r="C6" s="248" t="s">
        <v>16</v>
      </c>
      <c r="E6" s="16" t="s">
        <v>17</v>
      </c>
      <c r="F6" s="78" t="s">
        <v>228</v>
      </c>
      <c r="G6" s="78"/>
      <c r="H6" s="82"/>
      <c r="I6" s="83"/>
      <c r="J6" s="162" t="s">
        <v>19</v>
      </c>
      <c r="K6" s="429" t="s">
        <v>799</v>
      </c>
      <c r="L6" s="430"/>
      <c r="M6" s="81"/>
      <c r="T6" s="81"/>
    </row>
    <row r="7" spans="2:20" ht="20.25" customHeight="1">
      <c r="B7" s="248" t="s">
        <v>21</v>
      </c>
      <c r="C7" s="248" t="s">
        <v>800</v>
      </c>
      <c r="E7" s="78"/>
      <c r="F7" s="248"/>
      <c r="G7" s="276"/>
      <c r="H7" s="82"/>
      <c r="I7" s="83"/>
      <c r="J7" s="161" t="s">
        <v>24</v>
      </c>
      <c r="K7" s="431" t="s">
        <v>801</v>
      </c>
      <c r="L7" s="432"/>
      <c r="M7" s="81"/>
      <c r="T7" s="81"/>
    </row>
    <row r="8" spans="2:20" ht="20.25" customHeight="1" thickBot="1">
      <c r="E8" s="248"/>
      <c r="F8" s="248"/>
      <c r="G8" s="276"/>
      <c r="H8" s="82"/>
      <c r="I8" s="83"/>
      <c r="J8" s="160" t="s">
        <v>26</v>
      </c>
      <c r="K8" s="433" t="s">
        <v>802</v>
      </c>
      <c r="L8" s="434"/>
      <c r="M8" s="81"/>
      <c r="T8" s="81"/>
    </row>
    <row r="9" spans="2:20" ht="20.25" customHeight="1" thickBot="1">
      <c r="E9" s="248"/>
      <c r="F9" s="248"/>
      <c r="G9" s="276"/>
      <c r="H9" s="82"/>
      <c r="I9" s="83"/>
      <c r="J9" s="159"/>
      <c r="K9" s="158"/>
      <c r="L9" s="157"/>
      <c r="M9" s="81"/>
      <c r="T9" s="81"/>
    </row>
    <row r="10" spans="2:20" ht="22.15" customHeight="1" thickBot="1">
      <c r="B10" s="156" t="s">
        <v>30</v>
      </c>
      <c r="C10" s="154" t="s">
        <v>31</v>
      </c>
      <c r="D10" s="154" t="s">
        <v>32</v>
      </c>
      <c r="E10" s="155" t="s">
        <v>33</v>
      </c>
      <c r="F10" s="155" t="s">
        <v>34</v>
      </c>
      <c r="G10" s="154" t="s">
        <v>35</v>
      </c>
      <c r="H10" s="154" t="s">
        <v>36</v>
      </c>
      <c r="I10" s="154" t="s">
        <v>37</v>
      </c>
      <c r="J10" s="154" t="s">
        <v>38</v>
      </c>
      <c r="K10" s="154" t="s">
        <v>39</v>
      </c>
      <c r="L10" s="154" t="s">
        <v>40</v>
      </c>
      <c r="M10" s="152" t="s">
        <v>803</v>
      </c>
    </row>
    <row r="11" spans="2:20" ht="22.15" customHeight="1" thickTop="1">
      <c r="B11" s="166" t="s">
        <v>7</v>
      </c>
      <c r="C11" s="167" t="s">
        <v>804</v>
      </c>
      <c r="D11" s="167" t="s">
        <v>805</v>
      </c>
      <c r="E11" s="250" t="s">
        <v>45</v>
      </c>
      <c r="F11" s="167" t="s">
        <v>46</v>
      </c>
      <c r="G11" s="167" t="s">
        <v>255</v>
      </c>
      <c r="H11" s="168" t="s">
        <v>806</v>
      </c>
      <c r="I11" s="169" t="s">
        <v>807</v>
      </c>
      <c r="J11" s="167">
        <v>2</v>
      </c>
      <c r="K11" s="167" t="s">
        <v>50</v>
      </c>
      <c r="L11" s="170">
        <v>47.9</v>
      </c>
      <c r="M11" s="60"/>
    </row>
    <row r="12" spans="2:20" ht="22.15" customHeight="1">
      <c r="B12" s="109" t="s">
        <v>7</v>
      </c>
      <c r="C12" s="110" t="s">
        <v>804</v>
      </c>
      <c r="D12" s="110" t="s">
        <v>805</v>
      </c>
      <c r="E12" s="110" t="s">
        <v>45</v>
      </c>
      <c r="F12" s="110" t="s">
        <v>46</v>
      </c>
      <c r="G12" s="110" t="s">
        <v>255</v>
      </c>
      <c r="H12" s="112" t="s">
        <v>808</v>
      </c>
      <c r="I12" s="113" t="s">
        <v>809</v>
      </c>
      <c r="J12" s="110">
        <v>4</v>
      </c>
      <c r="K12" s="110" t="s">
        <v>50</v>
      </c>
      <c r="L12" s="103">
        <v>55.7</v>
      </c>
      <c r="M12" s="65"/>
    </row>
    <row r="13" spans="2:20" ht="22.15" customHeight="1">
      <c r="B13" s="109" t="s">
        <v>7</v>
      </c>
      <c r="C13" s="110" t="s">
        <v>804</v>
      </c>
      <c r="D13" s="110" t="s">
        <v>805</v>
      </c>
      <c r="E13" s="110" t="s">
        <v>45</v>
      </c>
      <c r="F13" s="110" t="s">
        <v>46</v>
      </c>
      <c r="G13" s="110" t="s">
        <v>255</v>
      </c>
      <c r="H13" s="112" t="s">
        <v>48</v>
      </c>
      <c r="I13" s="113" t="s">
        <v>49</v>
      </c>
      <c r="J13" s="110">
        <v>12</v>
      </c>
      <c r="K13" s="110" t="s">
        <v>50</v>
      </c>
      <c r="L13" s="171">
        <v>33</v>
      </c>
      <c r="M13" s="65"/>
    </row>
    <row r="14" spans="2:20" ht="22.15" customHeight="1">
      <c r="B14" s="109" t="s">
        <v>7</v>
      </c>
      <c r="C14" s="110" t="s">
        <v>804</v>
      </c>
      <c r="D14" s="110" t="s">
        <v>805</v>
      </c>
      <c r="E14" s="110" t="s">
        <v>45</v>
      </c>
      <c r="F14" s="110" t="s">
        <v>46</v>
      </c>
      <c r="G14" s="110" t="s">
        <v>255</v>
      </c>
      <c r="H14" s="112" t="s">
        <v>51</v>
      </c>
      <c r="I14" s="113" t="s">
        <v>52</v>
      </c>
      <c r="J14" s="110">
        <v>28</v>
      </c>
      <c r="K14" s="110" t="s">
        <v>50</v>
      </c>
      <c r="L14" s="171">
        <v>38.5</v>
      </c>
      <c r="M14" s="65"/>
    </row>
    <row r="15" spans="2:20" ht="22.15" customHeight="1">
      <c r="B15" s="109" t="s">
        <v>7</v>
      </c>
      <c r="C15" s="110" t="s">
        <v>804</v>
      </c>
      <c r="D15" s="110" t="s">
        <v>805</v>
      </c>
      <c r="E15" s="110" t="s">
        <v>45</v>
      </c>
      <c r="F15" s="110" t="s">
        <v>46</v>
      </c>
      <c r="G15" s="110" t="s">
        <v>255</v>
      </c>
      <c r="H15" s="112" t="s">
        <v>810</v>
      </c>
      <c r="I15" s="113" t="s">
        <v>811</v>
      </c>
      <c r="J15" s="110">
        <v>2</v>
      </c>
      <c r="K15" s="110" t="s">
        <v>50</v>
      </c>
      <c r="L15" s="103">
        <v>32</v>
      </c>
      <c r="M15" s="68"/>
    </row>
    <row r="16" spans="2:20" ht="22.15" customHeight="1">
      <c r="B16" s="109" t="s">
        <v>7</v>
      </c>
      <c r="C16" s="110" t="s">
        <v>804</v>
      </c>
      <c r="D16" s="110" t="s">
        <v>805</v>
      </c>
      <c r="E16" s="110" t="s">
        <v>45</v>
      </c>
      <c r="F16" s="110" t="s">
        <v>46</v>
      </c>
      <c r="G16" s="110" t="s">
        <v>255</v>
      </c>
      <c r="H16" s="112" t="s">
        <v>812</v>
      </c>
      <c r="I16" s="113" t="s">
        <v>813</v>
      </c>
      <c r="J16" s="110">
        <v>8</v>
      </c>
      <c r="K16" s="110" t="s">
        <v>50</v>
      </c>
      <c r="L16" s="103">
        <v>10.1</v>
      </c>
      <c r="M16" s="65"/>
    </row>
    <row r="17" spans="2:13" ht="22.15" customHeight="1">
      <c r="B17" s="109" t="s">
        <v>7</v>
      </c>
      <c r="C17" s="110" t="s">
        <v>804</v>
      </c>
      <c r="D17" s="110" t="s">
        <v>805</v>
      </c>
      <c r="E17" s="110" t="s">
        <v>45</v>
      </c>
      <c r="F17" s="110" t="s">
        <v>46</v>
      </c>
      <c r="G17" s="110" t="s">
        <v>131</v>
      </c>
      <c r="H17" s="112" t="s">
        <v>812</v>
      </c>
      <c r="I17" s="113" t="s">
        <v>813</v>
      </c>
      <c r="J17" s="110">
        <v>20</v>
      </c>
      <c r="K17" s="110" t="s">
        <v>50</v>
      </c>
      <c r="L17" s="103">
        <v>5</v>
      </c>
      <c r="M17" s="65"/>
    </row>
    <row r="18" spans="2:13" ht="22.15" customHeight="1">
      <c r="B18" s="109" t="s">
        <v>66</v>
      </c>
      <c r="C18" s="110" t="s">
        <v>814</v>
      </c>
      <c r="D18" s="110" t="s">
        <v>815</v>
      </c>
      <c r="E18" s="110" t="s">
        <v>45</v>
      </c>
      <c r="F18" s="87" t="s">
        <v>164</v>
      </c>
      <c r="G18" s="66" t="s">
        <v>816</v>
      </c>
      <c r="H18" s="172" t="s">
        <v>712</v>
      </c>
      <c r="I18" s="87" t="s">
        <v>713</v>
      </c>
      <c r="J18" s="110">
        <v>70</v>
      </c>
      <c r="K18" s="110" t="s">
        <v>71</v>
      </c>
      <c r="L18" s="171">
        <v>25</v>
      </c>
      <c r="M18" s="65"/>
    </row>
    <row r="19" spans="2:13" ht="22.15" customHeight="1">
      <c r="B19" s="109" t="s">
        <v>66</v>
      </c>
      <c r="C19" s="110" t="s">
        <v>814</v>
      </c>
      <c r="D19" s="110" t="s">
        <v>817</v>
      </c>
      <c r="E19" s="110" t="s">
        <v>45</v>
      </c>
      <c r="F19" s="87" t="s">
        <v>164</v>
      </c>
      <c r="G19" s="66" t="s">
        <v>718</v>
      </c>
      <c r="H19" s="172" t="s">
        <v>712</v>
      </c>
      <c r="I19" s="87" t="s">
        <v>713</v>
      </c>
      <c r="J19" s="110">
        <v>15</v>
      </c>
      <c r="K19" s="110" t="s">
        <v>71</v>
      </c>
      <c r="L19" s="171">
        <v>25</v>
      </c>
      <c r="M19" s="65"/>
    </row>
    <row r="20" spans="2:13" ht="22.15" customHeight="1">
      <c r="B20" s="109" t="s">
        <v>7</v>
      </c>
      <c r="C20" s="110" t="s">
        <v>818</v>
      </c>
      <c r="D20" s="13" t="s">
        <v>819</v>
      </c>
      <c r="E20" s="110" t="s">
        <v>45</v>
      </c>
      <c r="F20" s="110" t="s">
        <v>166</v>
      </c>
      <c r="G20" s="110" t="s">
        <v>255</v>
      </c>
      <c r="H20" s="14" t="s">
        <v>398</v>
      </c>
      <c r="I20" s="13" t="s">
        <v>820</v>
      </c>
      <c r="J20" s="13">
        <v>14</v>
      </c>
      <c r="K20" s="110" t="s">
        <v>50</v>
      </c>
      <c r="L20" s="104">
        <v>36.299999999999997</v>
      </c>
      <c r="M20" s="65"/>
    </row>
    <row r="21" spans="2:13" ht="22.15" customHeight="1">
      <c r="B21" s="109" t="s">
        <v>7</v>
      </c>
      <c r="C21" s="110" t="s">
        <v>818</v>
      </c>
      <c r="D21" s="13" t="s">
        <v>819</v>
      </c>
      <c r="E21" s="110" t="s">
        <v>45</v>
      </c>
      <c r="F21" s="110" t="s">
        <v>46</v>
      </c>
      <c r="G21" s="110" t="s">
        <v>255</v>
      </c>
      <c r="H21" s="112" t="s">
        <v>51</v>
      </c>
      <c r="I21" s="13" t="s">
        <v>52</v>
      </c>
      <c r="J21" s="13">
        <v>23</v>
      </c>
      <c r="K21" s="110" t="s">
        <v>50</v>
      </c>
      <c r="L21" s="171">
        <v>38.5</v>
      </c>
      <c r="M21" s="65"/>
    </row>
    <row r="22" spans="2:13" ht="22.15" customHeight="1">
      <c r="B22" s="109" t="s">
        <v>7</v>
      </c>
      <c r="C22" s="110" t="s">
        <v>818</v>
      </c>
      <c r="D22" s="13" t="s">
        <v>819</v>
      </c>
      <c r="E22" s="110" t="s">
        <v>45</v>
      </c>
      <c r="F22" s="110" t="s">
        <v>46</v>
      </c>
      <c r="G22" s="110" t="s">
        <v>255</v>
      </c>
      <c r="H22" s="112" t="s">
        <v>51</v>
      </c>
      <c r="I22" s="13" t="s">
        <v>52</v>
      </c>
      <c r="J22" s="13">
        <v>28</v>
      </c>
      <c r="K22" s="110" t="s">
        <v>50</v>
      </c>
      <c r="L22" s="171">
        <v>38.5</v>
      </c>
      <c r="M22" s="65"/>
    </row>
    <row r="23" spans="2:13" ht="22.15" customHeight="1">
      <c r="B23" s="109" t="s">
        <v>7</v>
      </c>
      <c r="C23" s="110" t="s">
        <v>818</v>
      </c>
      <c r="D23" s="13" t="s">
        <v>819</v>
      </c>
      <c r="E23" s="110" t="s">
        <v>45</v>
      </c>
      <c r="F23" s="110" t="s">
        <v>46</v>
      </c>
      <c r="G23" s="110" t="s">
        <v>255</v>
      </c>
      <c r="H23" s="112" t="s">
        <v>51</v>
      </c>
      <c r="I23" s="13" t="s">
        <v>52</v>
      </c>
      <c r="J23" s="13">
        <v>27</v>
      </c>
      <c r="K23" s="110" t="s">
        <v>50</v>
      </c>
      <c r="L23" s="171">
        <v>38.5</v>
      </c>
      <c r="M23" s="65"/>
    </row>
    <row r="24" spans="2:13" ht="22.15" customHeight="1">
      <c r="B24" s="109" t="s">
        <v>7</v>
      </c>
      <c r="C24" s="110" t="s">
        <v>818</v>
      </c>
      <c r="D24" s="13" t="s">
        <v>819</v>
      </c>
      <c r="E24" s="110" t="s">
        <v>45</v>
      </c>
      <c r="F24" s="110" t="s">
        <v>46</v>
      </c>
      <c r="G24" s="110" t="s">
        <v>255</v>
      </c>
      <c r="H24" s="112" t="s">
        <v>48</v>
      </c>
      <c r="I24" s="13" t="s">
        <v>49</v>
      </c>
      <c r="J24" s="13">
        <v>32</v>
      </c>
      <c r="K24" s="110" t="s">
        <v>50</v>
      </c>
      <c r="L24" s="171">
        <v>33</v>
      </c>
      <c r="M24" s="65"/>
    </row>
    <row r="25" spans="2:13" ht="22.15" customHeight="1">
      <c r="B25" s="109" t="s">
        <v>7</v>
      </c>
      <c r="C25" s="110" t="s">
        <v>818</v>
      </c>
      <c r="D25" s="13" t="s">
        <v>819</v>
      </c>
      <c r="E25" s="110" t="s">
        <v>45</v>
      </c>
      <c r="F25" s="110" t="s">
        <v>46</v>
      </c>
      <c r="G25" s="110" t="s">
        <v>255</v>
      </c>
      <c r="H25" s="112" t="s">
        <v>48</v>
      </c>
      <c r="I25" s="13" t="s">
        <v>49</v>
      </c>
      <c r="J25" s="13">
        <v>32</v>
      </c>
      <c r="K25" s="110" t="s">
        <v>50</v>
      </c>
      <c r="L25" s="171">
        <v>33</v>
      </c>
      <c r="M25" s="65"/>
    </row>
    <row r="26" spans="2:13" ht="22.15" customHeight="1">
      <c r="B26" s="109"/>
      <c r="C26" s="114"/>
      <c r="D26" s="13"/>
      <c r="E26" s="110"/>
      <c r="F26" s="110"/>
      <c r="G26" s="110"/>
      <c r="H26" s="112"/>
      <c r="I26" s="13"/>
      <c r="J26" s="13"/>
      <c r="K26" s="110"/>
      <c r="L26" s="66"/>
      <c r="M26" s="65"/>
    </row>
    <row r="27" spans="2:13" ht="22.15" customHeight="1">
      <c r="B27" s="109"/>
      <c r="C27" s="114"/>
      <c r="D27" s="13"/>
      <c r="E27" s="110"/>
      <c r="F27" s="110"/>
      <c r="G27" s="110"/>
      <c r="H27" s="112"/>
      <c r="I27" s="13"/>
      <c r="J27" s="13"/>
      <c r="K27" s="110"/>
      <c r="L27" s="66"/>
      <c r="M27" s="65"/>
    </row>
    <row r="28" spans="2:13" ht="22.15" customHeight="1">
      <c r="B28" s="109"/>
      <c r="C28" s="114"/>
      <c r="D28" s="13"/>
      <c r="E28" s="110"/>
      <c r="F28" s="110"/>
      <c r="G28" s="110"/>
      <c r="H28" s="112"/>
      <c r="I28" s="13"/>
      <c r="J28" s="13"/>
      <c r="K28" s="110"/>
      <c r="L28" s="66"/>
      <c r="M28" s="65"/>
    </row>
    <row r="29" spans="2:13" ht="22.15" customHeight="1">
      <c r="B29" s="86"/>
      <c r="C29" s="13"/>
      <c r="D29" s="13"/>
      <c r="E29" s="13"/>
      <c r="F29" s="13"/>
      <c r="G29" s="13"/>
      <c r="H29" s="14"/>
      <c r="I29" s="47"/>
      <c r="J29" s="13"/>
      <c r="K29" s="13"/>
      <c r="L29" s="13"/>
      <c r="M29" s="65"/>
    </row>
    <row r="30" spans="2:13" ht="22.15" customHeight="1">
      <c r="B30" s="86"/>
      <c r="C30" s="13"/>
      <c r="D30" s="13"/>
      <c r="E30" s="13"/>
      <c r="F30" s="13"/>
      <c r="G30" s="13"/>
      <c r="H30" s="14"/>
      <c r="I30" s="47"/>
      <c r="J30" s="13"/>
      <c r="K30" s="13"/>
      <c r="L30" s="13"/>
      <c r="M30" s="65"/>
    </row>
    <row r="31" spans="2:13" ht="22.15" customHeight="1">
      <c r="B31" s="86"/>
      <c r="C31" s="13"/>
      <c r="D31" s="13"/>
      <c r="E31" s="13"/>
      <c r="F31" s="13"/>
      <c r="G31" s="13"/>
      <c r="H31" s="14"/>
      <c r="I31" s="47"/>
      <c r="J31" s="13"/>
      <c r="K31" s="13"/>
      <c r="L31" s="13"/>
      <c r="M31" s="65"/>
    </row>
    <row r="32" spans="2:13" ht="22.15" customHeight="1">
      <c r="B32" s="86"/>
      <c r="C32" s="13"/>
      <c r="D32" s="13"/>
      <c r="E32" s="13"/>
      <c r="F32" s="13"/>
      <c r="G32" s="13"/>
      <c r="H32" s="14"/>
      <c r="I32" s="47"/>
      <c r="J32" s="13"/>
      <c r="K32" s="13"/>
      <c r="L32" s="13"/>
      <c r="M32" s="65"/>
    </row>
    <row r="33" spans="2:13" ht="22.15" customHeight="1">
      <c r="B33" s="86"/>
      <c r="C33" s="13"/>
      <c r="D33" s="13"/>
      <c r="E33" s="13"/>
      <c r="F33" s="13"/>
      <c r="G33" s="13"/>
      <c r="H33" s="14"/>
      <c r="I33" s="13"/>
      <c r="J33" s="13"/>
      <c r="K33" s="13"/>
      <c r="L33" s="13"/>
      <c r="M33" s="65"/>
    </row>
    <row r="34" spans="2:13" ht="22.15" customHeight="1" thickBot="1">
      <c r="B34" s="107"/>
      <c r="C34" s="49"/>
      <c r="D34" s="49"/>
      <c r="E34" s="49"/>
      <c r="F34" s="49"/>
      <c r="G34" s="49"/>
      <c r="H34" s="50"/>
      <c r="I34" s="49"/>
      <c r="J34" s="49"/>
      <c r="K34" s="49"/>
      <c r="L34" s="49"/>
      <c r="M34" s="71"/>
    </row>
    <row r="35" spans="2:13" ht="22.15" customHeight="1">
      <c r="H35" s="51"/>
      <c r="M35" s="52"/>
    </row>
    <row r="36" spans="2:13" ht="22.15" customHeight="1">
      <c r="H36" s="51"/>
    </row>
    <row r="37" spans="2:13" ht="22.15" customHeight="1">
      <c r="H37" s="51"/>
    </row>
    <row r="38" spans="2:13" ht="22.15" customHeight="1">
      <c r="H38" s="51"/>
    </row>
    <row r="39" spans="2:13" ht="22.15" customHeight="1">
      <c r="H39" s="51"/>
    </row>
    <row r="40" spans="2:13" ht="22.15" customHeight="1">
      <c r="H40" s="51"/>
    </row>
    <row r="41" spans="2:13" ht="22.15" customHeight="1">
      <c r="H41" s="51"/>
    </row>
  </sheetData>
  <autoFilter ref="B10:M10" xr:uid="{00000000-0009-0000-0000-000003000000}"/>
  <mergeCells count="3">
    <mergeCell ref="K6:L6"/>
    <mergeCell ref="K7:L7"/>
    <mergeCell ref="K8:L8"/>
  </mergeCells>
  <phoneticPr fontId="1" type="noConversion"/>
  <dataValidations count="1">
    <dataValidation type="list" allowBlank="1" showInputMessage="1" showErrorMessage="1" sqref="B29:B34" xr:uid="{00000000-0002-0000-0300-000000000000}">
      <formula1>$B$4:$B$8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1000000}">
          <x14:formula1>
            <xm:f>リスト!$B$2:$B$8</xm:f>
          </x14:formula1>
          <xm:sqref>E11:E34</xm:sqref>
        </x14:dataValidation>
        <x14:dataValidation type="list" allowBlank="1" showInputMessage="1" showErrorMessage="1" xr:uid="{00000000-0002-0000-0300-000002000000}">
          <x14:formula1>
            <xm:f>リスト!$C$2:$C$55</xm:f>
          </x14:formula1>
          <xm:sqref>F11:F34</xm:sqref>
        </x14:dataValidation>
        <x14:dataValidation type="list" allowBlank="1" showInputMessage="1" showErrorMessage="1" xr:uid="{00000000-0002-0000-0300-000003000000}">
          <x14:formula1>
            <xm:f>リスト!$D$2:$D$100</xm:f>
          </x14:formula1>
          <xm:sqref>G11:G34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>
    <pageSetUpPr fitToPage="1"/>
  </sheetPr>
  <dimension ref="B1:T108"/>
  <sheetViews>
    <sheetView zoomScale="85" zoomScaleNormal="85" workbookViewId="0">
      <pane xSplit="1" ySplit="10" topLeftCell="B11" activePane="bottomRight" state="frozen"/>
      <selection pane="topRight" activeCell="B12" sqref="B12:L25"/>
      <selection pane="bottomLeft" activeCell="B12" sqref="B12:L25"/>
      <selection pane="bottomRight" activeCell="L89" sqref="L89"/>
    </sheetView>
  </sheetViews>
  <sheetFormatPr defaultColWidth="8.875" defaultRowHeight="22.15" customHeight="1"/>
  <cols>
    <col min="1" max="1" width="2.75" style="29" customWidth="1"/>
    <col min="2" max="2" width="12.75" style="29" bestFit="1" customWidth="1"/>
    <col min="3" max="3" width="18" style="29" bestFit="1" customWidth="1"/>
    <col min="4" max="4" width="14.25" style="29" bestFit="1" customWidth="1"/>
    <col min="5" max="5" width="19.25" style="29" bestFit="1" customWidth="1"/>
    <col min="6" max="6" width="25.625" style="29" bestFit="1" customWidth="1"/>
    <col min="7" max="7" width="18" style="29" bestFit="1" customWidth="1"/>
    <col min="8" max="8" width="12.75" style="29" bestFit="1" customWidth="1"/>
    <col min="9" max="9" width="26.875" style="29" bestFit="1" customWidth="1"/>
    <col min="10" max="10" width="13.125" style="29" bestFit="1" customWidth="1"/>
    <col min="11" max="11" width="12.75" style="29" bestFit="1" customWidth="1"/>
    <col min="12" max="12" width="17.125" style="29" bestFit="1" customWidth="1"/>
    <col min="13" max="13" width="18.25" style="29" bestFit="1" customWidth="1"/>
    <col min="14" max="15" width="8.875" style="29"/>
    <col min="16" max="16" width="9.125" style="29" bestFit="1" customWidth="1"/>
    <col min="17" max="16384" width="8.875" style="29"/>
  </cols>
  <sheetData>
    <row r="1" spans="2:20" ht="6" customHeight="1" thickBot="1">
      <c r="J1" s="248"/>
      <c r="K1" s="248"/>
      <c r="L1" s="275"/>
      <c r="M1" s="115"/>
    </row>
    <row r="2" spans="2:20" ht="20.25" customHeight="1">
      <c r="B2" s="248"/>
      <c r="C2" s="248"/>
      <c r="D2" s="248"/>
      <c r="E2" s="248"/>
      <c r="F2" s="276" t="s">
        <v>821</v>
      </c>
      <c r="H2" s="73"/>
      <c r="J2" s="92" t="s">
        <v>1</v>
      </c>
      <c r="K2" s="326" t="s">
        <v>2</v>
      </c>
      <c r="L2" s="120"/>
      <c r="M2" s="116"/>
      <c r="N2" s="94"/>
      <c r="O2" s="115"/>
      <c r="P2" s="115"/>
      <c r="T2" s="248"/>
    </row>
    <row r="3" spans="2:20" ht="20.25" customHeight="1">
      <c r="B3" s="248" t="s">
        <v>3</v>
      </c>
      <c r="C3" s="248"/>
      <c r="E3" s="248" t="s">
        <v>4</v>
      </c>
      <c r="F3" s="248"/>
      <c r="G3" s="248"/>
      <c r="H3" s="73"/>
      <c r="J3" s="77"/>
      <c r="K3" s="165" t="s">
        <v>822</v>
      </c>
      <c r="L3" s="90" t="s">
        <v>28</v>
      </c>
      <c r="M3" s="163">
        <v>45189</v>
      </c>
      <c r="T3" s="248"/>
    </row>
    <row r="4" spans="2:20" ht="20.25" customHeight="1" thickBot="1">
      <c r="B4" s="248" t="s">
        <v>42</v>
      </c>
      <c r="C4" s="78" t="s">
        <v>8</v>
      </c>
      <c r="D4" s="16"/>
      <c r="E4" s="16" t="s">
        <v>9</v>
      </c>
      <c r="F4" s="78" t="s">
        <v>225</v>
      </c>
      <c r="G4" s="276"/>
      <c r="H4" s="73"/>
      <c r="J4" s="80"/>
      <c r="K4" s="164" t="s">
        <v>823</v>
      </c>
      <c r="L4" s="90" t="s">
        <v>29</v>
      </c>
      <c r="M4" s="163">
        <v>45181</v>
      </c>
      <c r="T4" s="248"/>
    </row>
    <row r="5" spans="2:20" ht="20.25" customHeight="1" thickBot="1">
      <c r="B5" s="248" t="s">
        <v>11</v>
      </c>
      <c r="C5" s="78" t="s">
        <v>12</v>
      </c>
      <c r="D5" s="16"/>
      <c r="E5" s="16" t="s">
        <v>13</v>
      </c>
      <c r="F5" s="78" t="s">
        <v>227</v>
      </c>
      <c r="G5" s="248"/>
      <c r="H5" s="73"/>
      <c r="J5" s="91"/>
      <c r="K5" s="91"/>
      <c r="L5" s="90"/>
      <c r="M5" s="81"/>
      <c r="T5" s="248"/>
    </row>
    <row r="6" spans="2:20" ht="20.25" customHeight="1">
      <c r="B6" s="248" t="s">
        <v>15</v>
      </c>
      <c r="C6" s="78" t="s">
        <v>16</v>
      </c>
      <c r="D6" s="16"/>
      <c r="E6" s="16" t="s">
        <v>17</v>
      </c>
      <c r="F6" s="78" t="s">
        <v>228</v>
      </c>
      <c r="G6" s="248"/>
      <c r="H6" s="82"/>
      <c r="I6" s="83"/>
      <c r="J6" s="162" t="s">
        <v>19</v>
      </c>
      <c r="K6" s="429" t="s">
        <v>824</v>
      </c>
      <c r="L6" s="430"/>
      <c r="M6" s="81"/>
      <c r="T6" s="248"/>
    </row>
    <row r="7" spans="2:20" ht="20.25" customHeight="1">
      <c r="B7" s="248" t="s">
        <v>21</v>
      </c>
      <c r="C7" s="78" t="s">
        <v>22</v>
      </c>
      <c r="D7" s="16"/>
      <c r="E7" s="78"/>
      <c r="F7" s="78"/>
      <c r="G7" s="276"/>
      <c r="I7" s="83"/>
      <c r="J7" s="161" t="s">
        <v>24</v>
      </c>
      <c r="K7" s="431" t="s">
        <v>825</v>
      </c>
      <c r="L7" s="432"/>
      <c r="M7" s="81"/>
      <c r="T7" s="248"/>
    </row>
    <row r="8" spans="2:20" ht="20.25" customHeight="1" thickBot="1">
      <c r="E8" s="248"/>
      <c r="F8" s="248"/>
      <c r="G8" s="276"/>
      <c r="H8" s="82"/>
      <c r="I8" s="83"/>
      <c r="J8" s="160" t="s">
        <v>26</v>
      </c>
      <c r="K8" s="433" t="s">
        <v>802</v>
      </c>
      <c r="L8" s="434"/>
      <c r="M8" s="81"/>
      <c r="T8" s="248"/>
    </row>
    <row r="9" spans="2:20" ht="20.25" customHeight="1" thickBot="1">
      <c r="E9" s="248"/>
      <c r="F9" s="248"/>
      <c r="G9" s="276"/>
      <c r="H9" s="82"/>
      <c r="I9" s="83"/>
      <c r="J9" s="91"/>
      <c r="K9" s="95"/>
      <c r="L9" s="93"/>
      <c r="M9" s="84"/>
      <c r="T9" s="96"/>
    </row>
    <row r="10" spans="2:20" ht="22.15" customHeight="1" thickBot="1">
      <c r="B10" s="156" t="s">
        <v>30</v>
      </c>
      <c r="C10" s="154" t="s">
        <v>826</v>
      </c>
      <c r="D10" s="154" t="s">
        <v>32</v>
      </c>
      <c r="E10" s="155" t="s">
        <v>33</v>
      </c>
      <c r="F10" s="155" t="s">
        <v>34</v>
      </c>
      <c r="G10" s="154" t="s">
        <v>35</v>
      </c>
      <c r="H10" s="154" t="s">
        <v>36</v>
      </c>
      <c r="I10" s="154" t="s">
        <v>37</v>
      </c>
      <c r="J10" s="154" t="s">
        <v>38</v>
      </c>
      <c r="K10" s="154" t="s">
        <v>39</v>
      </c>
      <c r="L10" s="154" t="s">
        <v>40</v>
      </c>
      <c r="M10" s="152" t="s">
        <v>41</v>
      </c>
    </row>
    <row r="11" spans="2:20" ht="22.15" customHeight="1" thickTop="1">
      <c r="B11" s="173" t="s">
        <v>59</v>
      </c>
      <c r="C11" s="85" t="s">
        <v>827</v>
      </c>
      <c r="D11" s="174" t="s">
        <v>828</v>
      </c>
      <c r="E11" s="174" t="s">
        <v>84</v>
      </c>
      <c r="F11" s="85" t="s">
        <v>128</v>
      </c>
      <c r="G11" s="174" t="s">
        <v>829</v>
      </c>
      <c r="H11" s="175" t="s">
        <v>64</v>
      </c>
      <c r="I11" s="174" t="s">
        <v>65</v>
      </c>
      <c r="J11" s="174">
        <v>114</v>
      </c>
      <c r="K11" s="85" t="s">
        <v>779</v>
      </c>
      <c r="L11" s="97">
        <v>1.03</v>
      </c>
      <c r="M11" s="60"/>
    </row>
    <row r="12" spans="2:20" ht="22.15" customHeight="1">
      <c r="B12" s="176" t="s">
        <v>650</v>
      </c>
      <c r="C12" s="13" t="s">
        <v>830</v>
      </c>
      <c r="D12" s="87" t="s">
        <v>831</v>
      </c>
      <c r="E12" s="105" t="s">
        <v>58</v>
      </c>
      <c r="F12" s="105" t="s">
        <v>80</v>
      </c>
      <c r="G12" s="98" t="s">
        <v>209</v>
      </c>
      <c r="H12" s="99" t="s">
        <v>64</v>
      </c>
      <c r="I12" s="98" t="s">
        <v>65</v>
      </c>
      <c r="J12" s="98">
        <v>117</v>
      </c>
      <c r="K12" s="100" t="s">
        <v>779</v>
      </c>
      <c r="L12" s="105" t="s">
        <v>58</v>
      </c>
      <c r="M12" s="101"/>
    </row>
    <row r="13" spans="2:20" ht="22.15" customHeight="1">
      <c r="B13" s="176" t="s">
        <v>650</v>
      </c>
      <c r="C13" s="13" t="s">
        <v>832</v>
      </c>
      <c r="D13" s="87" t="s">
        <v>833</v>
      </c>
      <c r="E13" s="87" t="s">
        <v>84</v>
      </c>
      <c r="F13" s="87" t="s">
        <v>128</v>
      </c>
      <c r="G13" s="87" t="s">
        <v>777</v>
      </c>
      <c r="H13" s="88" t="s">
        <v>834</v>
      </c>
      <c r="I13" s="87" t="s">
        <v>835</v>
      </c>
      <c r="J13" s="87">
        <v>30</v>
      </c>
      <c r="K13" s="13" t="s">
        <v>779</v>
      </c>
      <c r="L13" s="102">
        <v>10.5</v>
      </c>
      <c r="M13" s="274" t="s">
        <v>836</v>
      </c>
    </row>
    <row r="14" spans="2:20" ht="22.15" customHeight="1">
      <c r="B14" s="176" t="s">
        <v>650</v>
      </c>
      <c r="C14" s="13" t="s">
        <v>832</v>
      </c>
      <c r="D14" s="87" t="s">
        <v>833</v>
      </c>
      <c r="E14" s="87" t="s">
        <v>84</v>
      </c>
      <c r="F14" s="87" t="s">
        <v>128</v>
      </c>
      <c r="G14" s="87" t="s">
        <v>777</v>
      </c>
      <c r="H14" s="88" t="s">
        <v>837</v>
      </c>
      <c r="I14" s="87" t="s">
        <v>838</v>
      </c>
      <c r="J14" s="87">
        <v>19</v>
      </c>
      <c r="K14" s="13" t="s">
        <v>779</v>
      </c>
      <c r="L14" s="102">
        <v>14.11</v>
      </c>
      <c r="M14" s="274" t="s">
        <v>836</v>
      </c>
    </row>
    <row r="15" spans="2:20" ht="22.15" customHeight="1">
      <c r="B15" s="176" t="s">
        <v>650</v>
      </c>
      <c r="C15" s="13" t="s">
        <v>832</v>
      </c>
      <c r="D15" s="87" t="s">
        <v>839</v>
      </c>
      <c r="E15" s="105" t="s">
        <v>80</v>
      </c>
      <c r="F15" s="105" t="s">
        <v>80</v>
      </c>
      <c r="G15" s="98" t="s">
        <v>840</v>
      </c>
      <c r="H15" s="98" t="s">
        <v>841</v>
      </c>
      <c r="I15" s="105" t="s">
        <v>80</v>
      </c>
      <c r="J15" s="98">
        <v>49</v>
      </c>
      <c r="K15" s="100" t="s">
        <v>779</v>
      </c>
      <c r="L15" s="105" t="s">
        <v>58</v>
      </c>
      <c r="M15" s="101"/>
    </row>
    <row r="16" spans="2:20" ht="22.15" customHeight="1">
      <c r="B16" s="176" t="s">
        <v>650</v>
      </c>
      <c r="C16" s="13" t="s">
        <v>832</v>
      </c>
      <c r="D16" s="87" t="s">
        <v>839</v>
      </c>
      <c r="E16" s="87" t="s">
        <v>84</v>
      </c>
      <c r="F16" s="87" t="s">
        <v>128</v>
      </c>
      <c r="G16" s="87" t="s">
        <v>777</v>
      </c>
      <c r="H16" s="88">
        <v>46.506500000000003</v>
      </c>
      <c r="I16" s="87" t="s">
        <v>842</v>
      </c>
      <c r="J16" s="87">
        <v>15</v>
      </c>
      <c r="K16" s="13" t="s">
        <v>779</v>
      </c>
      <c r="L16" s="103">
        <v>21</v>
      </c>
      <c r="M16" s="65"/>
    </row>
    <row r="17" spans="2:13" ht="22.15" customHeight="1">
      <c r="B17" s="176" t="s">
        <v>650</v>
      </c>
      <c r="C17" s="13" t="s">
        <v>830</v>
      </c>
      <c r="D17" s="87" t="s">
        <v>843</v>
      </c>
      <c r="E17" s="87" t="s">
        <v>81</v>
      </c>
      <c r="F17" s="13" t="s">
        <v>109</v>
      </c>
      <c r="G17" s="87" t="s">
        <v>777</v>
      </c>
      <c r="H17" s="88">
        <v>21.553599999999999</v>
      </c>
      <c r="I17" s="87" t="s">
        <v>348</v>
      </c>
      <c r="J17" s="87">
        <v>18</v>
      </c>
      <c r="K17" s="13" t="s">
        <v>779</v>
      </c>
      <c r="L17" s="104">
        <v>24.21</v>
      </c>
      <c r="M17" s="65" t="s">
        <v>844</v>
      </c>
    </row>
    <row r="18" spans="2:13" ht="22.15" customHeight="1">
      <c r="B18" s="176" t="s">
        <v>650</v>
      </c>
      <c r="C18" s="13" t="s">
        <v>830</v>
      </c>
      <c r="D18" s="87" t="s">
        <v>843</v>
      </c>
      <c r="E18" s="87" t="s">
        <v>81</v>
      </c>
      <c r="F18" s="13" t="s">
        <v>109</v>
      </c>
      <c r="G18" s="87" t="s">
        <v>777</v>
      </c>
      <c r="H18" s="88">
        <v>21.5535</v>
      </c>
      <c r="I18" s="87" t="s">
        <v>348</v>
      </c>
      <c r="J18" s="87">
        <v>18</v>
      </c>
      <c r="K18" s="13" t="s">
        <v>779</v>
      </c>
      <c r="L18" s="104">
        <v>21.5</v>
      </c>
      <c r="M18" s="65" t="s">
        <v>844</v>
      </c>
    </row>
    <row r="19" spans="2:13" ht="22.15" customHeight="1">
      <c r="B19" s="176" t="s">
        <v>650</v>
      </c>
      <c r="C19" s="13" t="s">
        <v>830</v>
      </c>
      <c r="D19" s="87" t="s">
        <v>845</v>
      </c>
      <c r="E19" s="87" t="s">
        <v>84</v>
      </c>
      <c r="F19" s="87" t="s">
        <v>679</v>
      </c>
      <c r="G19" s="87" t="s">
        <v>777</v>
      </c>
      <c r="H19" s="88" t="s">
        <v>64</v>
      </c>
      <c r="I19" s="87" t="s">
        <v>65</v>
      </c>
      <c r="J19" s="87">
        <v>60</v>
      </c>
      <c r="K19" s="13" t="s">
        <v>779</v>
      </c>
      <c r="L19" s="104">
        <v>6.23</v>
      </c>
      <c r="M19" s="65"/>
    </row>
    <row r="20" spans="2:13" ht="22.15" customHeight="1">
      <c r="B20" s="176" t="s">
        <v>650</v>
      </c>
      <c r="C20" s="13" t="s">
        <v>830</v>
      </c>
      <c r="D20" s="87" t="s">
        <v>845</v>
      </c>
      <c r="E20" s="87" t="s">
        <v>84</v>
      </c>
      <c r="F20" s="87" t="s">
        <v>679</v>
      </c>
      <c r="G20" s="87" t="s">
        <v>777</v>
      </c>
      <c r="H20" s="88" t="s">
        <v>846</v>
      </c>
      <c r="I20" s="87" t="s">
        <v>847</v>
      </c>
      <c r="J20" s="87">
        <v>41</v>
      </c>
      <c r="K20" s="13" t="s">
        <v>779</v>
      </c>
      <c r="L20" s="104">
        <v>9.39</v>
      </c>
      <c r="M20" s="65"/>
    </row>
    <row r="21" spans="2:13" ht="22.15" customHeight="1">
      <c r="B21" s="176" t="s">
        <v>650</v>
      </c>
      <c r="C21" s="13" t="s">
        <v>830</v>
      </c>
      <c r="D21" s="87" t="s">
        <v>848</v>
      </c>
      <c r="E21" s="87" t="s">
        <v>81</v>
      </c>
      <c r="F21" s="13" t="s">
        <v>115</v>
      </c>
      <c r="G21" s="87" t="s">
        <v>777</v>
      </c>
      <c r="H21" s="88" t="s">
        <v>608</v>
      </c>
      <c r="I21" s="87" t="s">
        <v>609</v>
      </c>
      <c r="J21" s="87">
        <v>58</v>
      </c>
      <c r="K21" s="13" t="s">
        <v>779</v>
      </c>
      <c r="L21" s="104">
        <v>12.31</v>
      </c>
      <c r="M21" s="65"/>
    </row>
    <row r="22" spans="2:13" ht="22.15" customHeight="1">
      <c r="B22" s="176" t="s">
        <v>650</v>
      </c>
      <c r="C22" s="13" t="s">
        <v>832</v>
      </c>
      <c r="D22" s="87" t="s">
        <v>849</v>
      </c>
      <c r="E22" s="87" t="s">
        <v>81</v>
      </c>
      <c r="F22" s="13" t="s">
        <v>113</v>
      </c>
      <c r="G22" s="87" t="s">
        <v>309</v>
      </c>
      <c r="H22" s="88" t="s">
        <v>64</v>
      </c>
      <c r="I22" s="87" t="s">
        <v>65</v>
      </c>
      <c r="J22" s="87">
        <v>52</v>
      </c>
      <c r="K22" s="13" t="s">
        <v>779</v>
      </c>
      <c r="L22" s="104">
        <v>4.7</v>
      </c>
      <c r="M22" s="65"/>
    </row>
    <row r="23" spans="2:13" ht="22.15" customHeight="1">
      <c r="B23" s="176" t="s">
        <v>7</v>
      </c>
      <c r="C23" s="13" t="s">
        <v>830</v>
      </c>
      <c r="D23" s="87" t="s">
        <v>850</v>
      </c>
      <c r="E23" s="87" t="s">
        <v>81</v>
      </c>
      <c r="F23" s="13" t="s">
        <v>109</v>
      </c>
      <c r="G23" s="87" t="s">
        <v>194</v>
      </c>
      <c r="H23" s="88">
        <v>25.604600000000001</v>
      </c>
      <c r="I23" s="87" t="s">
        <v>851</v>
      </c>
      <c r="J23" s="87">
        <v>4</v>
      </c>
      <c r="K23" s="13" t="s">
        <v>779</v>
      </c>
      <c r="L23" s="104">
        <v>20</v>
      </c>
      <c r="M23" s="65"/>
    </row>
    <row r="24" spans="2:13" ht="22.15" customHeight="1">
      <c r="B24" s="176" t="s">
        <v>650</v>
      </c>
      <c r="C24" s="13" t="s">
        <v>830</v>
      </c>
      <c r="D24" s="87" t="s">
        <v>850</v>
      </c>
      <c r="E24" s="87" t="s">
        <v>81</v>
      </c>
      <c r="F24" s="66" t="s">
        <v>58</v>
      </c>
      <c r="G24" s="99" t="s">
        <v>777</v>
      </c>
      <c r="H24" s="99" t="s">
        <v>852</v>
      </c>
      <c r="I24" s="98" t="s">
        <v>853</v>
      </c>
      <c r="J24" s="98">
        <v>6</v>
      </c>
      <c r="K24" s="100" t="s">
        <v>779</v>
      </c>
      <c r="L24" s="66" t="s">
        <v>58</v>
      </c>
      <c r="M24" s="101"/>
    </row>
    <row r="25" spans="2:13" ht="22.15" customHeight="1">
      <c r="B25" s="176" t="s">
        <v>650</v>
      </c>
      <c r="C25" s="13" t="s">
        <v>830</v>
      </c>
      <c r="D25" s="87" t="s">
        <v>850</v>
      </c>
      <c r="E25" s="87" t="s">
        <v>81</v>
      </c>
      <c r="F25" s="13" t="s">
        <v>109</v>
      </c>
      <c r="G25" s="87" t="s">
        <v>777</v>
      </c>
      <c r="H25" s="88" t="s">
        <v>854</v>
      </c>
      <c r="I25" s="87" t="s">
        <v>855</v>
      </c>
      <c r="J25" s="87">
        <v>6</v>
      </c>
      <c r="K25" s="13" t="s">
        <v>779</v>
      </c>
      <c r="L25" s="104">
        <v>6.6</v>
      </c>
      <c r="M25" s="65"/>
    </row>
    <row r="26" spans="2:13" ht="22.15" customHeight="1">
      <c r="B26" s="176" t="s">
        <v>650</v>
      </c>
      <c r="C26" s="13" t="s">
        <v>830</v>
      </c>
      <c r="D26" s="87" t="s">
        <v>850</v>
      </c>
      <c r="E26" s="87" t="s">
        <v>81</v>
      </c>
      <c r="F26" s="13" t="s">
        <v>109</v>
      </c>
      <c r="G26" s="87" t="s">
        <v>777</v>
      </c>
      <c r="H26" s="87">
        <v>21.553699999999999</v>
      </c>
      <c r="I26" s="87" t="s">
        <v>856</v>
      </c>
      <c r="J26" s="87">
        <v>7</v>
      </c>
      <c r="K26" s="13" t="s">
        <v>779</v>
      </c>
      <c r="L26" s="104">
        <v>19.899999999999999</v>
      </c>
      <c r="M26" s="65" t="s">
        <v>844</v>
      </c>
    </row>
    <row r="27" spans="2:13" ht="22.15" customHeight="1">
      <c r="B27" s="176" t="s">
        <v>650</v>
      </c>
      <c r="C27" s="13" t="s">
        <v>857</v>
      </c>
      <c r="D27" s="87" t="s">
        <v>858</v>
      </c>
      <c r="E27" s="87" t="s">
        <v>81</v>
      </c>
      <c r="F27" s="66" t="s">
        <v>58</v>
      </c>
      <c r="G27" s="98" t="s">
        <v>167</v>
      </c>
      <c r="H27" s="99" t="s">
        <v>608</v>
      </c>
      <c r="I27" s="98" t="s">
        <v>609</v>
      </c>
      <c r="J27" s="98">
        <v>40</v>
      </c>
      <c r="K27" s="100" t="s">
        <v>779</v>
      </c>
      <c r="L27" s="66" t="s">
        <v>58</v>
      </c>
      <c r="M27" s="65"/>
    </row>
    <row r="28" spans="2:13" ht="22.15" customHeight="1">
      <c r="B28" s="176" t="s">
        <v>650</v>
      </c>
      <c r="C28" s="13" t="s">
        <v>857</v>
      </c>
      <c r="D28" s="87" t="s">
        <v>858</v>
      </c>
      <c r="E28" s="87" t="s">
        <v>81</v>
      </c>
      <c r="F28" s="66" t="s">
        <v>58</v>
      </c>
      <c r="G28" s="98" t="s">
        <v>167</v>
      </c>
      <c r="H28" s="99" t="s">
        <v>859</v>
      </c>
      <c r="I28" s="66" t="s">
        <v>58</v>
      </c>
      <c r="J28" s="98">
        <v>2</v>
      </c>
      <c r="K28" s="100" t="s">
        <v>779</v>
      </c>
      <c r="L28" s="66" t="s">
        <v>58</v>
      </c>
      <c r="M28" s="101"/>
    </row>
    <row r="29" spans="2:13" ht="22.15" customHeight="1">
      <c r="B29" s="176" t="s">
        <v>650</v>
      </c>
      <c r="C29" s="13" t="s">
        <v>857</v>
      </c>
      <c r="D29" s="87" t="s">
        <v>858</v>
      </c>
      <c r="E29" s="87" t="s">
        <v>81</v>
      </c>
      <c r="F29" s="66" t="s">
        <v>58</v>
      </c>
      <c r="G29" s="98" t="s">
        <v>167</v>
      </c>
      <c r="H29" s="99" t="s">
        <v>860</v>
      </c>
      <c r="I29" s="66" t="s">
        <v>58</v>
      </c>
      <c r="J29" s="98">
        <v>12</v>
      </c>
      <c r="K29" s="100" t="s">
        <v>779</v>
      </c>
      <c r="L29" s="66" t="s">
        <v>58</v>
      </c>
      <c r="M29" s="101"/>
    </row>
    <row r="30" spans="2:13" ht="22.15" customHeight="1">
      <c r="B30" s="176" t="s">
        <v>650</v>
      </c>
      <c r="C30" s="13" t="s">
        <v>832</v>
      </c>
      <c r="D30" s="87" t="s">
        <v>861</v>
      </c>
      <c r="E30" s="87" t="s">
        <v>81</v>
      </c>
      <c r="F30" s="13" t="s">
        <v>113</v>
      </c>
      <c r="G30" s="87" t="s">
        <v>121</v>
      </c>
      <c r="H30" s="88" t="s">
        <v>270</v>
      </c>
      <c r="I30" s="87" t="s">
        <v>65</v>
      </c>
      <c r="J30" s="87">
        <v>256</v>
      </c>
      <c r="K30" s="13" t="s">
        <v>779</v>
      </c>
      <c r="L30" s="104">
        <v>4.7</v>
      </c>
      <c r="M30" s="65"/>
    </row>
    <row r="31" spans="2:13" ht="22.15" customHeight="1">
      <c r="B31" s="176" t="s">
        <v>650</v>
      </c>
      <c r="C31" s="13" t="s">
        <v>832</v>
      </c>
      <c r="D31" s="87" t="s">
        <v>862</v>
      </c>
      <c r="E31" s="87" t="s">
        <v>81</v>
      </c>
      <c r="F31" s="13" t="s">
        <v>113</v>
      </c>
      <c r="G31" s="87" t="s">
        <v>121</v>
      </c>
      <c r="H31" s="88" t="s">
        <v>270</v>
      </c>
      <c r="I31" s="87" t="s">
        <v>65</v>
      </c>
      <c r="J31" s="87">
        <v>256</v>
      </c>
      <c r="K31" s="13" t="s">
        <v>779</v>
      </c>
      <c r="L31" s="104">
        <v>4.7</v>
      </c>
      <c r="M31" s="65"/>
    </row>
    <row r="32" spans="2:13" ht="22.15" customHeight="1">
      <c r="B32" s="176" t="s">
        <v>785</v>
      </c>
      <c r="C32" s="13" t="s">
        <v>830</v>
      </c>
      <c r="D32" s="87" t="s">
        <v>863</v>
      </c>
      <c r="E32" s="87" t="s">
        <v>81</v>
      </c>
      <c r="F32" s="13" t="s">
        <v>113</v>
      </c>
      <c r="G32" s="87" t="s">
        <v>92</v>
      </c>
      <c r="H32" s="88" t="s">
        <v>270</v>
      </c>
      <c r="I32" s="87" t="s">
        <v>65</v>
      </c>
      <c r="J32" s="87">
        <v>480</v>
      </c>
      <c r="K32" s="13" t="s">
        <v>779</v>
      </c>
      <c r="L32" s="104">
        <v>1.02</v>
      </c>
      <c r="M32" s="65"/>
    </row>
    <row r="33" spans="2:13" ht="22.15" customHeight="1">
      <c r="B33" s="176" t="s">
        <v>7</v>
      </c>
      <c r="C33" s="284" t="s">
        <v>857</v>
      </c>
      <c r="D33" s="285" t="s">
        <v>864</v>
      </c>
      <c r="E33" s="286" t="s">
        <v>84</v>
      </c>
      <c r="F33" s="285" t="s">
        <v>124</v>
      </c>
      <c r="G33" s="285" t="s">
        <v>749</v>
      </c>
      <c r="H33" s="287" t="s">
        <v>865</v>
      </c>
      <c r="I33" s="285" t="s">
        <v>866</v>
      </c>
      <c r="J33" s="285">
        <v>3</v>
      </c>
      <c r="K33" s="284" t="s">
        <v>779</v>
      </c>
      <c r="L33" s="288">
        <v>186.61</v>
      </c>
      <c r="M33" s="65"/>
    </row>
    <row r="34" spans="2:13" ht="22.15" customHeight="1">
      <c r="B34" s="176" t="s">
        <v>7</v>
      </c>
      <c r="C34" s="284" t="s">
        <v>857</v>
      </c>
      <c r="D34" s="285" t="s">
        <v>864</v>
      </c>
      <c r="E34" s="286" t="s">
        <v>84</v>
      </c>
      <c r="F34" s="285" t="s">
        <v>124</v>
      </c>
      <c r="G34" s="285" t="s">
        <v>749</v>
      </c>
      <c r="H34" s="287" t="s">
        <v>867</v>
      </c>
      <c r="I34" s="285" t="s">
        <v>868</v>
      </c>
      <c r="J34" s="285">
        <v>1</v>
      </c>
      <c r="K34" s="284" t="s">
        <v>779</v>
      </c>
      <c r="L34" s="288">
        <v>138.9</v>
      </c>
      <c r="M34" s="65"/>
    </row>
    <row r="35" spans="2:13" ht="22.15" customHeight="1">
      <c r="B35" s="176" t="s">
        <v>53</v>
      </c>
      <c r="C35" s="284" t="s">
        <v>857</v>
      </c>
      <c r="D35" s="285" t="s">
        <v>869</v>
      </c>
      <c r="E35" s="285" t="s">
        <v>45</v>
      </c>
      <c r="F35" s="284" t="s">
        <v>105</v>
      </c>
      <c r="G35" s="285" t="s">
        <v>167</v>
      </c>
      <c r="H35" s="287">
        <v>24.6052</v>
      </c>
      <c r="I35" s="285" t="s">
        <v>870</v>
      </c>
      <c r="J35" s="285">
        <v>2</v>
      </c>
      <c r="K35" s="284" t="s">
        <v>779</v>
      </c>
      <c r="L35" s="288">
        <v>49.5</v>
      </c>
      <c r="M35" s="65" t="s">
        <v>871</v>
      </c>
    </row>
    <row r="36" spans="2:13" ht="22.15" customHeight="1">
      <c r="B36" s="176" t="s">
        <v>7</v>
      </c>
      <c r="C36" s="13" t="s">
        <v>857</v>
      </c>
      <c r="D36" s="87" t="s">
        <v>872</v>
      </c>
      <c r="E36" s="87" t="s">
        <v>45</v>
      </c>
      <c r="F36" s="66" t="s">
        <v>58</v>
      </c>
      <c r="G36" s="98" t="s">
        <v>195</v>
      </c>
      <c r="H36" s="98">
        <v>24.572399999999998</v>
      </c>
      <c r="I36" s="66" t="s">
        <v>58</v>
      </c>
      <c r="J36" s="98">
        <v>2</v>
      </c>
      <c r="K36" s="100" t="s">
        <v>779</v>
      </c>
      <c r="L36" s="66" t="s">
        <v>58</v>
      </c>
      <c r="M36" s="101"/>
    </row>
    <row r="37" spans="2:13" ht="22.15" customHeight="1">
      <c r="B37" s="176" t="s">
        <v>7</v>
      </c>
      <c r="C37" s="13" t="s">
        <v>857</v>
      </c>
      <c r="D37" s="87" t="s">
        <v>873</v>
      </c>
      <c r="E37" s="87" t="s">
        <v>45</v>
      </c>
      <c r="F37" s="66" t="s">
        <v>58</v>
      </c>
      <c r="G37" s="98" t="s">
        <v>195</v>
      </c>
      <c r="H37" s="98">
        <v>34.608400000000003</v>
      </c>
      <c r="I37" s="66" t="s">
        <v>58</v>
      </c>
      <c r="J37" s="98">
        <v>2</v>
      </c>
      <c r="K37" s="100" t="s">
        <v>779</v>
      </c>
      <c r="L37" s="66" t="s">
        <v>58</v>
      </c>
      <c r="M37" s="101"/>
    </row>
    <row r="38" spans="2:13" ht="22.15" customHeight="1">
      <c r="B38" s="176" t="s">
        <v>53</v>
      </c>
      <c r="C38" s="13" t="s">
        <v>857</v>
      </c>
      <c r="D38" s="87" t="s">
        <v>874</v>
      </c>
      <c r="E38" s="87" t="s">
        <v>45</v>
      </c>
      <c r="F38" s="13" t="s">
        <v>85</v>
      </c>
      <c r="G38" s="87" t="s">
        <v>131</v>
      </c>
      <c r="H38" s="88" t="s">
        <v>875</v>
      </c>
      <c r="I38" s="87" t="s">
        <v>876</v>
      </c>
      <c r="J38" s="87">
        <v>1</v>
      </c>
      <c r="K38" s="13" t="s">
        <v>779</v>
      </c>
      <c r="L38" s="104">
        <v>390.4</v>
      </c>
      <c r="M38" s="65"/>
    </row>
    <row r="39" spans="2:13" ht="22.15" customHeight="1">
      <c r="B39" s="176" t="s">
        <v>53</v>
      </c>
      <c r="C39" s="13" t="s">
        <v>857</v>
      </c>
      <c r="D39" s="87" t="s">
        <v>877</v>
      </c>
      <c r="E39" s="87" t="s">
        <v>45</v>
      </c>
      <c r="F39" s="13" t="s">
        <v>85</v>
      </c>
      <c r="G39" s="87" t="s">
        <v>131</v>
      </c>
      <c r="H39" s="88" t="s">
        <v>875</v>
      </c>
      <c r="I39" s="87" t="s">
        <v>876</v>
      </c>
      <c r="J39" s="87">
        <v>1</v>
      </c>
      <c r="K39" s="13" t="s">
        <v>779</v>
      </c>
      <c r="L39" s="104">
        <v>390.4</v>
      </c>
      <c r="M39" s="65"/>
    </row>
    <row r="40" spans="2:13" ht="22.15" customHeight="1">
      <c r="B40" s="176" t="s">
        <v>53</v>
      </c>
      <c r="C40" s="13" t="s">
        <v>857</v>
      </c>
      <c r="D40" s="87" t="s">
        <v>878</v>
      </c>
      <c r="E40" s="87" t="s">
        <v>45</v>
      </c>
      <c r="F40" s="13" t="s">
        <v>85</v>
      </c>
      <c r="G40" s="87" t="s">
        <v>131</v>
      </c>
      <c r="H40" s="88" t="s">
        <v>879</v>
      </c>
      <c r="I40" s="87" t="s">
        <v>880</v>
      </c>
      <c r="J40" s="87">
        <v>2</v>
      </c>
      <c r="K40" s="13" t="s">
        <v>779</v>
      </c>
      <c r="L40" s="104">
        <v>258</v>
      </c>
      <c r="M40" s="65"/>
    </row>
    <row r="41" spans="2:13" ht="22.15" customHeight="1">
      <c r="B41" s="176" t="s">
        <v>53</v>
      </c>
      <c r="C41" s="13" t="s">
        <v>857</v>
      </c>
      <c r="D41" s="87" t="s">
        <v>881</v>
      </c>
      <c r="E41" s="87" t="s">
        <v>45</v>
      </c>
      <c r="F41" s="13" t="s">
        <v>85</v>
      </c>
      <c r="G41" s="87" t="s">
        <v>131</v>
      </c>
      <c r="H41" s="88" t="s">
        <v>882</v>
      </c>
      <c r="I41" s="87" t="s">
        <v>883</v>
      </c>
      <c r="J41" s="87">
        <v>2</v>
      </c>
      <c r="K41" s="13" t="s">
        <v>779</v>
      </c>
      <c r="L41" s="104">
        <v>326.39999999999998</v>
      </c>
      <c r="M41" s="65"/>
    </row>
    <row r="42" spans="2:13" ht="22.15" customHeight="1">
      <c r="B42" s="176" t="s">
        <v>53</v>
      </c>
      <c r="C42" s="13" t="s">
        <v>857</v>
      </c>
      <c r="D42" s="87" t="s">
        <v>884</v>
      </c>
      <c r="E42" s="87" t="s">
        <v>45</v>
      </c>
      <c r="F42" s="13" t="s">
        <v>99</v>
      </c>
      <c r="G42" s="87" t="s">
        <v>131</v>
      </c>
      <c r="H42" s="88" t="s">
        <v>885</v>
      </c>
      <c r="I42" s="87" t="s">
        <v>886</v>
      </c>
      <c r="J42" s="87">
        <v>30</v>
      </c>
      <c r="K42" s="13" t="s">
        <v>779</v>
      </c>
      <c r="L42" s="104">
        <v>17.11</v>
      </c>
      <c r="M42" s="65"/>
    </row>
    <row r="43" spans="2:13" ht="22.15" customHeight="1">
      <c r="B43" s="176" t="s">
        <v>53</v>
      </c>
      <c r="C43" s="13" t="s">
        <v>857</v>
      </c>
      <c r="D43" s="87" t="s">
        <v>887</v>
      </c>
      <c r="E43" s="87" t="s">
        <v>45</v>
      </c>
      <c r="F43" s="13" t="s">
        <v>99</v>
      </c>
      <c r="G43" s="87" t="s">
        <v>131</v>
      </c>
      <c r="H43" s="88" t="s">
        <v>888</v>
      </c>
      <c r="I43" s="87" t="s">
        <v>889</v>
      </c>
      <c r="J43" s="87">
        <v>2</v>
      </c>
      <c r="K43" s="13" t="s">
        <v>779</v>
      </c>
      <c r="L43" s="104">
        <v>26.5</v>
      </c>
      <c r="M43" s="65"/>
    </row>
    <row r="44" spans="2:13" ht="22.15" customHeight="1">
      <c r="B44" s="176" t="s">
        <v>53</v>
      </c>
      <c r="C44" s="13" t="s">
        <v>857</v>
      </c>
      <c r="D44" s="87" t="s">
        <v>887</v>
      </c>
      <c r="E44" s="87" t="s">
        <v>45</v>
      </c>
      <c r="F44" s="13" t="s">
        <v>99</v>
      </c>
      <c r="G44" s="87" t="s">
        <v>131</v>
      </c>
      <c r="H44" s="88" t="s">
        <v>890</v>
      </c>
      <c r="I44" s="87" t="s">
        <v>891</v>
      </c>
      <c r="J44" s="87">
        <v>2</v>
      </c>
      <c r="K44" s="13" t="s">
        <v>779</v>
      </c>
      <c r="L44" s="104">
        <v>24.71</v>
      </c>
      <c r="M44" s="65"/>
    </row>
    <row r="45" spans="2:13" ht="22.15" customHeight="1">
      <c r="B45" s="176" t="s">
        <v>53</v>
      </c>
      <c r="C45" s="13" t="s">
        <v>857</v>
      </c>
      <c r="D45" s="87" t="s">
        <v>887</v>
      </c>
      <c r="E45" s="87" t="s">
        <v>45</v>
      </c>
      <c r="F45" s="13" t="s">
        <v>99</v>
      </c>
      <c r="G45" s="87" t="s">
        <v>297</v>
      </c>
      <c r="H45" s="88" t="s">
        <v>625</v>
      </c>
      <c r="I45" s="87" t="s">
        <v>626</v>
      </c>
      <c r="J45" s="87">
        <v>2</v>
      </c>
      <c r="K45" s="13" t="s">
        <v>779</v>
      </c>
      <c r="L45" s="104">
        <v>36.21</v>
      </c>
      <c r="M45" s="65"/>
    </row>
    <row r="46" spans="2:13" ht="22.15" customHeight="1">
      <c r="B46" s="176" t="s">
        <v>53</v>
      </c>
      <c r="C46" s="13" t="s">
        <v>857</v>
      </c>
      <c r="D46" s="87" t="s">
        <v>887</v>
      </c>
      <c r="E46" s="87" t="s">
        <v>45</v>
      </c>
      <c r="F46" s="13" t="s">
        <v>99</v>
      </c>
      <c r="G46" s="87" t="s">
        <v>131</v>
      </c>
      <c r="H46" s="88" t="s">
        <v>621</v>
      </c>
      <c r="I46" s="87" t="s">
        <v>622</v>
      </c>
      <c r="J46" s="87">
        <v>2</v>
      </c>
      <c r="K46" s="13" t="s">
        <v>779</v>
      </c>
      <c r="L46" s="104">
        <v>40.119999999999997</v>
      </c>
      <c r="M46" s="65"/>
    </row>
    <row r="47" spans="2:13" ht="22.15" customHeight="1">
      <c r="B47" s="176" t="s">
        <v>53</v>
      </c>
      <c r="C47" s="13" t="s">
        <v>857</v>
      </c>
      <c r="D47" s="87" t="s">
        <v>887</v>
      </c>
      <c r="E47" s="87" t="s">
        <v>45</v>
      </c>
      <c r="F47" s="13" t="s">
        <v>99</v>
      </c>
      <c r="G47" s="87" t="s">
        <v>131</v>
      </c>
      <c r="H47" s="88" t="s">
        <v>892</v>
      </c>
      <c r="I47" s="87" t="s">
        <v>893</v>
      </c>
      <c r="J47" s="87">
        <v>35</v>
      </c>
      <c r="K47" s="13" t="s">
        <v>779</v>
      </c>
      <c r="L47" s="104">
        <v>1.9</v>
      </c>
      <c r="M47" s="65"/>
    </row>
    <row r="48" spans="2:13" ht="22.15" customHeight="1">
      <c r="B48" s="176" t="s">
        <v>66</v>
      </c>
      <c r="C48" s="13" t="s">
        <v>894</v>
      </c>
      <c r="D48" s="87" t="s">
        <v>895</v>
      </c>
      <c r="E48" s="87" t="s">
        <v>45</v>
      </c>
      <c r="F48" s="87" t="s">
        <v>164</v>
      </c>
      <c r="G48" s="87" t="s">
        <v>206</v>
      </c>
      <c r="H48" s="178" t="s">
        <v>712</v>
      </c>
      <c r="I48" s="87" t="s">
        <v>723</v>
      </c>
      <c r="J48" s="87">
        <v>32</v>
      </c>
      <c r="K48" s="13" t="s">
        <v>724</v>
      </c>
      <c r="L48" s="104">
        <v>25</v>
      </c>
      <c r="M48" s="65"/>
    </row>
    <row r="49" spans="2:13" ht="22.15" customHeight="1">
      <c r="B49" s="176" t="s">
        <v>66</v>
      </c>
      <c r="C49" s="13" t="s">
        <v>894</v>
      </c>
      <c r="D49" s="87" t="s">
        <v>896</v>
      </c>
      <c r="E49" s="87" t="s">
        <v>45</v>
      </c>
      <c r="F49" s="87" t="s">
        <v>164</v>
      </c>
      <c r="G49" s="87" t="s">
        <v>897</v>
      </c>
      <c r="H49" s="178" t="s">
        <v>712</v>
      </c>
      <c r="I49" s="87" t="s">
        <v>723</v>
      </c>
      <c r="J49" s="87">
        <v>32</v>
      </c>
      <c r="K49" s="13" t="s">
        <v>724</v>
      </c>
      <c r="L49" s="104">
        <v>25</v>
      </c>
      <c r="M49" s="65"/>
    </row>
    <row r="50" spans="2:13" ht="22.15" customHeight="1">
      <c r="B50" s="176" t="s">
        <v>66</v>
      </c>
      <c r="C50" s="13" t="s">
        <v>894</v>
      </c>
      <c r="D50" s="87" t="s">
        <v>898</v>
      </c>
      <c r="E50" s="87" t="s">
        <v>45</v>
      </c>
      <c r="F50" s="87" t="s">
        <v>164</v>
      </c>
      <c r="G50" s="87" t="s">
        <v>206</v>
      </c>
      <c r="H50" s="178" t="s">
        <v>712</v>
      </c>
      <c r="I50" s="87" t="s">
        <v>723</v>
      </c>
      <c r="J50" s="87">
        <v>32</v>
      </c>
      <c r="K50" s="13" t="s">
        <v>724</v>
      </c>
      <c r="L50" s="104">
        <v>25</v>
      </c>
      <c r="M50" s="65"/>
    </row>
    <row r="51" spans="2:13" ht="22.15" customHeight="1">
      <c r="B51" s="176" t="s">
        <v>66</v>
      </c>
      <c r="C51" s="284" t="s">
        <v>894</v>
      </c>
      <c r="D51" s="285" t="s">
        <v>899</v>
      </c>
      <c r="E51" s="285" t="s">
        <v>45</v>
      </c>
      <c r="F51" s="285" t="s">
        <v>164</v>
      </c>
      <c r="G51" s="285" t="s">
        <v>897</v>
      </c>
      <c r="H51" s="325" t="s">
        <v>712</v>
      </c>
      <c r="I51" s="285" t="s">
        <v>723</v>
      </c>
      <c r="J51" s="285">
        <v>32</v>
      </c>
      <c r="K51" s="284" t="s">
        <v>724</v>
      </c>
      <c r="L51" s="288">
        <v>25</v>
      </c>
      <c r="M51" s="65"/>
    </row>
    <row r="52" spans="2:13" ht="22.15" customHeight="1">
      <c r="B52" s="176" t="s">
        <v>66</v>
      </c>
      <c r="C52" s="13" t="s">
        <v>894</v>
      </c>
      <c r="D52" s="87" t="s">
        <v>900</v>
      </c>
      <c r="E52" s="87" t="s">
        <v>45</v>
      </c>
      <c r="F52" s="87" t="s">
        <v>164</v>
      </c>
      <c r="G52" s="87" t="s">
        <v>816</v>
      </c>
      <c r="H52" s="178" t="s">
        <v>712</v>
      </c>
      <c r="I52" s="87" t="s">
        <v>723</v>
      </c>
      <c r="J52" s="87">
        <v>40</v>
      </c>
      <c r="K52" s="13" t="s">
        <v>714</v>
      </c>
      <c r="L52" s="104">
        <v>25</v>
      </c>
      <c r="M52" s="65"/>
    </row>
    <row r="53" spans="2:13" ht="22.15" customHeight="1">
      <c r="B53" s="176" t="s">
        <v>66</v>
      </c>
      <c r="C53" s="13" t="s">
        <v>894</v>
      </c>
      <c r="D53" s="87" t="s">
        <v>901</v>
      </c>
      <c r="E53" s="87" t="s">
        <v>45</v>
      </c>
      <c r="F53" s="87" t="s">
        <v>164</v>
      </c>
      <c r="G53" s="87" t="s">
        <v>816</v>
      </c>
      <c r="H53" s="178" t="s">
        <v>712</v>
      </c>
      <c r="I53" s="87" t="s">
        <v>723</v>
      </c>
      <c r="J53" s="87">
        <v>40</v>
      </c>
      <c r="K53" s="13" t="s">
        <v>714</v>
      </c>
      <c r="L53" s="104">
        <v>25</v>
      </c>
      <c r="M53" s="65"/>
    </row>
    <row r="54" spans="2:13" ht="22.15" customHeight="1">
      <c r="B54" s="176" t="s">
        <v>66</v>
      </c>
      <c r="C54" s="13" t="s">
        <v>894</v>
      </c>
      <c r="D54" s="87" t="s">
        <v>902</v>
      </c>
      <c r="E54" s="87" t="s">
        <v>45</v>
      </c>
      <c r="F54" s="87" t="s">
        <v>164</v>
      </c>
      <c r="G54" s="87" t="s">
        <v>816</v>
      </c>
      <c r="H54" s="178" t="s">
        <v>712</v>
      </c>
      <c r="I54" s="87" t="s">
        <v>723</v>
      </c>
      <c r="J54" s="87">
        <v>20</v>
      </c>
      <c r="K54" s="13" t="s">
        <v>714</v>
      </c>
      <c r="L54" s="104">
        <v>25</v>
      </c>
      <c r="M54" s="65"/>
    </row>
    <row r="55" spans="2:13" ht="22.15" customHeight="1">
      <c r="B55" s="176" t="s">
        <v>66</v>
      </c>
      <c r="C55" s="13" t="s">
        <v>903</v>
      </c>
      <c r="D55" s="87" t="s">
        <v>904</v>
      </c>
      <c r="E55" s="87" t="s">
        <v>45</v>
      </c>
      <c r="F55" s="87" t="s">
        <v>164</v>
      </c>
      <c r="G55" s="87" t="s">
        <v>816</v>
      </c>
      <c r="H55" s="172" t="s">
        <v>712</v>
      </c>
      <c r="I55" s="87" t="s">
        <v>713</v>
      </c>
      <c r="J55" s="87">
        <v>15</v>
      </c>
      <c r="K55" s="13" t="s">
        <v>714</v>
      </c>
      <c r="L55" s="104">
        <v>25</v>
      </c>
      <c r="M55" s="65"/>
    </row>
    <row r="56" spans="2:13" ht="22.15" customHeight="1">
      <c r="B56" s="176" t="s">
        <v>66</v>
      </c>
      <c r="C56" s="13" t="s">
        <v>903</v>
      </c>
      <c r="D56" s="87" t="s">
        <v>904</v>
      </c>
      <c r="E56" s="87" t="s">
        <v>45</v>
      </c>
      <c r="F56" s="87" t="s">
        <v>164</v>
      </c>
      <c r="G56" s="87" t="s">
        <v>905</v>
      </c>
      <c r="H56" s="172" t="s">
        <v>712</v>
      </c>
      <c r="I56" s="87" t="s">
        <v>713</v>
      </c>
      <c r="J56" s="87">
        <v>6</v>
      </c>
      <c r="K56" s="13" t="s">
        <v>714</v>
      </c>
      <c r="L56" s="104">
        <v>25</v>
      </c>
      <c r="M56" s="65"/>
    </row>
    <row r="57" spans="2:13" ht="22.15" customHeight="1">
      <c r="B57" s="176" t="s">
        <v>66</v>
      </c>
      <c r="C57" s="13" t="s">
        <v>894</v>
      </c>
      <c r="D57" s="87" t="s">
        <v>906</v>
      </c>
      <c r="E57" s="87" t="s">
        <v>81</v>
      </c>
      <c r="F57" s="87" t="s">
        <v>164</v>
      </c>
      <c r="G57" s="87" t="s">
        <v>907</v>
      </c>
      <c r="H57" s="172" t="s">
        <v>712</v>
      </c>
      <c r="I57" s="87" t="s">
        <v>713</v>
      </c>
      <c r="J57" s="87">
        <v>60</v>
      </c>
      <c r="K57" s="13" t="s">
        <v>714</v>
      </c>
      <c r="L57" s="104">
        <v>25</v>
      </c>
      <c r="M57" s="65"/>
    </row>
    <row r="58" spans="2:13" ht="22.15" customHeight="1">
      <c r="B58" s="176" t="s">
        <v>66</v>
      </c>
      <c r="C58" s="284" t="s">
        <v>894</v>
      </c>
      <c r="D58" s="285" t="s">
        <v>908</v>
      </c>
      <c r="E58" s="285" t="s">
        <v>81</v>
      </c>
      <c r="F58" s="285" t="s">
        <v>164</v>
      </c>
      <c r="G58" s="285" t="s">
        <v>907</v>
      </c>
      <c r="H58" s="289" t="s">
        <v>712</v>
      </c>
      <c r="I58" s="285" t="s">
        <v>713</v>
      </c>
      <c r="J58" s="285">
        <v>26</v>
      </c>
      <c r="K58" s="284" t="s">
        <v>714</v>
      </c>
      <c r="L58" s="288">
        <v>25</v>
      </c>
      <c r="M58" s="65"/>
    </row>
    <row r="59" spans="2:13" ht="22.15" customHeight="1">
      <c r="B59" s="176" t="s">
        <v>53</v>
      </c>
      <c r="C59" s="13" t="s">
        <v>832</v>
      </c>
      <c r="D59" s="87" t="s">
        <v>909</v>
      </c>
      <c r="E59" s="87" t="s">
        <v>81</v>
      </c>
      <c r="F59" s="13" t="s">
        <v>105</v>
      </c>
      <c r="G59" s="87" t="s">
        <v>297</v>
      </c>
      <c r="H59" s="87">
        <v>24.706800000000001</v>
      </c>
      <c r="I59" s="87" t="s">
        <v>910</v>
      </c>
      <c r="J59" s="87">
        <v>13</v>
      </c>
      <c r="K59" s="13" t="s">
        <v>779</v>
      </c>
      <c r="L59" s="104">
        <v>46.91</v>
      </c>
      <c r="M59" s="65" t="s">
        <v>871</v>
      </c>
    </row>
    <row r="60" spans="2:13" ht="22.15" customHeight="1">
      <c r="B60" s="176" t="s">
        <v>53</v>
      </c>
      <c r="C60" s="13" t="s">
        <v>832</v>
      </c>
      <c r="D60" s="87" t="s">
        <v>911</v>
      </c>
      <c r="E60" s="87" t="s">
        <v>912</v>
      </c>
      <c r="F60" s="13" t="s">
        <v>109</v>
      </c>
      <c r="G60" s="87" t="s">
        <v>237</v>
      </c>
      <c r="H60" s="87">
        <v>25.658100000000001</v>
      </c>
      <c r="I60" s="87" t="s">
        <v>239</v>
      </c>
      <c r="J60" s="87">
        <v>6</v>
      </c>
      <c r="K60" s="13" t="s">
        <v>779</v>
      </c>
      <c r="L60" s="104">
        <v>110.1</v>
      </c>
      <c r="M60" s="65"/>
    </row>
    <row r="61" spans="2:13" ht="22.15" customHeight="1">
      <c r="B61" s="176" t="s">
        <v>53</v>
      </c>
      <c r="C61" s="13" t="s">
        <v>832</v>
      </c>
      <c r="D61" s="87" t="s">
        <v>913</v>
      </c>
      <c r="E61" s="87" t="s">
        <v>81</v>
      </c>
      <c r="F61" s="13" t="s">
        <v>105</v>
      </c>
      <c r="G61" s="87" t="s">
        <v>300</v>
      </c>
      <c r="H61" s="87">
        <v>24.706600000000002</v>
      </c>
      <c r="I61" s="88" t="s">
        <v>914</v>
      </c>
      <c r="J61" s="87">
        <v>62</v>
      </c>
      <c r="K61" s="13" t="s">
        <v>779</v>
      </c>
      <c r="L61" s="66" t="s">
        <v>58</v>
      </c>
      <c r="M61" s="65" t="s">
        <v>915</v>
      </c>
    </row>
    <row r="62" spans="2:13" ht="22.15" customHeight="1">
      <c r="B62" s="176" t="s">
        <v>53</v>
      </c>
      <c r="C62" s="13" t="s">
        <v>832</v>
      </c>
      <c r="D62" s="13" t="s">
        <v>916</v>
      </c>
      <c r="E62" s="87" t="s">
        <v>81</v>
      </c>
      <c r="F62" s="87" t="s">
        <v>162</v>
      </c>
      <c r="G62" s="87" t="s">
        <v>297</v>
      </c>
      <c r="H62" s="88" t="s">
        <v>497</v>
      </c>
      <c r="I62" s="87" t="s">
        <v>917</v>
      </c>
      <c r="J62" s="87">
        <v>152</v>
      </c>
      <c r="K62" s="13" t="s">
        <v>779</v>
      </c>
      <c r="L62" s="66" t="s">
        <v>58</v>
      </c>
      <c r="M62" s="65"/>
    </row>
    <row r="63" spans="2:13" ht="22.15" customHeight="1">
      <c r="B63" s="176" t="s">
        <v>53</v>
      </c>
      <c r="C63" s="13" t="s">
        <v>832</v>
      </c>
      <c r="D63" s="13" t="s">
        <v>916</v>
      </c>
      <c r="E63" s="87" t="s">
        <v>81</v>
      </c>
      <c r="F63" s="87" t="s">
        <v>162</v>
      </c>
      <c r="G63" s="87" t="s">
        <v>297</v>
      </c>
      <c r="H63" s="88" t="s">
        <v>918</v>
      </c>
      <c r="I63" s="87" t="s">
        <v>919</v>
      </c>
      <c r="J63" s="87">
        <v>4</v>
      </c>
      <c r="K63" s="13" t="s">
        <v>779</v>
      </c>
      <c r="L63" s="66" t="s">
        <v>58</v>
      </c>
      <c r="M63" s="65"/>
    </row>
    <row r="64" spans="2:13" ht="22.15" customHeight="1">
      <c r="B64" s="176" t="s">
        <v>53</v>
      </c>
      <c r="C64" s="13" t="s">
        <v>832</v>
      </c>
      <c r="D64" s="13" t="s">
        <v>916</v>
      </c>
      <c r="E64" s="87" t="s">
        <v>81</v>
      </c>
      <c r="F64" s="87" t="s">
        <v>162</v>
      </c>
      <c r="G64" s="87" t="s">
        <v>297</v>
      </c>
      <c r="H64" s="88" t="s">
        <v>522</v>
      </c>
      <c r="I64" s="87" t="s">
        <v>920</v>
      </c>
      <c r="J64" s="87">
        <v>9</v>
      </c>
      <c r="K64" s="13" t="s">
        <v>779</v>
      </c>
      <c r="L64" s="66" t="s">
        <v>58</v>
      </c>
      <c r="M64" s="65"/>
    </row>
    <row r="65" spans="2:13" ht="22.15" customHeight="1">
      <c r="B65" s="176" t="s">
        <v>53</v>
      </c>
      <c r="C65" s="13" t="s">
        <v>832</v>
      </c>
      <c r="D65" s="13" t="s">
        <v>916</v>
      </c>
      <c r="E65" s="87" t="s">
        <v>81</v>
      </c>
      <c r="F65" s="87" t="s">
        <v>162</v>
      </c>
      <c r="G65" s="13" t="s">
        <v>131</v>
      </c>
      <c r="H65" s="88" t="s">
        <v>921</v>
      </c>
      <c r="I65" s="87" t="s">
        <v>505</v>
      </c>
      <c r="J65" s="87">
        <v>60</v>
      </c>
      <c r="K65" s="13" t="s">
        <v>779</v>
      </c>
      <c r="L65" s="66" t="s">
        <v>58</v>
      </c>
      <c r="M65" s="65"/>
    </row>
    <row r="66" spans="2:13" ht="22.15" customHeight="1">
      <c r="B66" s="176" t="s">
        <v>53</v>
      </c>
      <c r="C66" s="13" t="s">
        <v>832</v>
      </c>
      <c r="D66" s="13" t="s">
        <v>916</v>
      </c>
      <c r="E66" s="87" t="s">
        <v>81</v>
      </c>
      <c r="F66" s="87" t="s">
        <v>162</v>
      </c>
      <c r="G66" s="13" t="s">
        <v>131</v>
      </c>
      <c r="H66" s="88" t="s">
        <v>922</v>
      </c>
      <c r="I66" s="87" t="s">
        <v>517</v>
      </c>
      <c r="J66" s="87">
        <v>55</v>
      </c>
      <c r="K66" s="13" t="s">
        <v>779</v>
      </c>
      <c r="L66" s="66" t="s">
        <v>58</v>
      </c>
      <c r="M66" s="65"/>
    </row>
    <row r="67" spans="2:13" ht="22.15" customHeight="1">
      <c r="B67" s="176" t="s">
        <v>53</v>
      </c>
      <c r="C67" s="13" t="s">
        <v>832</v>
      </c>
      <c r="D67" s="13" t="s">
        <v>916</v>
      </c>
      <c r="E67" s="87" t="s">
        <v>81</v>
      </c>
      <c r="F67" s="87" t="s">
        <v>162</v>
      </c>
      <c r="G67" s="13" t="s">
        <v>131</v>
      </c>
      <c r="H67" s="88" t="s">
        <v>522</v>
      </c>
      <c r="I67" s="87" t="s">
        <v>517</v>
      </c>
      <c r="J67" s="87">
        <v>4</v>
      </c>
      <c r="K67" s="13" t="s">
        <v>779</v>
      </c>
      <c r="L67" s="66" t="s">
        <v>58</v>
      </c>
      <c r="M67" s="65"/>
    </row>
    <row r="68" spans="2:13" ht="22.15" customHeight="1">
      <c r="B68" s="86" t="s">
        <v>59</v>
      </c>
      <c r="C68" s="13" t="s">
        <v>923</v>
      </c>
      <c r="D68" s="13" t="s">
        <v>924</v>
      </c>
      <c r="E68" s="87" t="s">
        <v>81</v>
      </c>
      <c r="F68" s="13" t="s">
        <v>109</v>
      </c>
      <c r="G68" s="13" t="s">
        <v>269</v>
      </c>
      <c r="H68" s="14" t="s">
        <v>64</v>
      </c>
      <c r="I68" s="13" t="s">
        <v>65</v>
      </c>
      <c r="J68" s="13">
        <v>300</v>
      </c>
      <c r="K68" s="13" t="s">
        <v>779</v>
      </c>
      <c r="L68" s="66">
        <v>0.94</v>
      </c>
      <c r="M68" s="65"/>
    </row>
    <row r="69" spans="2:13" ht="22.15" customHeight="1">
      <c r="B69" s="86" t="s">
        <v>7</v>
      </c>
      <c r="C69" s="284" t="s">
        <v>857</v>
      </c>
      <c r="D69" s="284" t="s">
        <v>925</v>
      </c>
      <c r="E69" s="290" t="s">
        <v>45</v>
      </c>
      <c r="F69" s="290" t="s">
        <v>46</v>
      </c>
      <c r="G69" s="290" t="s">
        <v>255</v>
      </c>
      <c r="H69" s="291" t="s">
        <v>398</v>
      </c>
      <c r="I69" s="284" t="s">
        <v>820</v>
      </c>
      <c r="J69" s="284">
        <v>62</v>
      </c>
      <c r="K69" s="284" t="s">
        <v>779</v>
      </c>
      <c r="L69" s="292">
        <v>36.299999999999997</v>
      </c>
      <c r="M69" s="65"/>
    </row>
    <row r="70" spans="2:13" ht="22.15" customHeight="1">
      <c r="B70" s="86" t="s">
        <v>7</v>
      </c>
      <c r="C70" s="284" t="s">
        <v>857</v>
      </c>
      <c r="D70" s="284" t="s">
        <v>926</v>
      </c>
      <c r="E70" s="290" t="s">
        <v>45</v>
      </c>
      <c r="F70" s="290" t="s">
        <v>46</v>
      </c>
      <c r="G70" s="290" t="s">
        <v>255</v>
      </c>
      <c r="H70" s="293" t="s">
        <v>48</v>
      </c>
      <c r="I70" s="284" t="s">
        <v>49</v>
      </c>
      <c r="J70" s="284">
        <v>122</v>
      </c>
      <c r="K70" s="284" t="s">
        <v>927</v>
      </c>
      <c r="L70" s="294">
        <v>33</v>
      </c>
      <c r="M70" s="65"/>
    </row>
    <row r="71" spans="2:13" ht="22.15" customHeight="1">
      <c r="B71" s="86" t="s">
        <v>7</v>
      </c>
      <c r="C71" s="13" t="s">
        <v>857</v>
      </c>
      <c r="D71" s="13" t="s">
        <v>928</v>
      </c>
      <c r="E71" s="110" t="s">
        <v>45</v>
      </c>
      <c r="F71" s="13" t="s">
        <v>109</v>
      </c>
      <c r="G71" s="13" t="s">
        <v>194</v>
      </c>
      <c r="H71" s="117" t="s">
        <v>361</v>
      </c>
      <c r="I71" s="13" t="s">
        <v>362</v>
      </c>
      <c r="J71" s="13">
        <v>1</v>
      </c>
      <c r="K71" s="13" t="s">
        <v>927</v>
      </c>
      <c r="L71" s="104">
        <v>313.22000000000003</v>
      </c>
      <c r="M71" s="65"/>
    </row>
    <row r="72" spans="2:13" ht="22.15" customHeight="1">
      <c r="B72" s="86" t="s">
        <v>7</v>
      </c>
      <c r="C72" s="13" t="s">
        <v>857</v>
      </c>
      <c r="D72" s="13" t="s">
        <v>928</v>
      </c>
      <c r="E72" s="110" t="s">
        <v>45</v>
      </c>
      <c r="F72" s="123" t="s">
        <v>80</v>
      </c>
      <c r="G72" s="100" t="s">
        <v>194</v>
      </c>
      <c r="H72" s="134" t="s">
        <v>929</v>
      </c>
      <c r="I72" s="123" t="s">
        <v>80</v>
      </c>
      <c r="J72" s="100">
        <v>1</v>
      </c>
      <c r="K72" s="100" t="s">
        <v>927</v>
      </c>
      <c r="L72" s="123" t="s">
        <v>80</v>
      </c>
      <c r="M72" s="65"/>
    </row>
    <row r="73" spans="2:13" ht="22.15" customHeight="1">
      <c r="B73" s="86" t="s">
        <v>53</v>
      </c>
      <c r="C73" s="13" t="s">
        <v>857</v>
      </c>
      <c r="D73" s="13" t="s">
        <v>930</v>
      </c>
      <c r="E73" s="110" t="s">
        <v>45</v>
      </c>
      <c r="F73" s="13" t="s">
        <v>105</v>
      </c>
      <c r="G73" s="13" t="s">
        <v>297</v>
      </c>
      <c r="H73" s="14" t="s">
        <v>931</v>
      </c>
      <c r="I73" s="88" t="s">
        <v>914</v>
      </c>
      <c r="J73" s="13">
        <v>11</v>
      </c>
      <c r="K73" s="13" t="s">
        <v>927</v>
      </c>
      <c r="L73" s="47" t="s">
        <v>80</v>
      </c>
      <c r="M73" s="65" t="s">
        <v>871</v>
      </c>
    </row>
    <row r="74" spans="2:13" ht="22.15" customHeight="1">
      <c r="B74" s="86" t="s">
        <v>53</v>
      </c>
      <c r="C74" s="13" t="s">
        <v>857</v>
      </c>
      <c r="D74" s="13" t="s">
        <v>930</v>
      </c>
      <c r="E74" s="110" t="s">
        <v>45</v>
      </c>
      <c r="F74" s="13" t="s">
        <v>105</v>
      </c>
      <c r="G74" s="13" t="s">
        <v>131</v>
      </c>
      <c r="H74" s="14" t="s">
        <v>932</v>
      </c>
      <c r="I74" s="88" t="s">
        <v>914</v>
      </c>
      <c r="J74" s="13">
        <v>1</v>
      </c>
      <c r="K74" s="13" t="s">
        <v>927</v>
      </c>
      <c r="L74" s="47" t="s">
        <v>80</v>
      </c>
      <c r="M74" s="65" t="s">
        <v>871</v>
      </c>
    </row>
    <row r="75" spans="2:13" ht="22.15" customHeight="1">
      <c r="B75" s="86" t="s">
        <v>53</v>
      </c>
      <c r="C75" s="13" t="s">
        <v>857</v>
      </c>
      <c r="D75" s="13" t="s">
        <v>930</v>
      </c>
      <c r="E75" s="110" t="s">
        <v>45</v>
      </c>
      <c r="F75" s="13" t="s">
        <v>105</v>
      </c>
      <c r="G75" s="13" t="s">
        <v>297</v>
      </c>
      <c r="H75" s="14" t="s">
        <v>933</v>
      </c>
      <c r="I75" s="88" t="s">
        <v>914</v>
      </c>
      <c r="J75" s="13">
        <v>1</v>
      </c>
      <c r="K75" s="13" t="s">
        <v>927</v>
      </c>
      <c r="L75" s="47" t="s">
        <v>80</v>
      </c>
      <c r="M75" s="65" t="s">
        <v>871</v>
      </c>
    </row>
    <row r="76" spans="2:13" ht="22.15" customHeight="1">
      <c r="B76" s="86" t="s">
        <v>53</v>
      </c>
      <c r="C76" s="13" t="s">
        <v>857</v>
      </c>
      <c r="D76" s="13" t="s">
        <v>930</v>
      </c>
      <c r="E76" s="110" t="s">
        <v>45</v>
      </c>
      <c r="F76" s="13" t="s">
        <v>105</v>
      </c>
      <c r="G76" s="13" t="s">
        <v>131</v>
      </c>
      <c r="H76" s="14" t="s">
        <v>934</v>
      </c>
      <c r="I76" s="88" t="s">
        <v>914</v>
      </c>
      <c r="J76" s="13">
        <v>1</v>
      </c>
      <c r="K76" s="13" t="s">
        <v>927</v>
      </c>
      <c r="L76" s="47" t="s">
        <v>80</v>
      </c>
      <c r="M76" s="65" t="s">
        <v>871</v>
      </c>
    </row>
    <row r="77" spans="2:13" ht="22.15" customHeight="1">
      <c r="B77" s="86" t="s">
        <v>53</v>
      </c>
      <c r="C77" s="13" t="s">
        <v>830</v>
      </c>
      <c r="D77" s="13" t="s">
        <v>935</v>
      </c>
      <c r="E77" s="110" t="s">
        <v>45</v>
      </c>
      <c r="F77" s="13" t="s">
        <v>91</v>
      </c>
      <c r="G77" s="13" t="s">
        <v>655</v>
      </c>
      <c r="H77" s="14" t="s">
        <v>936</v>
      </c>
      <c r="I77" s="13" t="s">
        <v>937</v>
      </c>
      <c r="J77" s="13">
        <v>1</v>
      </c>
      <c r="K77" s="13" t="s">
        <v>927</v>
      </c>
      <c r="L77" s="104">
        <v>146.31</v>
      </c>
      <c r="M77" s="65"/>
    </row>
    <row r="78" spans="2:13" ht="22.15" customHeight="1">
      <c r="B78" s="86" t="s">
        <v>53</v>
      </c>
      <c r="C78" s="13" t="s">
        <v>830</v>
      </c>
      <c r="D78" s="13" t="s">
        <v>935</v>
      </c>
      <c r="E78" s="110" t="s">
        <v>45</v>
      </c>
      <c r="F78" s="13" t="s">
        <v>91</v>
      </c>
      <c r="G78" s="13" t="s">
        <v>655</v>
      </c>
      <c r="H78" s="117" t="s">
        <v>938</v>
      </c>
      <c r="I78" s="13" t="s">
        <v>939</v>
      </c>
      <c r="J78" s="13">
        <v>1</v>
      </c>
      <c r="K78" s="13" t="s">
        <v>927</v>
      </c>
      <c r="L78" s="104">
        <v>73.2</v>
      </c>
      <c r="M78" s="65"/>
    </row>
    <row r="79" spans="2:13" ht="22.15" customHeight="1">
      <c r="B79" s="86" t="s">
        <v>53</v>
      </c>
      <c r="C79" s="13" t="s">
        <v>830</v>
      </c>
      <c r="D79" s="13" t="s">
        <v>935</v>
      </c>
      <c r="E79" s="110" t="s">
        <v>45</v>
      </c>
      <c r="F79" s="13" t="s">
        <v>88</v>
      </c>
      <c r="G79" s="13" t="s">
        <v>655</v>
      </c>
      <c r="H79" s="14" t="s">
        <v>940</v>
      </c>
      <c r="I79" s="13" t="s">
        <v>941</v>
      </c>
      <c r="J79" s="13">
        <v>1</v>
      </c>
      <c r="K79" s="13" t="s">
        <v>927</v>
      </c>
      <c r="L79" s="104">
        <v>84.41</v>
      </c>
      <c r="M79" s="65"/>
    </row>
    <row r="80" spans="2:13" ht="22.15" customHeight="1">
      <c r="B80" s="86" t="s">
        <v>53</v>
      </c>
      <c r="C80" s="13" t="s">
        <v>830</v>
      </c>
      <c r="D80" s="13" t="s">
        <v>935</v>
      </c>
      <c r="E80" s="110" t="s">
        <v>45</v>
      </c>
      <c r="F80" s="13" t="s">
        <v>91</v>
      </c>
      <c r="G80" s="13" t="s">
        <v>655</v>
      </c>
      <c r="H80" s="14" t="s">
        <v>350</v>
      </c>
      <c r="I80" s="13" t="s">
        <v>351</v>
      </c>
      <c r="J80" s="13">
        <v>2</v>
      </c>
      <c r="K80" s="13" t="s">
        <v>927</v>
      </c>
      <c r="L80" s="104">
        <v>24</v>
      </c>
      <c r="M80" s="65"/>
    </row>
    <row r="81" spans="2:13" ht="22.15" customHeight="1">
      <c r="B81" s="86" t="s">
        <v>53</v>
      </c>
      <c r="C81" s="13" t="s">
        <v>830</v>
      </c>
      <c r="D81" s="13" t="s">
        <v>942</v>
      </c>
      <c r="E81" s="110" t="s">
        <v>45</v>
      </c>
      <c r="F81" s="13" t="s">
        <v>91</v>
      </c>
      <c r="G81" s="13" t="s">
        <v>655</v>
      </c>
      <c r="H81" s="14" t="s">
        <v>936</v>
      </c>
      <c r="I81" s="13" t="s">
        <v>937</v>
      </c>
      <c r="J81" s="13">
        <v>1</v>
      </c>
      <c r="K81" s="13" t="s">
        <v>927</v>
      </c>
      <c r="L81" s="104">
        <v>146.31</v>
      </c>
      <c r="M81" s="65"/>
    </row>
    <row r="82" spans="2:13" ht="22.15" customHeight="1">
      <c r="B82" s="86" t="s">
        <v>53</v>
      </c>
      <c r="C82" s="13" t="s">
        <v>830</v>
      </c>
      <c r="D82" s="13" t="s">
        <v>942</v>
      </c>
      <c r="E82" s="110" t="s">
        <v>45</v>
      </c>
      <c r="F82" s="13" t="s">
        <v>88</v>
      </c>
      <c r="G82" s="13" t="s">
        <v>655</v>
      </c>
      <c r="H82" s="117" t="s">
        <v>943</v>
      </c>
      <c r="I82" s="13" t="s">
        <v>944</v>
      </c>
      <c r="J82" s="13">
        <v>2</v>
      </c>
      <c r="K82" s="13" t="s">
        <v>927</v>
      </c>
      <c r="L82" s="104">
        <v>102.1</v>
      </c>
      <c r="M82" s="65"/>
    </row>
    <row r="83" spans="2:13" ht="22.15" customHeight="1">
      <c r="B83" s="86" t="s">
        <v>53</v>
      </c>
      <c r="C83" s="13" t="s">
        <v>830</v>
      </c>
      <c r="D83" s="13" t="s">
        <v>942</v>
      </c>
      <c r="E83" s="110" t="s">
        <v>45</v>
      </c>
      <c r="F83" s="13" t="s">
        <v>91</v>
      </c>
      <c r="G83" s="13" t="s">
        <v>655</v>
      </c>
      <c r="H83" s="117" t="s">
        <v>350</v>
      </c>
      <c r="I83" s="13" t="s">
        <v>351</v>
      </c>
      <c r="J83" s="13">
        <v>2</v>
      </c>
      <c r="K83" s="13" t="s">
        <v>927</v>
      </c>
      <c r="L83" s="104">
        <v>24</v>
      </c>
      <c r="M83" s="65"/>
    </row>
    <row r="84" spans="2:13" ht="22.15" customHeight="1">
      <c r="B84" s="86" t="s">
        <v>53</v>
      </c>
      <c r="C84" s="13" t="s">
        <v>1950</v>
      </c>
      <c r="D84" s="13"/>
      <c r="E84" s="110" t="s">
        <v>45</v>
      </c>
      <c r="F84" s="13" t="s">
        <v>330</v>
      </c>
      <c r="G84" s="13" t="s">
        <v>200</v>
      </c>
      <c r="H84" s="14">
        <v>21.553599999999999</v>
      </c>
      <c r="I84" s="13" t="s">
        <v>1949</v>
      </c>
      <c r="J84" s="13">
        <v>11</v>
      </c>
      <c r="K84" s="13" t="s">
        <v>50</v>
      </c>
      <c r="L84" s="104">
        <v>24.21</v>
      </c>
      <c r="M84" s="65" t="s">
        <v>844</v>
      </c>
    </row>
    <row r="85" spans="2:13" ht="22.15" customHeight="1">
      <c r="B85" s="86" t="s">
        <v>53</v>
      </c>
      <c r="C85" s="13" t="s">
        <v>1954</v>
      </c>
      <c r="D85" s="13"/>
      <c r="E85" s="110" t="s">
        <v>45</v>
      </c>
      <c r="F85" s="13" t="s">
        <v>330</v>
      </c>
      <c r="G85" s="13" t="s">
        <v>200</v>
      </c>
      <c r="H85" s="14">
        <v>21.5535</v>
      </c>
      <c r="I85" s="13" t="s">
        <v>1949</v>
      </c>
      <c r="J85" s="13">
        <v>11</v>
      </c>
      <c r="K85" s="13" t="s">
        <v>50</v>
      </c>
      <c r="L85" s="104">
        <v>21.5</v>
      </c>
      <c r="M85" s="65" t="s">
        <v>844</v>
      </c>
    </row>
    <row r="86" spans="2:13" ht="22.15" customHeight="1">
      <c r="B86" s="86" t="s">
        <v>53</v>
      </c>
      <c r="C86" s="13" t="s">
        <v>1954</v>
      </c>
      <c r="D86" s="13"/>
      <c r="E86" s="110" t="s">
        <v>45</v>
      </c>
      <c r="F86" s="13"/>
      <c r="G86" s="13" t="s">
        <v>777</v>
      </c>
      <c r="H86" s="117" t="s">
        <v>1951</v>
      </c>
      <c r="I86" s="13" t="s">
        <v>1952</v>
      </c>
      <c r="J86" s="13">
        <v>128</v>
      </c>
      <c r="K86" s="419" t="s">
        <v>1953</v>
      </c>
      <c r="L86" s="104"/>
      <c r="M86" s="65"/>
    </row>
    <row r="87" spans="2:13" ht="22.15" customHeight="1">
      <c r="B87" s="86" t="s">
        <v>53</v>
      </c>
      <c r="C87" s="13" t="s">
        <v>1959</v>
      </c>
      <c r="D87" s="13"/>
      <c r="E87" s="418" t="s">
        <v>1955</v>
      </c>
      <c r="F87" s="13"/>
      <c r="G87" s="13" t="s">
        <v>1956</v>
      </c>
      <c r="H87" s="14" t="s">
        <v>1957</v>
      </c>
      <c r="I87" s="13" t="s">
        <v>1958</v>
      </c>
      <c r="J87" s="13">
        <v>51</v>
      </c>
      <c r="K87" s="419" t="s">
        <v>1953</v>
      </c>
      <c r="L87" s="104"/>
      <c r="M87" s="420" t="s">
        <v>1964</v>
      </c>
    </row>
    <row r="88" spans="2:13" ht="22.15" customHeight="1">
      <c r="B88" s="86" t="s">
        <v>53</v>
      </c>
      <c r="C88" s="13" t="s">
        <v>1959</v>
      </c>
      <c r="D88" s="13"/>
      <c r="E88" s="418" t="s">
        <v>1955</v>
      </c>
      <c r="F88" s="13"/>
      <c r="G88" s="13" t="s">
        <v>1956</v>
      </c>
      <c r="H88" s="14" t="s">
        <v>1960</v>
      </c>
      <c r="I88" s="13" t="s">
        <v>1961</v>
      </c>
      <c r="J88" s="13">
        <v>50</v>
      </c>
      <c r="K88" s="419" t="s">
        <v>1953</v>
      </c>
      <c r="L88" s="104"/>
      <c r="M88" s="420" t="s">
        <v>1964</v>
      </c>
    </row>
    <row r="89" spans="2:13" ht="22.15" customHeight="1">
      <c r="B89" s="86" t="s">
        <v>53</v>
      </c>
      <c r="C89" s="13" t="s">
        <v>1959</v>
      </c>
      <c r="D89" s="13"/>
      <c r="E89" s="418" t="s">
        <v>1955</v>
      </c>
      <c r="F89" s="13"/>
      <c r="G89" s="13" t="s">
        <v>777</v>
      </c>
      <c r="H89" s="14" t="s">
        <v>1962</v>
      </c>
      <c r="I89" s="13" t="s">
        <v>1963</v>
      </c>
      <c r="J89" s="13">
        <v>54</v>
      </c>
      <c r="K89" s="419" t="s">
        <v>1953</v>
      </c>
      <c r="L89" s="104"/>
      <c r="M89" s="420" t="s">
        <v>1964</v>
      </c>
    </row>
    <row r="90" spans="2:13" ht="22.15" customHeight="1">
      <c r="B90" s="86" t="s">
        <v>53</v>
      </c>
      <c r="C90" s="13" t="s">
        <v>1959</v>
      </c>
      <c r="D90" s="13"/>
      <c r="E90" s="418" t="s">
        <v>1955</v>
      </c>
      <c r="F90" s="13"/>
      <c r="G90" s="13" t="s">
        <v>777</v>
      </c>
      <c r="H90" s="14" t="s">
        <v>1962</v>
      </c>
      <c r="I90" s="13" t="s">
        <v>1963</v>
      </c>
      <c r="J90" s="13">
        <v>54</v>
      </c>
      <c r="K90" s="419" t="s">
        <v>1953</v>
      </c>
      <c r="L90" s="104"/>
      <c r="M90" s="420" t="s">
        <v>1964</v>
      </c>
    </row>
    <row r="91" spans="2:13" ht="22.15" customHeight="1">
      <c r="B91" s="86" t="s">
        <v>53</v>
      </c>
      <c r="C91" s="13" t="s">
        <v>1959</v>
      </c>
      <c r="D91" s="13"/>
      <c r="E91" s="418" t="s">
        <v>1955</v>
      </c>
      <c r="F91" s="13"/>
      <c r="G91" s="13" t="s">
        <v>777</v>
      </c>
      <c r="H91" s="14" t="s">
        <v>1962</v>
      </c>
      <c r="I91" s="13" t="s">
        <v>1963</v>
      </c>
      <c r="J91" s="13">
        <v>54</v>
      </c>
      <c r="K91" s="419" t="s">
        <v>1953</v>
      </c>
      <c r="L91" s="104"/>
      <c r="M91" s="420" t="s">
        <v>1964</v>
      </c>
    </row>
    <row r="92" spans="2:13" ht="22.15" customHeight="1">
      <c r="B92" s="86" t="s">
        <v>53</v>
      </c>
      <c r="C92" s="13" t="s">
        <v>1959</v>
      </c>
      <c r="D92" s="13"/>
      <c r="E92" s="418" t="s">
        <v>1955</v>
      </c>
      <c r="F92" s="13"/>
      <c r="G92" s="13" t="s">
        <v>777</v>
      </c>
      <c r="H92" s="14" t="s">
        <v>1962</v>
      </c>
      <c r="I92" s="13" t="s">
        <v>1963</v>
      </c>
      <c r="J92" s="13">
        <v>48</v>
      </c>
      <c r="K92" s="419" t="s">
        <v>1953</v>
      </c>
      <c r="L92" s="104"/>
      <c r="M92" s="420" t="s">
        <v>1964</v>
      </c>
    </row>
    <row r="93" spans="2:13" ht="22.15" customHeight="1">
      <c r="B93" s="421" t="s">
        <v>53</v>
      </c>
      <c r="C93" s="13" t="s">
        <v>1950</v>
      </c>
      <c r="D93" s="422"/>
      <c r="E93" s="423" t="s">
        <v>45</v>
      </c>
      <c r="F93" s="422"/>
      <c r="G93" s="422" t="s">
        <v>1965</v>
      </c>
      <c r="H93" s="424" t="s">
        <v>1966</v>
      </c>
      <c r="I93" s="422" t="s">
        <v>1967</v>
      </c>
      <c r="J93" s="422">
        <v>944</v>
      </c>
      <c r="K93" s="425" t="s">
        <v>1953</v>
      </c>
      <c r="L93" s="426"/>
      <c r="M93" s="420" t="s">
        <v>1964</v>
      </c>
    </row>
    <row r="94" spans="2:13" ht="22.15" customHeight="1">
      <c r="B94" s="421" t="s">
        <v>53</v>
      </c>
      <c r="C94" s="13" t="s">
        <v>1968</v>
      </c>
      <c r="D94" s="422"/>
      <c r="E94" s="423" t="s">
        <v>45</v>
      </c>
      <c r="F94" s="422"/>
      <c r="G94" s="422" t="s">
        <v>1969</v>
      </c>
      <c r="H94" s="424" t="s">
        <v>1970</v>
      </c>
      <c r="I94" s="422" t="s">
        <v>1971</v>
      </c>
      <c r="J94" s="422">
        <v>25</v>
      </c>
      <c r="K94" s="425" t="s">
        <v>927</v>
      </c>
      <c r="L94" s="426"/>
      <c r="M94" s="427"/>
    </row>
    <row r="95" spans="2:13" ht="22.15" customHeight="1">
      <c r="B95" s="421" t="s">
        <v>53</v>
      </c>
      <c r="C95" s="13" t="s">
        <v>1968</v>
      </c>
      <c r="D95" s="422"/>
      <c r="E95" s="423" t="s">
        <v>45</v>
      </c>
      <c r="F95" s="422"/>
      <c r="G95" s="422" t="s">
        <v>1972</v>
      </c>
      <c r="H95" s="424" t="s">
        <v>1973</v>
      </c>
      <c r="I95" s="422" t="s">
        <v>1974</v>
      </c>
      <c r="J95" s="422">
        <v>11</v>
      </c>
      <c r="K95" s="425" t="s">
        <v>927</v>
      </c>
      <c r="L95" s="426"/>
      <c r="M95" s="427"/>
    </row>
    <row r="96" spans="2:13" ht="22.15" customHeight="1">
      <c r="B96" s="421" t="s">
        <v>53</v>
      </c>
      <c r="C96" s="13" t="s">
        <v>1968</v>
      </c>
      <c r="D96" s="422"/>
      <c r="E96" s="423" t="s">
        <v>45</v>
      </c>
      <c r="F96" s="422"/>
      <c r="G96" s="422" t="s">
        <v>1969</v>
      </c>
      <c r="H96" s="424" t="s">
        <v>1975</v>
      </c>
      <c r="I96" s="422" t="s">
        <v>1976</v>
      </c>
      <c r="J96" s="422">
        <v>2</v>
      </c>
      <c r="K96" s="425" t="s">
        <v>927</v>
      </c>
      <c r="L96" s="426"/>
      <c r="M96" s="427"/>
    </row>
    <row r="97" spans="2:13" ht="22.15" customHeight="1">
      <c r="B97" s="421" t="s">
        <v>53</v>
      </c>
      <c r="C97" s="13" t="s">
        <v>1968</v>
      </c>
      <c r="D97" s="422"/>
      <c r="E97" s="423" t="s">
        <v>45</v>
      </c>
      <c r="F97" s="422"/>
      <c r="G97" s="422" t="s">
        <v>1969</v>
      </c>
      <c r="H97" s="424" t="s">
        <v>1977</v>
      </c>
      <c r="I97" s="422" t="s">
        <v>1978</v>
      </c>
      <c r="J97" s="422">
        <v>2</v>
      </c>
      <c r="K97" s="425" t="s">
        <v>927</v>
      </c>
      <c r="L97" s="426"/>
      <c r="M97" s="427"/>
    </row>
    <row r="98" spans="2:13" ht="22.15" customHeight="1">
      <c r="B98" s="421"/>
      <c r="C98" s="422"/>
      <c r="D98" s="422"/>
      <c r="E98" s="423"/>
      <c r="F98" s="422"/>
      <c r="G98" s="422"/>
      <c r="H98" s="424"/>
      <c r="I98" s="422"/>
      <c r="J98" s="422"/>
      <c r="K98" s="425"/>
      <c r="L98" s="426"/>
      <c r="M98" s="427"/>
    </row>
    <row r="99" spans="2:13" ht="22.15" customHeight="1">
      <c r="B99" s="421"/>
      <c r="C99" s="422"/>
      <c r="D99" s="422"/>
      <c r="E99" s="423"/>
      <c r="F99" s="422"/>
      <c r="G99" s="422"/>
      <c r="H99" s="424"/>
      <c r="I99" s="422"/>
      <c r="J99" s="422"/>
      <c r="K99" s="425"/>
      <c r="L99" s="426"/>
      <c r="M99" s="427"/>
    </row>
    <row r="100" spans="2:13" ht="22.15" customHeight="1">
      <c r="B100" s="421"/>
      <c r="C100" s="422"/>
      <c r="D100" s="422"/>
      <c r="E100" s="423"/>
      <c r="F100" s="422"/>
      <c r="G100" s="422"/>
      <c r="H100" s="424"/>
      <c r="I100" s="422"/>
      <c r="J100" s="422"/>
      <c r="K100" s="425"/>
      <c r="L100" s="426"/>
      <c r="M100" s="427"/>
    </row>
    <row r="101" spans="2:13" ht="22.15" customHeight="1" thickBot="1">
      <c r="B101" s="107"/>
      <c r="C101" s="49"/>
      <c r="D101" s="49"/>
      <c r="E101" s="49"/>
      <c r="F101" s="49"/>
      <c r="G101" s="49"/>
      <c r="H101" s="50"/>
      <c r="I101" s="49"/>
      <c r="J101" s="49"/>
      <c r="K101" s="49"/>
      <c r="L101" s="108"/>
      <c r="M101" s="71"/>
    </row>
    <row r="102" spans="2:13" ht="22.15" customHeight="1">
      <c r="H102" s="51"/>
      <c r="M102" s="52"/>
    </row>
    <row r="103" spans="2:13" ht="22.15" customHeight="1">
      <c r="H103" s="51"/>
    </row>
    <row r="104" spans="2:13" ht="22.15" customHeight="1">
      <c r="H104" s="51"/>
    </row>
    <row r="105" spans="2:13" ht="22.15" customHeight="1">
      <c r="H105" s="51"/>
    </row>
    <row r="106" spans="2:13" ht="22.15" customHeight="1">
      <c r="H106" s="51"/>
    </row>
    <row r="107" spans="2:13" ht="22.15" customHeight="1">
      <c r="H107" s="51"/>
    </row>
    <row r="108" spans="2:13" ht="22.15" customHeight="1">
      <c r="H108" s="51"/>
      <c r="K108" s="29">
        <f>18*3</f>
        <v>54</v>
      </c>
    </row>
  </sheetData>
  <autoFilter ref="B10:M83" xr:uid="{00000000-0009-0000-0000-000004000000}"/>
  <mergeCells count="3">
    <mergeCell ref="K6:L6"/>
    <mergeCell ref="K7:L7"/>
    <mergeCell ref="K8:L8"/>
  </mergeCells>
  <phoneticPr fontId="1" type="noConversion"/>
  <dataValidations count="1">
    <dataValidation type="list" allowBlank="1" showInputMessage="1" showErrorMessage="1" sqref="B11:B101" xr:uid="{00000000-0002-0000-0400-000000000000}">
      <formula1>$B$4:$B$8</formula1>
    </dataValidation>
  </dataValidations>
  <pageMargins left="0.7" right="0.7" top="0.75" bottom="0.75" header="0.3" footer="0.3"/>
  <pageSetup paperSize="8" scale="55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リスト!$C$2:$C$55</xm:f>
          </x14:formula1>
          <xm:sqref>F11:F101</xm:sqref>
        </x14:dataValidation>
        <x14:dataValidation type="list" allowBlank="1" showInputMessage="1" showErrorMessage="1" xr:uid="{00000000-0002-0000-0400-000002000000}">
          <x14:formula1>
            <xm:f>リスト!$B$2:$B$8</xm:f>
          </x14:formula1>
          <xm:sqref>E11:E101</xm:sqref>
        </x14:dataValidation>
        <x14:dataValidation type="list" allowBlank="1" showInputMessage="1" showErrorMessage="1" xr:uid="{00000000-0002-0000-0400-000003000000}">
          <x14:formula1>
            <xm:f>リスト!$D$2:$D$100</xm:f>
          </x14:formula1>
          <xm:sqref>G11:G101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>
    <pageSetUpPr fitToPage="1"/>
  </sheetPr>
  <dimension ref="B1:T593"/>
  <sheetViews>
    <sheetView zoomScale="70" zoomScaleNormal="70" workbookViewId="0">
      <pane xSplit="1" ySplit="10" topLeftCell="B540" activePane="bottomRight" state="frozen"/>
      <selection pane="topRight" activeCell="B12" sqref="B12:L25"/>
      <selection pane="bottomLeft" activeCell="B12" sqref="B12:L25"/>
      <selection pane="bottomRight" activeCell="B11" sqref="B11:L570"/>
    </sheetView>
  </sheetViews>
  <sheetFormatPr defaultColWidth="8.875" defaultRowHeight="22.15" customHeight="1"/>
  <cols>
    <col min="1" max="1" width="2.75" style="2" customWidth="1"/>
    <col min="2" max="2" width="12.75" style="2" bestFit="1" customWidth="1"/>
    <col min="3" max="3" width="17" style="2" bestFit="1" customWidth="1"/>
    <col min="4" max="4" width="14.25" style="2" bestFit="1" customWidth="1"/>
    <col min="5" max="5" width="19.25" style="2" customWidth="1"/>
    <col min="6" max="6" width="30.625" style="2" bestFit="1" customWidth="1"/>
    <col min="7" max="7" width="23.125" style="2" bestFit="1" customWidth="1"/>
    <col min="8" max="8" width="12.75" style="179" bestFit="1" customWidth="1"/>
    <col min="9" max="9" width="30" style="2" bestFit="1" customWidth="1"/>
    <col min="10" max="10" width="13.125" style="2" bestFit="1" customWidth="1"/>
    <col min="11" max="11" width="12.75" style="2" bestFit="1" customWidth="1"/>
    <col min="12" max="12" width="17.125" style="120" customWidth="1"/>
    <col min="13" max="13" width="21.625" style="116" customWidth="1"/>
    <col min="14" max="14" width="8.875" style="119"/>
    <col min="15" max="15" width="8.875" style="2"/>
    <col min="16" max="16" width="9.125" style="2" bestFit="1" customWidth="1"/>
    <col min="17" max="17" width="8.875" style="2"/>
    <col min="18" max="18" width="8.875" style="1"/>
    <col min="19" max="16384" width="8.875" style="2"/>
  </cols>
  <sheetData>
    <row r="1" spans="2:20" ht="6" customHeight="1" thickBot="1">
      <c r="J1" s="72"/>
      <c r="K1" s="72"/>
      <c r="L1" s="118"/>
      <c r="M1" s="180"/>
    </row>
    <row r="2" spans="2:20" ht="20.25" customHeight="1">
      <c r="B2" s="72"/>
      <c r="C2" s="72"/>
      <c r="D2" s="72"/>
      <c r="E2" s="72"/>
      <c r="F2" s="12" t="s">
        <v>0</v>
      </c>
      <c r="H2" s="73"/>
      <c r="J2" s="92" t="s">
        <v>1</v>
      </c>
      <c r="K2" s="326" t="s">
        <v>2</v>
      </c>
      <c r="N2" s="181"/>
      <c r="O2" s="115"/>
      <c r="P2" s="115"/>
      <c r="T2" s="248"/>
    </row>
    <row r="3" spans="2:20" ht="20.25" customHeight="1">
      <c r="B3" s="72" t="s">
        <v>3</v>
      </c>
      <c r="C3" s="72"/>
      <c r="E3" s="72" t="s">
        <v>4</v>
      </c>
      <c r="F3" s="72"/>
      <c r="G3" s="72"/>
      <c r="H3" s="73"/>
      <c r="J3" s="77"/>
      <c r="K3" s="165" t="s">
        <v>945</v>
      </c>
      <c r="L3" s="90" t="s">
        <v>28</v>
      </c>
      <c r="M3" s="163">
        <v>45189</v>
      </c>
      <c r="T3" s="248"/>
    </row>
    <row r="4" spans="2:20" ht="20.25" customHeight="1" thickBot="1">
      <c r="B4" s="72" t="s">
        <v>42</v>
      </c>
      <c r="C4" s="78" t="s">
        <v>8</v>
      </c>
      <c r="D4" s="119"/>
      <c r="E4" s="119" t="s">
        <v>9</v>
      </c>
      <c r="F4" s="78" t="s">
        <v>225</v>
      </c>
      <c r="G4" s="12"/>
      <c r="H4" s="73"/>
      <c r="J4" s="80"/>
      <c r="K4" s="164"/>
      <c r="L4" s="90" t="s">
        <v>29</v>
      </c>
      <c r="M4" s="163">
        <v>45184</v>
      </c>
      <c r="T4" s="248"/>
    </row>
    <row r="5" spans="2:20" ht="20.25" customHeight="1" thickBot="1">
      <c r="B5" s="72" t="s">
        <v>11</v>
      </c>
      <c r="C5" s="78" t="s">
        <v>12</v>
      </c>
      <c r="D5" s="119"/>
      <c r="E5" s="119" t="s">
        <v>13</v>
      </c>
      <c r="F5" s="78" t="s">
        <v>227</v>
      </c>
      <c r="G5" s="72"/>
      <c r="H5" s="73"/>
      <c r="J5" s="91"/>
      <c r="K5" s="91"/>
      <c r="L5" s="118"/>
      <c r="M5" s="81"/>
      <c r="T5" s="248"/>
    </row>
    <row r="6" spans="2:20" ht="20.25" customHeight="1">
      <c r="B6" s="72" t="s">
        <v>15</v>
      </c>
      <c r="C6" s="78" t="s">
        <v>16</v>
      </c>
      <c r="D6" s="119"/>
      <c r="E6" s="119" t="s">
        <v>17</v>
      </c>
      <c r="F6" s="78" t="s">
        <v>228</v>
      </c>
      <c r="G6" s="72"/>
      <c r="H6" s="82"/>
      <c r="I6" s="83"/>
      <c r="J6" s="162" t="s">
        <v>19</v>
      </c>
      <c r="K6" s="429" t="s">
        <v>946</v>
      </c>
      <c r="L6" s="430"/>
      <c r="M6" s="81"/>
      <c r="T6" s="248"/>
    </row>
    <row r="7" spans="2:20" ht="20.25" customHeight="1">
      <c r="B7" s="72" t="s">
        <v>21</v>
      </c>
      <c r="C7" s="78" t="s">
        <v>22</v>
      </c>
      <c r="D7" s="119"/>
      <c r="E7" s="78"/>
      <c r="F7" s="78"/>
      <c r="G7" s="12"/>
      <c r="H7" s="82"/>
      <c r="I7" s="83"/>
      <c r="J7" s="161" t="s">
        <v>24</v>
      </c>
      <c r="K7" s="431" t="s">
        <v>947</v>
      </c>
      <c r="L7" s="432"/>
      <c r="M7" s="81"/>
      <c r="T7" s="248"/>
    </row>
    <row r="8" spans="2:20" ht="20.25" customHeight="1" thickBot="1">
      <c r="E8" s="72"/>
      <c r="F8" s="72"/>
      <c r="G8" s="12"/>
      <c r="H8" s="82"/>
      <c r="I8" s="83"/>
      <c r="J8" s="160" t="s">
        <v>26</v>
      </c>
      <c r="K8" s="433" t="s">
        <v>802</v>
      </c>
      <c r="L8" s="434"/>
      <c r="M8" s="81"/>
      <c r="T8" s="248"/>
    </row>
    <row r="9" spans="2:20" ht="20.25" customHeight="1" thickBot="1">
      <c r="E9" s="72"/>
      <c r="F9" s="72"/>
      <c r="G9" s="12"/>
      <c r="H9" s="82"/>
      <c r="I9" s="83"/>
      <c r="J9" s="159"/>
      <c r="K9" s="158"/>
      <c r="L9" s="157"/>
      <c r="M9" s="81"/>
      <c r="T9" s="248"/>
    </row>
    <row r="10" spans="2:20" ht="22.15" customHeight="1" thickBot="1">
      <c r="B10" s="156" t="s">
        <v>30</v>
      </c>
      <c r="C10" s="154" t="s">
        <v>31</v>
      </c>
      <c r="D10" s="154" t="s">
        <v>32</v>
      </c>
      <c r="E10" s="155" t="s">
        <v>33</v>
      </c>
      <c r="F10" s="155" t="s">
        <v>34</v>
      </c>
      <c r="G10" s="154" t="s">
        <v>79</v>
      </c>
      <c r="H10" s="182" t="s">
        <v>948</v>
      </c>
      <c r="I10" s="154" t="s">
        <v>37</v>
      </c>
      <c r="J10" s="154" t="s">
        <v>38</v>
      </c>
      <c r="K10" s="154" t="s">
        <v>39</v>
      </c>
      <c r="L10" s="153" t="s">
        <v>40</v>
      </c>
      <c r="M10" s="152" t="s">
        <v>41</v>
      </c>
    </row>
    <row r="11" spans="2:20" ht="22.15" customHeight="1" thickTop="1">
      <c r="B11" s="89" t="s">
        <v>53</v>
      </c>
      <c r="C11" s="85" t="s">
        <v>949</v>
      </c>
      <c r="D11" s="174" t="s">
        <v>950</v>
      </c>
      <c r="E11" s="57" t="s">
        <v>45</v>
      </c>
      <c r="F11" s="183" t="s">
        <v>80</v>
      </c>
      <c r="G11" s="151" t="s">
        <v>167</v>
      </c>
      <c r="H11" s="184" t="s">
        <v>932</v>
      </c>
      <c r="I11" s="183" t="s">
        <v>80</v>
      </c>
      <c r="J11" s="185">
        <v>24</v>
      </c>
      <c r="K11" s="151" t="s">
        <v>779</v>
      </c>
      <c r="L11" s="186" t="s">
        <v>80</v>
      </c>
      <c r="M11" s="187"/>
      <c r="O11" s="29"/>
      <c r="P11" s="249"/>
      <c r="R11" s="2"/>
    </row>
    <row r="12" spans="2:20" ht="22.15" customHeight="1">
      <c r="B12" s="86" t="s">
        <v>53</v>
      </c>
      <c r="C12" s="13" t="s">
        <v>949</v>
      </c>
      <c r="D12" s="87" t="s">
        <v>951</v>
      </c>
      <c r="E12" s="62" t="s">
        <v>45</v>
      </c>
      <c r="F12" s="188" t="s">
        <v>80</v>
      </c>
      <c r="G12" s="100" t="s">
        <v>167</v>
      </c>
      <c r="H12" s="189" t="s">
        <v>933</v>
      </c>
      <c r="I12" s="188" t="s">
        <v>80</v>
      </c>
      <c r="J12" s="98">
        <v>4</v>
      </c>
      <c r="K12" s="100" t="s">
        <v>779</v>
      </c>
      <c r="L12" s="190" t="s">
        <v>80</v>
      </c>
      <c r="M12" s="191"/>
      <c r="O12" s="29"/>
      <c r="P12" s="16"/>
      <c r="R12" s="2"/>
    </row>
    <row r="13" spans="2:20" ht="22.15" customHeight="1">
      <c r="B13" s="86" t="s">
        <v>53</v>
      </c>
      <c r="C13" s="13" t="s">
        <v>949</v>
      </c>
      <c r="D13" s="87" t="s">
        <v>952</v>
      </c>
      <c r="E13" s="62" t="s">
        <v>45</v>
      </c>
      <c r="F13" s="98" t="s">
        <v>387</v>
      </c>
      <c r="G13" s="100" t="s">
        <v>167</v>
      </c>
      <c r="H13" s="192" t="s">
        <v>953</v>
      </c>
      <c r="I13" s="98" t="s">
        <v>954</v>
      </c>
      <c r="J13" s="98">
        <v>1</v>
      </c>
      <c r="K13" s="100" t="s">
        <v>779</v>
      </c>
      <c r="L13" s="190" t="s">
        <v>80</v>
      </c>
      <c r="M13" s="193"/>
      <c r="O13" s="29"/>
      <c r="P13" s="16"/>
      <c r="R13" s="2"/>
    </row>
    <row r="14" spans="2:20" ht="22.15" customHeight="1">
      <c r="B14" s="86" t="s">
        <v>53</v>
      </c>
      <c r="C14" s="13" t="s">
        <v>949</v>
      </c>
      <c r="D14" s="87" t="s">
        <v>952</v>
      </c>
      <c r="E14" s="62" t="s">
        <v>45</v>
      </c>
      <c r="F14" s="98" t="s">
        <v>387</v>
      </c>
      <c r="G14" s="100" t="s">
        <v>167</v>
      </c>
      <c r="H14" s="192" t="s">
        <v>955</v>
      </c>
      <c r="I14" s="98" t="s">
        <v>956</v>
      </c>
      <c r="J14" s="98">
        <v>1</v>
      </c>
      <c r="K14" s="100" t="s">
        <v>779</v>
      </c>
      <c r="L14" s="190" t="s">
        <v>80</v>
      </c>
      <c r="M14" s="191"/>
      <c r="O14" s="234"/>
      <c r="P14" s="16"/>
      <c r="R14" s="2"/>
    </row>
    <row r="15" spans="2:20" ht="22.15" customHeight="1">
      <c r="B15" s="86" t="s">
        <v>53</v>
      </c>
      <c r="C15" s="13" t="s">
        <v>949</v>
      </c>
      <c r="D15" s="87" t="s">
        <v>957</v>
      </c>
      <c r="E15" s="62" t="s">
        <v>45</v>
      </c>
      <c r="F15" s="177" t="s">
        <v>558</v>
      </c>
      <c r="G15" s="87" t="s">
        <v>777</v>
      </c>
      <c r="H15" s="194" t="s">
        <v>837</v>
      </c>
      <c r="I15" s="87" t="s">
        <v>838</v>
      </c>
      <c r="J15" s="87">
        <v>95</v>
      </c>
      <c r="K15" s="13" t="s">
        <v>779</v>
      </c>
      <c r="L15" s="195">
        <v>14.1</v>
      </c>
      <c r="M15" s="193" t="s">
        <v>958</v>
      </c>
      <c r="O15" s="29"/>
      <c r="P15" s="16"/>
      <c r="R15" s="2"/>
    </row>
    <row r="16" spans="2:20" ht="22.15" customHeight="1">
      <c r="B16" s="86" t="s">
        <v>53</v>
      </c>
      <c r="C16" s="13" t="s">
        <v>949</v>
      </c>
      <c r="D16" s="87" t="s">
        <v>959</v>
      </c>
      <c r="E16" s="62" t="s">
        <v>45</v>
      </c>
      <c r="F16" s="188" t="s">
        <v>80</v>
      </c>
      <c r="G16" s="100" t="s">
        <v>167</v>
      </c>
      <c r="H16" s="192" t="s">
        <v>960</v>
      </c>
      <c r="I16" s="98" t="s">
        <v>961</v>
      </c>
      <c r="J16" s="98">
        <v>2</v>
      </c>
      <c r="K16" s="100" t="s">
        <v>779</v>
      </c>
      <c r="L16" s="190" t="s">
        <v>80</v>
      </c>
      <c r="M16" s="193"/>
      <c r="P16" s="16"/>
      <c r="R16" s="2"/>
    </row>
    <row r="17" spans="2:18" ht="22.15" customHeight="1">
      <c r="B17" s="86" t="s">
        <v>53</v>
      </c>
      <c r="C17" s="13" t="s">
        <v>949</v>
      </c>
      <c r="D17" s="87" t="s">
        <v>959</v>
      </c>
      <c r="E17" s="62" t="s">
        <v>45</v>
      </c>
      <c r="F17" s="188" t="s">
        <v>80</v>
      </c>
      <c r="G17" s="100" t="s">
        <v>167</v>
      </c>
      <c r="H17" s="192" t="s">
        <v>304</v>
      </c>
      <c r="I17" s="98" t="s">
        <v>305</v>
      </c>
      <c r="J17" s="98">
        <v>12</v>
      </c>
      <c r="K17" s="100" t="s">
        <v>779</v>
      </c>
      <c r="L17" s="190" t="s">
        <v>80</v>
      </c>
      <c r="M17" s="193"/>
      <c r="P17" s="16"/>
      <c r="R17" s="2"/>
    </row>
    <row r="18" spans="2:18" ht="22.15" customHeight="1">
      <c r="B18" s="86" t="s">
        <v>53</v>
      </c>
      <c r="C18" s="13" t="s">
        <v>949</v>
      </c>
      <c r="D18" s="87" t="s">
        <v>959</v>
      </c>
      <c r="E18" s="62" t="s">
        <v>45</v>
      </c>
      <c r="F18" s="188" t="s">
        <v>80</v>
      </c>
      <c r="G18" s="100" t="s">
        <v>167</v>
      </c>
      <c r="H18" s="192" t="s">
        <v>962</v>
      </c>
      <c r="I18" s="98" t="s">
        <v>307</v>
      </c>
      <c r="J18" s="98">
        <v>4</v>
      </c>
      <c r="K18" s="100" t="s">
        <v>779</v>
      </c>
      <c r="L18" s="190" t="s">
        <v>80</v>
      </c>
      <c r="M18" s="193"/>
      <c r="P18" s="16"/>
      <c r="R18" s="2"/>
    </row>
    <row r="19" spans="2:18" ht="22.15" customHeight="1">
      <c r="B19" s="86" t="s">
        <v>53</v>
      </c>
      <c r="C19" s="13" t="s">
        <v>949</v>
      </c>
      <c r="D19" s="87" t="s">
        <v>963</v>
      </c>
      <c r="E19" s="62" t="s">
        <v>45</v>
      </c>
      <c r="F19" s="87" t="s">
        <v>551</v>
      </c>
      <c r="G19" s="87" t="s">
        <v>300</v>
      </c>
      <c r="H19" s="196">
        <v>24.706600000000002</v>
      </c>
      <c r="I19" s="88" t="s">
        <v>914</v>
      </c>
      <c r="J19" s="87">
        <v>10</v>
      </c>
      <c r="K19" s="13" t="s">
        <v>779</v>
      </c>
      <c r="L19" s="195" t="s">
        <v>80</v>
      </c>
      <c r="M19" s="193" t="s">
        <v>964</v>
      </c>
      <c r="R19" s="2"/>
    </row>
    <row r="20" spans="2:18" ht="22.15" customHeight="1">
      <c r="B20" s="86" t="s">
        <v>53</v>
      </c>
      <c r="C20" s="13" t="s">
        <v>949</v>
      </c>
      <c r="D20" s="87" t="s">
        <v>963</v>
      </c>
      <c r="E20" s="62" t="s">
        <v>45</v>
      </c>
      <c r="F20" s="87" t="s">
        <v>551</v>
      </c>
      <c r="G20" s="87" t="s">
        <v>300</v>
      </c>
      <c r="H20" s="196">
        <v>24.707599999999999</v>
      </c>
      <c r="I20" s="88" t="s">
        <v>914</v>
      </c>
      <c r="J20" s="87">
        <v>20</v>
      </c>
      <c r="K20" s="13" t="s">
        <v>779</v>
      </c>
      <c r="L20" s="195">
        <v>30.5</v>
      </c>
      <c r="M20" s="193" t="s">
        <v>965</v>
      </c>
      <c r="R20" s="2"/>
    </row>
    <row r="21" spans="2:18" ht="22.15" customHeight="1">
      <c r="B21" s="86" t="s">
        <v>53</v>
      </c>
      <c r="C21" s="13" t="s">
        <v>949</v>
      </c>
      <c r="D21" s="87" t="s">
        <v>966</v>
      </c>
      <c r="E21" s="62" t="s">
        <v>45</v>
      </c>
      <c r="F21" s="188" t="s">
        <v>80</v>
      </c>
      <c r="G21" s="98" t="s">
        <v>737</v>
      </c>
      <c r="H21" s="192" t="s">
        <v>967</v>
      </c>
      <c r="I21" s="98" t="s">
        <v>968</v>
      </c>
      <c r="J21" s="98">
        <v>8</v>
      </c>
      <c r="K21" s="100" t="s">
        <v>779</v>
      </c>
      <c r="L21" s="190" t="s">
        <v>80</v>
      </c>
      <c r="M21" s="193"/>
      <c r="R21" s="2"/>
    </row>
    <row r="22" spans="2:18" ht="22.15" customHeight="1">
      <c r="B22" s="86" t="s">
        <v>53</v>
      </c>
      <c r="C22" s="13" t="s">
        <v>949</v>
      </c>
      <c r="D22" s="87" t="s">
        <v>966</v>
      </c>
      <c r="E22" s="62" t="s">
        <v>45</v>
      </c>
      <c r="F22" s="177" t="s">
        <v>679</v>
      </c>
      <c r="G22" s="87" t="s">
        <v>737</v>
      </c>
      <c r="H22" s="194" t="s">
        <v>969</v>
      </c>
      <c r="I22" s="87" t="s">
        <v>970</v>
      </c>
      <c r="J22" s="87">
        <v>53</v>
      </c>
      <c r="K22" s="13" t="s">
        <v>779</v>
      </c>
      <c r="L22" s="195">
        <v>4.9000000000000004</v>
      </c>
      <c r="M22" s="193"/>
      <c r="R22" s="2"/>
    </row>
    <row r="23" spans="2:18" ht="22.15" customHeight="1">
      <c r="B23" s="86" t="s">
        <v>59</v>
      </c>
      <c r="C23" s="13" t="s">
        <v>949</v>
      </c>
      <c r="D23" s="87" t="s">
        <v>971</v>
      </c>
      <c r="E23" s="62" t="s">
        <v>45</v>
      </c>
      <c r="F23" s="13" t="s">
        <v>672</v>
      </c>
      <c r="G23" s="87" t="s">
        <v>972</v>
      </c>
      <c r="H23" s="194" t="s">
        <v>64</v>
      </c>
      <c r="I23" s="87" t="s">
        <v>738</v>
      </c>
      <c r="J23" s="87">
        <v>323</v>
      </c>
      <c r="K23" s="13" t="s">
        <v>779</v>
      </c>
      <c r="L23" s="195">
        <v>1.2</v>
      </c>
      <c r="M23" s="193" t="s">
        <v>973</v>
      </c>
      <c r="R23" s="2"/>
    </row>
    <row r="24" spans="2:18" ht="22.15" customHeight="1">
      <c r="B24" s="86" t="s">
        <v>53</v>
      </c>
      <c r="C24" s="13" t="s">
        <v>949</v>
      </c>
      <c r="D24" s="87" t="s">
        <v>974</v>
      </c>
      <c r="E24" s="62" t="s">
        <v>45</v>
      </c>
      <c r="F24" s="188" t="s">
        <v>80</v>
      </c>
      <c r="G24" s="98" t="s">
        <v>777</v>
      </c>
      <c r="H24" s="197" t="s">
        <v>80</v>
      </c>
      <c r="I24" s="98" t="s">
        <v>975</v>
      </c>
      <c r="J24" s="98">
        <v>1</v>
      </c>
      <c r="K24" s="100" t="s">
        <v>779</v>
      </c>
      <c r="L24" s="190" t="s">
        <v>80</v>
      </c>
      <c r="M24" s="193"/>
      <c r="R24" s="2"/>
    </row>
    <row r="25" spans="2:18" ht="22.15" customHeight="1">
      <c r="B25" s="86" t="s">
        <v>53</v>
      </c>
      <c r="C25" s="13" t="s">
        <v>949</v>
      </c>
      <c r="D25" s="87" t="s">
        <v>974</v>
      </c>
      <c r="E25" s="62" t="s">
        <v>45</v>
      </c>
      <c r="F25" s="188" t="s">
        <v>80</v>
      </c>
      <c r="G25" s="98" t="s">
        <v>200</v>
      </c>
      <c r="H25" s="197" t="s">
        <v>80</v>
      </c>
      <c r="I25" s="98" t="s">
        <v>976</v>
      </c>
      <c r="J25" s="98">
        <v>1</v>
      </c>
      <c r="K25" s="100" t="s">
        <v>779</v>
      </c>
      <c r="L25" s="190" t="s">
        <v>80</v>
      </c>
      <c r="M25" s="193"/>
      <c r="R25" s="2"/>
    </row>
    <row r="26" spans="2:18" ht="22.15" customHeight="1">
      <c r="B26" s="86" t="s">
        <v>53</v>
      </c>
      <c r="C26" s="13" t="s">
        <v>949</v>
      </c>
      <c r="D26" s="87" t="s">
        <v>974</v>
      </c>
      <c r="E26" s="62" t="s">
        <v>45</v>
      </c>
      <c r="F26" s="177" t="s">
        <v>558</v>
      </c>
      <c r="G26" s="87" t="s">
        <v>200</v>
      </c>
      <c r="H26" s="194" t="s">
        <v>977</v>
      </c>
      <c r="I26" s="87" t="s">
        <v>128</v>
      </c>
      <c r="J26" s="87">
        <v>3</v>
      </c>
      <c r="K26" s="13" t="s">
        <v>779</v>
      </c>
      <c r="L26" s="195">
        <v>14.5</v>
      </c>
      <c r="M26" s="193"/>
      <c r="R26" s="2"/>
    </row>
    <row r="27" spans="2:18" ht="22.15" customHeight="1">
      <c r="B27" s="86" t="s">
        <v>53</v>
      </c>
      <c r="C27" s="13" t="s">
        <v>949</v>
      </c>
      <c r="D27" s="87" t="s">
        <v>974</v>
      </c>
      <c r="E27" s="62" t="s">
        <v>45</v>
      </c>
      <c r="F27" s="177" t="s">
        <v>558</v>
      </c>
      <c r="G27" s="87" t="s">
        <v>200</v>
      </c>
      <c r="H27" s="194" t="s">
        <v>978</v>
      </c>
      <c r="I27" s="13" t="s">
        <v>979</v>
      </c>
      <c r="J27" s="87">
        <v>4</v>
      </c>
      <c r="K27" s="13" t="s">
        <v>779</v>
      </c>
      <c r="L27" s="195">
        <v>12.58</v>
      </c>
      <c r="M27" s="193" t="s">
        <v>958</v>
      </c>
      <c r="R27" s="2"/>
    </row>
    <row r="28" spans="2:18" ht="22.15" customHeight="1">
      <c r="B28" s="86" t="s">
        <v>53</v>
      </c>
      <c r="C28" s="13" t="s">
        <v>949</v>
      </c>
      <c r="D28" s="87" t="s">
        <v>974</v>
      </c>
      <c r="E28" s="62" t="s">
        <v>45</v>
      </c>
      <c r="F28" s="188" t="s">
        <v>80</v>
      </c>
      <c r="G28" s="98" t="s">
        <v>200</v>
      </c>
      <c r="H28" s="192" t="s">
        <v>980</v>
      </c>
      <c r="I28" s="98" t="s">
        <v>981</v>
      </c>
      <c r="J28" s="98">
        <v>1</v>
      </c>
      <c r="K28" s="100" t="s">
        <v>779</v>
      </c>
      <c r="L28" s="190" t="s">
        <v>80</v>
      </c>
      <c r="M28" s="193"/>
      <c r="R28" s="2"/>
    </row>
    <row r="29" spans="2:18" ht="22.15" customHeight="1">
      <c r="B29" s="86" t="s">
        <v>53</v>
      </c>
      <c r="C29" s="13" t="s">
        <v>949</v>
      </c>
      <c r="D29" s="87" t="s">
        <v>974</v>
      </c>
      <c r="E29" s="62" t="s">
        <v>45</v>
      </c>
      <c r="F29" s="177" t="s">
        <v>558</v>
      </c>
      <c r="G29" s="87" t="s">
        <v>200</v>
      </c>
      <c r="H29" s="194" t="s">
        <v>837</v>
      </c>
      <c r="I29" s="87" t="s">
        <v>838</v>
      </c>
      <c r="J29" s="87">
        <v>18</v>
      </c>
      <c r="K29" s="13" t="s">
        <v>779</v>
      </c>
      <c r="L29" s="195">
        <v>14.1</v>
      </c>
      <c r="M29" s="193" t="s">
        <v>958</v>
      </c>
      <c r="R29" s="2"/>
    </row>
    <row r="30" spans="2:18" ht="22.15" customHeight="1">
      <c r="B30" s="86" t="s">
        <v>53</v>
      </c>
      <c r="C30" s="13" t="s">
        <v>949</v>
      </c>
      <c r="D30" s="87" t="s">
        <v>974</v>
      </c>
      <c r="E30" s="62" t="s">
        <v>45</v>
      </c>
      <c r="F30" s="177" t="s">
        <v>558</v>
      </c>
      <c r="G30" s="87" t="s">
        <v>840</v>
      </c>
      <c r="H30" s="194" t="s">
        <v>982</v>
      </c>
      <c r="I30" s="177" t="s">
        <v>128</v>
      </c>
      <c r="J30" s="87">
        <v>1</v>
      </c>
      <c r="K30" s="13" t="s">
        <v>779</v>
      </c>
      <c r="L30" s="195">
        <v>12.67</v>
      </c>
      <c r="M30" s="193"/>
      <c r="R30" s="2"/>
    </row>
    <row r="31" spans="2:18" ht="22.15" customHeight="1">
      <c r="B31" s="86" t="s">
        <v>53</v>
      </c>
      <c r="C31" s="13" t="s">
        <v>949</v>
      </c>
      <c r="D31" s="87" t="s">
        <v>974</v>
      </c>
      <c r="E31" s="62" t="s">
        <v>45</v>
      </c>
      <c r="F31" s="177" t="s">
        <v>558</v>
      </c>
      <c r="G31" s="87" t="s">
        <v>200</v>
      </c>
      <c r="H31" s="196">
        <v>46.506500000000003</v>
      </c>
      <c r="I31" s="177" t="s">
        <v>842</v>
      </c>
      <c r="J31" s="87">
        <v>41</v>
      </c>
      <c r="K31" s="13" t="s">
        <v>779</v>
      </c>
      <c r="L31" s="195">
        <v>21.05</v>
      </c>
      <c r="M31" s="193" t="s">
        <v>983</v>
      </c>
      <c r="R31" s="2"/>
    </row>
    <row r="32" spans="2:18" ht="22.15" customHeight="1">
      <c r="B32" s="86" t="s">
        <v>53</v>
      </c>
      <c r="C32" s="13" t="s">
        <v>949</v>
      </c>
      <c r="D32" s="87" t="s">
        <v>984</v>
      </c>
      <c r="E32" s="62" t="s">
        <v>45</v>
      </c>
      <c r="F32" s="177" t="s">
        <v>679</v>
      </c>
      <c r="G32" s="87" t="s">
        <v>300</v>
      </c>
      <c r="H32" s="194" t="s">
        <v>969</v>
      </c>
      <c r="I32" s="87" t="s">
        <v>970</v>
      </c>
      <c r="J32" s="87">
        <v>78</v>
      </c>
      <c r="K32" s="13" t="s">
        <v>779</v>
      </c>
      <c r="L32" s="195">
        <v>4.1900000000000004</v>
      </c>
      <c r="M32" s="193"/>
      <c r="R32" s="2"/>
    </row>
    <row r="33" spans="2:18" ht="22.15" customHeight="1">
      <c r="B33" s="86" t="s">
        <v>53</v>
      </c>
      <c r="C33" s="13" t="s">
        <v>949</v>
      </c>
      <c r="D33" s="87" t="s">
        <v>984</v>
      </c>
      <c r="E33" s="62" t="s">
        <v>45</v>
      </c>
      <c r="F33" s="188" t="s">
        <v>80</v>
      </c>
      <c r="G33" s="98" t="s">
        <v>300</v>
      </c>
      <c r="H33" s="192" t="s">
        <v>967</v>
      </c>
      <c r="I33" s="98" t="s">
        <v>968</v>
      </c>
      <c r="J33" s="98">
        <v>5</v>
      </c>
      <c r="K33" s="100" t="s">
        <v>779</v>
      </c>
      <c r="L33" s="190" t="s">
        <v>80</v>
      </c>
      <c r="M33" s="193"/>
      <c r="R33" s="2"/>
    </row>
    <row r="34" spans="2:18" ht="22.15" customHeight="1">
      <c r="B34" s="86" t="s">
        <v>53</v>
      </c>
      <c r="C34" s="13" t="s">
        <v>949</v>
      </c>
      <c r="D34" s="87" t="s">
        <v>984</v>
      </c>
      <c r="E34" s="62" t="s">
        <v>45</v>
      </c>
      <c r="F34" s="177" t="s">
        <v>357</v>
      </c>
      <c r="G34" s="87" t="s">
        <v>300</v>
      </c>
      <c r="H34" s="194" t="s">
        <v>985</v>
      </c>
      <c r="I34" s="87" t="s">
        <v>986</v>
      </c>
      <c r="J34" s="87">
        <v>2</v>
      </c>
      <c r="K34" s="13" t="s">
        <v>779</v>
      </c>
      <c r="L34" s="195">
        <v>10.76</v>
      </c>
      <c r="M34" s="193"/>
      <c r="R34" s="2"/>
    </row>
    <row r="35" spans="2:18" ht="22.15" customHeight="1">
      <c r="B35" s="86" t="s">
        <v>53</v>
      </c>
      <c r="C35" s="13" t="s">
        <v>949</v>
      </c>
      <c r="D35" s="87" t="s">
        <v>984</v>
      </c>
      <c r="E35" s="62" t="s">
        <v>45</v>
      </c>
      <c r="F35" s="188" t="s">
        <v>80</v>
      </c>
      <c r="G35" s="98" t="s">
        <v>300</v>
      </c>
      <c r="H35" s="192" t="s">
        <v>987</v>
      </c>
      <c r="I35" s="98" t="s">
        <v>988</v>
      </c>
      <c r="J35" s="98">
        <v>13</v>
      </c>
      <c r="K35" s="100" t="s">
        <v>779</v>
      </c>
      <c r="L35" s="190" t="s">
        <v>80</v>
      </c>
      <c r="M35" s="193"/>
      <c r="R35" s="2"/>
    </row>
    <row r="36" spans="2:18" ht="22.15" customHeight="1">
      <c r="B36" s="86" t="s">
        <v>53</v>
      </c>
      <c r="C36" s="13" t="s">
        <v>949</v>
      </c>
      <c r="D36" s="87" t="s">
        <v>984</v>
      </c>
      <c r="E36" s="62" t="s">
        <v>45</v>
      </c>
      <c r="F36" s="177" t="s">
        <v>679</v>
      </c>
      <c r="G36" s="87" t="s">
        <v>300</v>
      </c>
      <c r="H36" s="194" t="s">
        <v>846</v>
      </c>
      <c r="I36" s="87" t="s">
        <v>989</v>
      </c>
      <c r="J36" s="87">
        <v>12</v>
      </c>
      <c r="K36" s="13" t="s">
        <v>779</v>
      </c>
      <c r="L36" s="195">
        <v>5.17</v>
      </c>
      <c r="M36" s="193"/>
      <c r="R36" s="2"/>
    </row>
    <row r="37" spans="2:18" ht="22.15" customHeight="1">
      <c r="B37" s="86" t="s">
        <v>53</v>
      </c>
      <c r="C37" s="13" t="s">
        <v>949</v>
      </c>
      <c r="D37" s="87" t="s">
        <v>984</v>
      </c>
      <c r="E37" s="62" t="s">
        <v>45</v>
      </c>
      <c r="F37" s="177" t="s">
        <v>679</v>
      </c>
      <c r="G37" s="87" t="s">
        <v>300</v>
      </c>
      <c r="H37" s="194" t="s">
        <v>990</v>
      </c>
      <c r="I37" s="87" t="s">
        <v>991</v>
      </c>
      <c r="J37" s="87">
        <v>9</v>
      </c>
      <c r="K37" s="13" t="s">
        <v>779</v>
      </c>
      <c r="L37" s="195">
        <v>6.32</v>
      </c>
      <c r="M37" s="193"/>
      <c r="R37" s="2"/>
    </row>
    <row r="38" spans="2:18" ht="22.15" customHeight="1">
      <c r="B38" s="86" t="s">
        <v>53</v>
      </c>
      <c r="C38" s="13" t="s">
        <v>949</v>
      </c>
      <c r="D38" s="87" t="s">
        <v>984</v>
      </c>
      <c r="E38" s="62" t="s">
        <v>45</v>
      </c>
      <c r="F38" s="188" t="s">
        <v>80</v>
      </c>
      <c r="G38" s="98" t="s">
        <v>300</v>
      </c>
      <c r="H38" s="197" t="s">
        <v>80</v>
      </c>
      <c r="I38" s="98" t="s">
        <v>992</v>
      </c>
      <c r="J38" s="98">
        <v>21</v>
      </c>
      <c r="K38" s="100" t="s">
        <v>779</v>
      </c>
      <c r="L38" s="190" t="s">
        <v>80</v>
      </c>
      <c r="M38" s="193"/>
      <c r="R38" s="2"/>
    </row>
    <row r="39" spans="2:18" ht="22.15" customHeight="1">
      <c r="B39" s="86" t="s">
        <v>53</v>
      </c>
      <c r="C39" s="13" t="s">
        <v>949</v>
      </c>
      <c r="D39" s="87" t="s">
        <v>984</v>
      </c>
      <c r="E39" s="62" t="s">
        <v>45</v>
      </c>
      <c r="F39" s="188" t="s">
        <v>80</v>
      </c>
      <c r="G39" s="98" t="s">
        <v>300</v>
      </c>
      <c r="H39" s="192" t="s">
        <v>993</v>
      </c>
      <c r="I39" s="98" t="s">
        <v>994</v>
      </c>
      <c r="J39" s="98">
        <v>1</v>
      </c>
      <c r="K39" s="100" t="s">
        <v>779</v>
      </c>
      <c r="L39" s="190" t="s">
        <v>80</v>
      </c>
      <c r="M39" s="193"/>
      <c r="R39" s="2"/>
    </row>
    <row r="40" spans="2:18" ht="22.15" customHeight="1">
      <c r="B40" s="86" t="s">
        <v>53</v>
      </c>
      <c r="C40" s="13" t="s">
        <v>949</v>
      </c>
      <c r="D40" s="87" t="s">
        <v>984</v>
      </c>
      <c r="E40" s="62" t="s">
        <v>45</v>
      </c>
      <c r="F40" s="188" t="s">
        <v>80</v>
      </c>
      <c r="G40" s="98" t="s">
        <v>300</v>
      </c>
      <c r="H40" s="192" t="s">
        <v>995</v>
      </c>
      <c r="I40" s="98" t="s">
        <v>996</v>
      </c>
      <c r="J40" s="98">
        <v>1</v>
      </c>
      <c r="K40" s="100" t="s">
        <v>779</v>
      </c>
      <c r="L40" s="190" t="s">
        <v>80</v>
      </c>
      <c r="M40" s="193"/>
      <c r="R40" s="2"/>
    </row>
    <row r="41" spans="2:18" ht="22.15" customHeight="1">
      <c r="B41" s="86" t="s">
        <v>66</v>
      </c>
      <c r="C41" s="13" t="s">
        <v>949</v>
      </c>
      <c r="D41" s="87" t="s">
        <v>997</v>
      </c>
      <c r="E41" s="62" t="s">
        <v>45</v>
      </c>
      <c r="F41" s="87" t="s">
        <v>164</v>
      </c>
      <c r="G41" s="87" t="s">
        <v>998</v>
      </c>
      <c r="H41" s="178" t="s">
        <v>712</v>
      </c>
      <c r="I41" s="87" t="s">
        <v>713</v>
      </c>
      <c r="J41" s="13">
        <v>10</v>
      </c>
      <c r="K41" s="13" t="s">
        <v>999</v>
      </c>
      <c r="L41" s="104">
        <v>25</v>
      </c>
      <c r="M41" s="193"/>
      <c r="R41" s="2"/>
    </row>
    <row r="42" spans="2:18" ht="22.15" customHeight="1">
      <c r="B42" s="86" t="s">
        <v>66</v>
      </c>
      <c r="C42" s="13" t="s">
        <v>949</v>
      </c>
      <c r="D42" s="87" t="s">
        <v>1000</v>
      </c>
      <c r="E42" s="62" t="s">
        <v>45</v>
      </c>
      <c r="F42" s="87" t="s">
        <v>164</v>
      </c>
      <c r="G42" s="87" t="s">
        <v>998</v>
      </c>
      <c r="H42" s="178" t="s">
        <v>712</v>
      </c>
      <c r="I42" s="87" t="s">
        <v>713</v>
      </c>
      <c r="J42" s="13">
        <v>5</v>
      </c>
      <c r="K42" s="13" t="s">
        <v>999</v>
      </c>
      <c r="L42" s="104">
        <v>25</v>
      </c>
      <c r="M42" s="193"/>
      <c r="R42" s="2"/>
    </row>
    <row r="43" spans="2:18" ht="22.15" customHeight="1">
      <c r="B43" s="86" t="s">
        <v>66</v>
      </c>
      <c r="C43" s="13" t="s">
        <v>949</v>
      </c>
      <c r="D43" s="87" t="s">
        <v>1001</v>
      </c>
      <c r="E43" s="62" t="s">
        <v>45</v>
      </c>
      <c r="F43" s="87" t="s">
        <v>164</v>
      </c>
      <c r="G43" s="87" t="s">
        <v>998</v>
      </c>
      <c r="H43" s="178" t="s">
        <v>712</v>
      </c>
      <c r="I43" s="87" t="s">
        <v>713</v>
      </c>
      <c r="J43" s="13">
        <v>12</v>
      </c>
      <c r="K43" s="13" t="s">
        <v>999</v>
      </c>
      <c r="L43" s="104">
        <v>25</v>
      </c>
      <c r="M43" s="193"/>
      <c r="R43" s="2"/>
    </row>
    <row r="44" spans="2:18" ht="22.15" customHeight="1">
      <c r="B44" s="86" t="s">
        <v>66</v>
      </c>
      <c r="C44" s="13" t="s">
        <v>949</v>
      </c>
      <c r="D44" s="87" t="s">
        <v>1002</v>
      </c>
      <c r="E44" s="62" t="s">
        <v>45</v>
      </c>
      <c r="F44" s="87" t="s">
        <v>164</v>
      </c>
      <c r="G44" s="13" t="s">
        <v>1003</v>
      </c>
      <c r="H44" s="178" t="s">
        <v>712</v>
      </c>
      <c r="I44" s="87" t="s">
        <v>713</v>
      </c>
      <c r="J44" s="13">
        <v>8</v>
      </c>
      <c r="K44" s="13" t="s">
        <v>999</v>
      </c>
      <c r="L44" s="104">
        <v>25</v>
      </c>
      <c r="M44" s="193"/>
      <c r="R44" s="2"/>
    </row>
    <row r="45" spans="2:18" ht="22.15" customHeight="1">
      <c r="B45" s="86" t="s">
        <v>66</v>
      </c>
      <c r="C45" s="13" t="s">
        <v>949</v>
      </c>
      <c r="D45" s="87" t="s">
        <v>1002</v>
      </c>
      <c r="E45" s="62" t="s">
        <v>45</v>
      </c>
      <c r="F45" s="87" t="s">
        <v>164</v>
      </c>
      <c r="G45" s="128" t="s">
        <v>1004</v>
      </c>
      <c r="H45" s="178" t="s">
        <v>712</v>
      </c>
      <c r="I45" s="87" t="s">
        <v>713</v>
      </c>
      <c r="J45" s="13">
        <v>5</v>
      </c>
      <c r="K45" s="13" t="s">
        <v>999</v>
      </c>
      <c r="L45" s="104">
        <v>25</v>
      </c>
      <c r="M45" s="193"/>
      <c r="R45" s="2"/>
    </row>
    <row r="46" spans="2:18" ht="22.15" customHeight="1">
      <c r="B46" s="86" t="s">
        <v>66</v>
      </c>
      <c r="C46" s="13" t="s">
        <v>949</v>
      </c>
      <c r="D46" s="87" t="s">
        <v>1005</v>
      </c>
      <c r="E46" s="62" t="s">
        <v>45</v>
      </c>
      <c r="F46" s="87" t="s">
        <v>164</v>
      </c>
      <c r="G46" s="13" t="s">
        <v>816</v>
      </c>
      <c r="H46" s="178" t="s">
        <v>712</v>
      </c>
      <c r="I46" s="87" t="s">
        <v>713</v>
      </c>
      <c r="J46" s="13">
        <v>13</v>
      </c>
      <c r="K46" s="13" t="s">
        <v>999</v>
      </c>
      <c r="L46" s="104">
        <v>25</v>
      </c>
      <c r="M46" s="193"/>
      <c r="R46" s="2"/>
    </row>
    <row r="47" spans="2:18" ht="22.15" customHeight="1">
      <c r="B47" s="86" t="s">
        <v>66</v>
      </c>
      <c r="C47" s="13" t="s">
        <v>949</v>
      </c>
      <c r="D47" s="87" t="s">
        <v>1006</v>
      </c>
      <c r="E47" s="62" t="s">
        <v>45</v>
      </c>
      <c r="F47" s="87" t="s">
        <v>164</v>
      </c>
      <c r="G47" s="13" t="s">
        <v>816</v>
      </c>
      <c r="H47" s="178" t="s">
        <v>712</v>
      </c>
      <c r="I47" s="87" t="s">
        <v>713</v>
      </c>
      <c r="J47" s="13">
        <v>19</v>
      </c>
      <c r="K47" s="13" t="s">
        <v>999</v>
      </c>
      <c r="L47" s="104">
        <v>25</v>
      </c>
      <c r="M47" s="193"/>
      <c r="R47" s="2"/>
    </row>
    <row r="48" spans="2:18" ht="22.15" customHeight="1">
      <c r="B48" s="86" t="s">
        <v>66</v>
      </c>
      <c r="C48" s="13" t="s">
        <v>949</v>
      </c>
      <c r="D48" s="87" t="s">
        <v>1007</v>
      </c>
      <c r="E48" s="62" t="s">
        <v>45</v>
      </c>
      <c r="F48" s="87" t="s">
        <v>164</v>
      </c>
      <c r="G48" s="13" t="s">
        <v>816</v>
      </c>
      <c r="H48" s="178" t="s">
        <v>712</v>
      </c>
      <c r="I48" s="87" t="s">
        <v>713</v>
      </c>
      <c r="J48" s="13">
        <v>40</v>
      </c>
      <c r="K48" s="13" t="s">
        <v>999</v>
      </c>
      <c r="L48" s="104">
        <v>25</v>
      </c>
      <c r="M48" s="193"/>
      <c r="R48" s="2"/>
    </row>
    <row r="49" spans="2:19" ht="22.15" customHeight="1">
      <c r="B49" s="86" t="s">
        <v>66</v>
      </c>
      <c r="C49" s="13" t="s">
        <v>949</v>
      </c>
      <c r="D49" s="87" t="s">
        <v>1008</v>
      </c>
      <c r="E49" s="62" t="s">
        <v>45</v>
      </c>
      <c r="F49" s="87" t="s">
        <v>164</v>
      </c>
      <c r="G49" s="13" t="s">
        <v>816</v>
      </c>
      <c r="H49" s="178" t="s">
        <v>712</v>
      </c>
      <c r="I49" s="87" t="s">
        <v>713</v>
      </c>
      <c r="J49" s="13">
        <v>40</v>
      </c>
      <c r="K49" s="13" t="s">
        <v>999</v>
      </c>
      <c r="L49" s="104">
        <v>25</v>
      </c>
      <c r="M49" s="193"/>
      <c r="R49" s="2"/>
    </row>
    <row r="50" spans="2:19" ht="22.15" customHeight="1">
      <c r="B50" s="86" t="s">
        <v>66</v>
      </c>
      <c r="C50" s="13" t="s">
        <v>949</v>
      </c>
      <c r="D50" s="87" t="s">
        <v>1009</v>
      </c>
      <c r="E50" s="62" t="s">
        <v>45</v>
      </c>
      <c r="F50" s="87" t="s">
        <v>164</v>
      </c>
      <c r="G50" s="13" t="s">
        <v>1010</v>
      </c>
      <c r="H50" s="178" t="s">
        <v>712</v>
      </c>
      <c r="I50" s="87" t="s">
        <v>713</v>
      </c>
      <c r="J50" s="13">
        <v>11</v>
      </c>
      <c r="K50" s="13" t="s">
        <v>999</v>
      </c>
      <c r="L50" s="104">
        <v>25</v>
      </c>
      <c r="M50" s="193"/>
      <c r="R50" s="2"/>
    </row>
    <row r="51" spans="2:19" ht="22.15" customHeight="1">
      <c r="B51" s="86" t="s">
        <v>66</v>
      </c>
      <c r="C51" s="13" t="s">
        <v>949</v>
      </c>
      <c r="D51" s="87" t="s">
        <v>1009</v>
      </c>
      <c r="E51" s="62" t="s">
        <v>45</v>
      </c>
      <c r="F51" s="87" t="s">
        <v>164</v>
      </c>
      <c r="G51" s="13" t="s">
        <v>204</v>
      </c>
      <c r="H51" s="178" t="s">
        <v>712</v>
      </c>
      <c r="I51" s="87" t="s">
        <v>713</v>
      </c>
      <c r="J51" s="13">
        <v>3</v>
      </c>
      <c r="K51" s="13" t="s">
        <v>999</v>
      </c>
      <c r="L51" s="104">
        <v>25</v>
      </c>
      <c r="M51" s="193"/>
      <c r="R51" s="2"/>
    </row>
    <row r="52" spans="2:19" ht="22.15" customHeight="1">
      <c r="B52" s="86" t="s">
        <v>66</v>
      </c>
      <c r="C52" s="13" t="s">
        <v>949</v>
      </c>
      <c r="D52" s="87" t="s">
        <v>1011</v>
      </c>
      <c r="E52" s="62" t="s">
        <v>45</v>
      </c>
      <c r="F52" s="87" t="s">
        <v>164</v>
      </c>
      <c r="G52" s="13" t="s">
        <v>897</v>
      </c>
      <c r="H52" s="178" t="s">
        <v>712</v>
      </c>
      <c r="I52" s="87" t="s">
        <v>723</v>
      </c>
      <c r="J52" s="13">
        <v>15</v>
      </c>
      <c r="K52" s="13" t="s">
        <v>1012</v>
      </c>
      <c r="L52" s="104">
        <v>25</v>
      </c>
      <c r="M52" s="193"/>
      <c r="R52" s="2"/>
    </row>
    <row r="53" spans="2:19" ht="22.15" customHeight="1">
      <c r="B53" s="86" t="s">
        <v>66</v>
      </c>
      <c r="C53" s="13" t="s">
        <v>949</v>
      </c>
      <c r="D53" s="87" t="s">
        <v>1013</v>
      </c>
      <c r="E53" s="62" t="s">
        <v>45</v>
      </c>
      <c r="F53" s="87" t="s">
        <v>164</v>
      </c>
      <c r="G53" s="13" t="s">
        <v>897</v>
      </c>
      <c r="H53" s="178" t="s">
        <v>712</v>
      </c>
      <c r="I53" s="87" t="s">
        <v>723</v>
      </c>
      <c r="J53" s="13">
        <v>32</v>
      </c>
      <c r="K53" s="13" t="s">
        <v>1012</v>
      </c>
      <c r="L53" s="104">
        <v>25</v>
      </c>
      <c r="M53" s="193"/>
      <c r="R53" s="2"/>
    </row>
    <row r="54" spans="2:19" ht="22.15" customHeight="1">
      <c r="B54" s="86" t="s">
        <v>59</v>
      </c>
      <c r="C54" s="13" t="s">
        <v>949</v>
      </c>
      <c r="D54" s="87" t="s">
        <v>1014</v>
      </c>
      <c r="E54" s="62" t="s">
        <v>45</v>
      </c>
      <c r="F54" s="13" t="s">
        <v>672</v>
      </c>
      <c r="G54" s="13" t="s">
        <v>1015</v>
      </c>
      <c r="H54" s="14" t="s">
        <v>270</v>
      </c>
      <c r="I54" s="13" t="s">
        <v>738</v>
      </c>
      <c r="J54" s="13">
        <v>280</v>
      </c>
      <c r="K54" s="13" t="s">
        <v>779</v>
      </c>
      <c r="L54" s="195">
        <v>0.86</v>
      </c>
      <c r="M54" s="193"/>
      <c r="R54" s="2"/>
    </row>
    <row r="55" spans="2:19" ht="22.15" customHeight="1">
      <c r="B55" s="86" t="s">
        <v>59</v>
      </c>
      <c r="C55" s="13" t="s">
        <v>949</v>
      </c>
      <c r="D55" s="87" t="s">
        <v>1016</v>
      </c>
      <c r="E55" s="62" t="s">
        <v>45</v>
      </c>
      <c r="F55" s="13" t="s">
        <v>672</v>
      </c>
      <c r="G55" s="13" t="s">
        <v>89</v>
      </c>
      <c r="H55" s="14" t="s">
        <v>270</v>
      </c>
      <c r="I55" s="13" t="s">
        <v>738</v>
      </c>
      <c r="J55" s="13">
        <v>600</v>
      </c>
      <c r="K55" s="13" t="s">
        <v>779</v>
      </c>
      <c r="L55" s="195">
        <v>0.86</v>
      </c>
      <c r="M55" s="193"/>
      <c r="R55" s="2"/>
    </row>
    <row r="56" spans="2:19" ht="22.15" customHeight="1">
      <c r="B56" s="86" t="s">
        <v>59</v>
      </c>
      <c r="C56" s="13" t="s">
        <v>949</v>
      </c>
      <c r="D56" s="87" t="s">
        <v>1017</v>
      </c>
      <c r="E56" s="62" t="s">
        <v>84</v>
      </c>
      <c r="F56" s="177" t="s">
        <v>558</v>
      </c>
      <c r="G56" s="13" t="s">
        <v>829</v>
      </c>
      <c r="H56" s="14" t="s">
        <v>270</v>
      </c>
      <c r="I56" s="13" t="s">
        <v>738</v>
      </c>
      <c r="J56" s="13">
        <v>45</v>
      </c>
      <c r="K56" s="13" t="s">
        <v>779</v>
      </c>
      <c r="L56" s="195">
        <v>1.03</v>
      </c>
      <c r="M56" s="193"/>
      <c r="R56" s="2"/>
      <c r="S56" s="16"/>
    </row>
    <row r="57" spans="2:19" ht="22.15" customHeight="1">
      <c r="B57" s="86" t="s">
        <v>59</v>
      </c>
      <c r="C57" s="13" t="s">
        <v>949</v>
      </c>
      <c r="D57" s="87" t="s">
        <v>1017</v>
      </c>
      <c r="E57" s="62" t="s">
        <v>45</v>
      </c>
      <c r="F57" s="13" t="s">
        <v>672</v>
      </c>
      <c r="G57" s="13" t="s">
        <v>89</v>
      </c>
      <c r="H57" s="14" t="s">
        <v>270</v>
      </c>
      <c r="I57" s="13" t="s">
        <v>738</v>
      </c>
      <c r="J57" s="13">
        <v>360</v>
      </c>
      <c r="K57" s="13" t="s">
        <v>779</v>
      </c>
      <c r="L57" s="195">
        <v>0.86</v>
      </c>
      <c r="M57" s="193"/>
      <c r="R57" s="2"/>
      <c r="S57" s="16"/>
    </row>
    <row r="58" spans="2:19" ht="22.15" customHeight="1">
      <c r="B58" s="86" t="s">
        <v>59</v>
      </c>
      <c r="C58" s="13" t="s">
        <v>949</v>
      </c>
      <c r="D58" s="87" t="s">
        <v>1018</v>
      </c>
      <c r="E58" s="62" t="s">
        <v>45</v>
      </c>
      <c r="F58" s="13" t="s">
        <v>672</v>
      </c>
      <c r="G58" s="13" t="s">
        <v>1019</v>
      </c>
      <c r="H58" s="14" t="s">
        <v>270</v>
      </c>
      <c r="I58" s="13" t="s">
        <v>738</v>
      </c>
      <c r="J58" s="13">
        <v>340</v>
      </c>
      <c r="K58" s="13" t="s">
        <v>779</v>
      </c>
      <c r="L58" s="195">
        <v>1.28</v>
      </c>
      <c r="M58" s="193"/>
      <c r="R58" s="2"/>
      <c r="S58" s="16"/>
    </row>
    <row r="59" spans="2:19" ht="22.15" customHeight="1">
      <c r="B59" s="86" t="s">
        <v>53</v>
      </c>
      <c r="C59" s="13" t="s">
        <v>949</v>
      </c>
      <c r="D59" s="87" t="s">
        <v>1020</v>
      </c>
      <c r="E59" s="62" t="s">
        <v>45</v>
      </c>
      <c r="F59" s="87" t="s">
        <v>387</v>
      </c>
      <c r="G59" s="13" t="s">
        <v>131</v>
      </c>
      <c r="H59" s="14" t="s">
        <v>1021</v>
      </c>
      <c r="I59" s="13" t="s">
        <v>883</v>
      </c>
      <c r="J59" s="13">
        <v>1</v>
      </c>
      <c r="K59" s="13" t="s">
        <v>779</v>
      </c>
      <c r="L59" s="195">
        <v>326.39999999999998</v>
      </c>
      <c r="M59" s="193"/>
      <c r="R59" s="2"/>
      <c r="S59" s="16"/>
    </row>
    <row r="60" spans="2:19" ht="22.15" customHeight="1">
      <c r="B60" s="86" t="s">
        <v>53</v>
      </c>
      <c r="C60" s="13" t="s">
        <v>949</v>
      </c>
      <c r="D60" s="87" t="s">
        <v>1022</v>
      </c>
      <c r="E60" s="62" t="s">
        <v>45</v>
      </c>
      <c r="F60" s="87" t="s">
        <v>387</v>
      </c>
      <c r="G60" s="13" t="s">
        <v>131</v>
      </c>
      <c r="H60" s="14" t="s">
        <v>875</v>
      </c>
      <c r="I60" s="13" t="s">
        <v>1023</v>
      </c>
      <c r="J60" s="13">
        <v>1</v>
      </c>
      <c r="K60" s="13" t="s">
        <v>779</v>
      </c>
      <c r="L60" s="195">
        <v>390.4</v>
      </c>
      <c r="M60" s="193"/>
      <c r="R60" s="2"/>
      <c r="S60" s="16"/>
    </row>
    <row r="61" spans="2:19" ht="22.15" customHeight="1">
      <c r="B61" s="86" t="s">
        <v>53</v>
      </c>
      <c r="C61" s="13" t="s">
        <v>949</v>
      </c>
      <c r="D61" s="87" t="s">
        <v>1024</v>
      </c>
      <c r="E61" s="62" t="s">
        <v>45</v>
      </c>
      <c r="F61" s="87" t="s">
        <v>387</v>
      </c>
      <c r="G61" s="13" t="s">
        <v>131</v>
      </c>
      <c r="H61" s="14" t="s">
        <v>879</v>
      </c>
      <c r="I61" s="13" t="s">
        <v>1025</v>
      </c>
      <c r="J61" s="13">
        <v>1</v>
      </c>
      <c r="K61" s="13" t="s">
        <v>779</v>
      </c>
      <c r="L61" s="195">
        <v>258</v>
      </c>
      <c r="M61" s="193"/>
      <c r="R61" s="2"/>
      <c r="S61" s="16"/>
    </row>
    <row r="62" spans="2:19" ht="22.15" customHeight="1">
      <c r="B62" s="86" t="s">
        <v>53</v>
      </c>
      <c r="C62" s="13" t="s">
        <v>949</v>
      </c>
      <c r="D62" s="87" t="s">
        <v>1026</v>
      </c>
      <c r="E62" s="62" t="s">
        <v>45</v>
      </c>
      <c r="F62" s="100" t="s">
        <v>381</v>
      </c>
      <c r="G62" s="100" t="s">
        <v>56</v>
      </c>
      <c r="H62" s="134" t="s">
        <v>1027</v>
      </c>
      <c r="I62" s="100" t="s">
        <v>1028</v>
      </c>
      <c r="J62" s="100">
        <v>1</v>
      </c>
      <c r="K62" s="100" t="s">
        <v>779</v>
      </c>
      <c r="L62" s="190" t="s">
        <v>80</v>
      </c>
      <c r="M62" s="191" t="s">
        <v>356</v>
      </c>
      <c r="R62" s="2"/>
      <c r="S62" s="16"/>
    </row>
    <row r="63" spans="2:19" ht="22.15" customHeight="1">
      <c r="B63" s="86" t="s">
        <v>53</v>
      </c>
      <c r="C63" s="13" t="s">
        <v>949</v>
      </c>
      <c r="D63" s="87" t="s">
        <v>1026</v>
      </c>
      <c r="E63" s="62" t="s">
        <v>45</v>
      </c>
      <c r="F63" s="13" t="s">
        <v>381</v>
      </c>
      <c r="G63" s="13" t="s">
        <v>56</v>
      </c>
      <c r="H63" s="14" t="s">
        <v>943</v>
      </c>
      <c r="I63" s="13" t="s">
        <v>1029</v>
      </c>
      <c r="J63" s="13">
        <v>2</v>
      </c>
      <c r="K63" s="13" t="s">
        <v>779</v>
      </c>
      <c r="L63" s="195">
        <v>102.1</v>
      </c>
      <c r="M63" s="193" t="s">
        <v>356</v>
      </c>
      <c r="R63" s="2"/>
      <c r="S63" s="16"/>
    </row>
    <row r="64" spans="2:19" ht="22.15" customHeight="1">
      <c r="B64" s="86" t="s">
        <v>53</v>
      </c>
      <c r="C64" s="13" t="s">
        <v>949</v>
      </c>
      <c r="D64" s="87" t="s">
        <v>1030</v>
      </c>
      <c r="E64" s="62" t="s">
        <v>45</v>
      </c>
      <c r="F64" s="177" t="s">
        <v>377</v>
      </c>
      <c r="G64" s="13" t="s">
        <v>56</v>
      </c>
      <c r="H64" s="14" t="s">
        <v>350</v>
      </c>
      <c r="I64" s="177" t="s">
        <v>1031</v>
      </c>
      <c r="J64" s="13">
        <v>2</v>
      </c>
      <c r="K64" s="13" t="s">
        <v>779</v>
      </c>
      <c r="L64" s="195">
        <v>24</v>
      </c>
      <c r="M64" s="198" t="s">
        <v>352</v>
      </c>
      <c r="R64" s="2"/>
      <c r="S64" s="16"/>
    </row>
    <row r="65" spans="2:19" ht="22.15" customHeight="1">
      <c r="B65" s="86" t="s">
        <v>53</v>
      </c>
      <c r="C65" s="13" t="s">
        <v>949</v>
      </c>
      <c r="D65" s="87" t="s">
        <v>1030</v>
      </c>
      <c r="E65" s="62" t="s">
        <v>45</v>
      </c>
      <c r="F65" s="177" t="s">
        <v>377</v>
      </c>
      <c r="G65" s="13" t="s">
        <v>56</v>
      </c>
      <c r="H65" s="14" t="s">
        <v>1032</v>
      </c>
      <c r="I65" s="177" t="s">
        <v>1033</v>
      </c>
      <c r="J65" s="13">
        <v>1</v>
      </c>
      <c r="K65" s="13" t="s">
        <v>779</v>
      </c>
      <c r="L65" s="195">
        <v>87.7</v>
      </c>
      <c r="M65" s="198" t="s">
        <v>352</v>
      </c>
      <c r="R65" s="2"/>
      <c r="S65" s="16"/>
    </row>
    <row r="66" spans="2:19" ht="22.15" customHeight="1">
      <c r="B66" s="86" t="s">
        <v>53</v>
      </c>
      <c r="C66" s="13" t="s">
        <v>949</v>
      </c>
      <c r="D66" s="87" t="s">
        <v>1030</v>
      </c>
      <c r="E66" s="62" t="s">
        <v>45</v>
      </c>
      <c r="F66" s="188" t="s">
        <v>377</v>
      </c>
      <c r="G66" s="100" t="s">
        <v>56</v>
      </c>
      <c r="H66" s="134" t="s">
        <v>1034</v>
      </c>
      <c r="I66" s="188" t="s">
        <v>1035</v>
      </c>
      <c r="J66" s="100">
        <v>1</v>
      </c>
      <c r="K66" s="100" t="s">
        <v>779</v>
      </c>
      <c r="L66" s="190" t="s">
        <v>80</v>
      </c>
      <c r="M66" s="199" t="s">
        <v>352</v>
      </c>
      <c r="Q66" s="1"/>
      <c r="R66" s="2"/>
      <c r="S66" s="16"/>
    </row>
    <row r="67" spans="2:19" ht="22.15" customHeight="1">
      <c r="B67" s="86" t="s">
        <v>59</v>
      </c>
      <c r="C67" s="13" t="s">
        <v>949</v>
      </c>
      <c r="D67" s="87" t="s">
        <v>1036</v>
      </c>
      <c r="E67" s="62" t="s">
        <v>84</v>
      </c>
      <c r="F67" s="177" t="s">
        <v>558</v>
      </c>
      <c r="G67" s="13" t="s">
        <v>1037</v>
      </c>
      <c r="H67" s="14" t="s">
        <v>1038</v>
      </c>
      <c r="I67" s="195" t="s">
        <v>128</v>
      </c>
      <c r="J67" s="13">
        <v>76</v>
      </c>
      <c r="K67" s="13" t="s">
        <v>779</v>
      </c>
      <c r="L67" s="195">
        <v>1.52</v>
      </c>
      <c r="M67" s="193"/>
      <c r="Q67" s="1"/>
      <c r="R67" s="2"/>
      <c r="S67" s="16"/>
    </row>
    <row r="68" spans="2:19" ht="22.15" customHeight="1">
      <c r="B68" s="86" t="s">
        <v>59</v>
      </c>
      <c r="C68" s="13" t="s">
        <v>949</v>
      </c>
      <c r="D68" s="87" t="s">
        <v>1036</v>
      </c>
      <c r="E68" s="62" t="s">
        <v>84</v>
      </c>
      <c r="F68" s="177" t="s">
        <v>558</v>
      </c>
      <c r="G68" s="13" t="s">
        <v>110</v>
      </c>
      <c r="H68" s="14" t="s">
        <v>64</v>
      </c>
      <c r="I68" s="13" t="s">
        <v>738</v>
      </c>
      <c r="J68" s="13">
        <v>360</v>
      </c>
      <c r="K68" s="13" t="s">
        <v>779</v>
      </c>
      <c r="L68" s="195">
        <v>1.37</v>
      </c>
      <c r="M68" s="193"/>
      <c r="Q68" s="1"/>
      <c r="R68" s="2"/>
      <c r="S68" s="16"/>
    </row>
    <row r="69" spans="2:19" ht="22.15" customHeight="1">
      <c r="B69" s="86" t="s">
        <v>59</v>
      </c>
      <c r="C69" s="13" t="s">
        <v>949</v>
      </c>
      <c r="D69" s="87" t="s">
        <v>1039</v>
      </c>
      <c r="E69" s="62" t="s">
        <v>84</v>
      </c>
      <c r="F69" s="177" t="s">
        <v>558</v>
      </c>
      <c r="G69" s="13" t="s">
        <v>110</v>
      </c>
      <c r="H69" s="14" t="s">
        <v>270</v>
      </c>
      <c r="I69" s="13" t="s">
        <v>738</v>
      </c>
      <c r="J69" s="13">
        <v>340</v>
      </c>
      <c r="K69" s="13" t="s">
        <v>779</v>
      </c>
      <c r="L69" s="195">
        <v>1.37</v>
      </c>
      <c r="M69" s="193"/>
      <c r="Q69" s="1"/>
      <c r="R69" s="2"/>
      <c r="S69" s="16"/>
    </row>
    <row r="70" spans="2:19" ht="22.15" customHeight="1">
      <c r="B70" s="86" t="s">
        <v>59</v>
      </c>
      <c r="C70" s="13" t="s">
        <v>949</v>
      </c>
      <c r="D70" s="87" t="s">
        <v>1040</v>
      </c>
      <c r="E70" s="62" t="s">
        <v>84</v>
      </c>
      <c r="F70" s="177" t="s">
        <v>558</v>
      </c>
      <c r="G70" s="13" t="s">
        <v>110</v>
      </c>
      <c r="H70" s="14" t="s">
        <v>270</v>
      </c>
      <c r="I70" s="13" t="s">
        <v>738</v>
      </c>
      <c r="J70" s="13">
        <v>669</v>
      </c>
      <c r="K70" s="13" t="s">
        <v>779</v>
      </c>
      <c r="L70" s="195">
        <v>1.37</v>
      </c>
      <c r="M70" s="193"/>
      <c r="Q70" s="1"/>
      <c r="R70" s="2"/>
      <c r="S70" s="16"/>
    </row>
    <row r="71" spans="2:19" ht="22.15" customHeight="1">
      <c r="B71" s="86" t="s">
        <v>59</v>
      </c>
      <c r="C71" s="13" t="s">
        <v>949</v>
      </c>
      <c r="D71" s="87" t="s">
        <v>1040</v>
      </c>
      <c r="E71" s="143" t="s">
        <v>263</v>
      </c>
      <c r="F71" s="62" t="s">
        <v>282</v>
      </c>
      <c r="G71" s="13" t="s">
        <v>283</v>
      </c>
      <c r="H71" s="14" t="s">
        <v>270</v>
      </c>
      <c r="I71" s="13" t="s">
        <v>738</v>
      </c>
      <c r="J71" s="13">
        <v>10</v>
      </c>
      <c r="K71" s="13" t="s">
        <v>779</v>
      </c>
      <c r="L71" s="195">
        <v>0.9</v>
      </c>
      <c r="M71" s="193" t="s">
        <v>1041</v>
      </c>
      <c r="Q71" s="1"/>
      <c r="R71" s="2"/>
      <c r="S71" s="16"/>
    </row>
    <row r="72" spans="2:19" ht="22.15" customHeight="1">
      <c r="B72" s="86" t="s">
        <v>59</v>
      </c>
      <c r="C72" s="13" t="s">
        <v>949</v>
      </c>
      <c r="D72" s="87" t="s">
        <v>1042</v>
      </c>
      <c r="E72" s="62" t="s">
        <v>84</v>
      </c>
      <c r="F72" s="177" t="s">
        <v>558</v>
      </c>
      <c r="G72" s="13" t="s">
        <v>1043</v>
      </c>
      <c r="H72" s="14" t="s">
        <v>270</v>
      </c>
      <c r="I72" s="13" t="s">
        <v>738</v>
      </c>
      <c r="J72" s="13">
        <v>40</v>
      </c>
      <c r="K72" s="13" t="s">
        <v>779</v>
      </c>
      <c r="L72" s="195">
        <v>1.2</v>
      </c>
      <c r="M72" s="193" t="s">
        <v>1044</v>
      </c>
      <c r="Q72" s="1"/>
      <c r="R72" s="2"/>
      <c r="S72" s="16"/>
    </row>
    <row r="73" spans="2:19" ht="22.15" customHeight="1">
      <c r="B73" s="86" t="s">
        <v>59</v>
      </c>
      <c r="C73" s="13" t="s">
        <v>949</v>
      </c>
      <c r="D73" s="87" t="s">
        <v>1042</v>
      </c>
      <c r="E73" s="62" t="s">
        <v>84</v>
      </c>
      <c r="F73" s="177" t="s">
        <v>558</v>
      </c>
      <c r="G73" s="13" t="s">
        <v>1045</v>
      </c>
      <c r="H73" s="14" t="s">
        <v>270</v>
      </c>
      <c r="I73" s="13" t="s">
        <v>738</v>
      </c>
      <c r="J73" s="13">
        <v>373</v>
      </c>
      <c r="K73" s="13" t="s">
        <v>779</v>
      </c>
      <c r="L73" s="195">
        <v>1.56</v>
      </c>
      <c r="M73" s="193" t="s">
        <v>1044</v>
      </c>
      <c r="Q73" s="1"/>
      <c r="R73" s="2"/>
      <c r="S73" s="16"/>
    </row>
    <row r="74" spans="2:19" ht="22.15" customHeight="1">
      <c r="B74" s="86" t="s">
        <v>7</v>
      </c>
      <c r="C74" s="13" t="s">
        <v>949</v>
      </c>
      <c r="D74" s="87" t="s">
        <v>1046</v>
      </c>
      <c r="E74" s="62" t="s">
        <v>45</v>
      </c>
      <c r="F74" s="188" t="s">
        <v>80</v>
      </c>
      <c r="G74" s="100" t="s">
        <v>154</v>
      </c>
      <c r="H74" s="134" t="s">
        <v>929</v>
      </c>
      <c r="I74" s="188" t="s">
        <v>80</v>
      </c>
      <c r="J74" s="100">
        <v>1</v>
      </c>
      <c r="K74" s="100" t="s">
        <v>779</v>
      </c>
      <c r="L74" s="190" t="s">
        <v>80</v>
      </c>
      <c r="M74" s="193"/>
      <c r="Q74" s="1"/>
      <c r="R74" s="2"/>
      <c r="S74" s="16"/>
    </row>
    <row r="75" spans="2:19" ht="22.15" customHeight="1">
      <c r="B75" s="86" t="s">
        <v>7</v>
      </c>
      <c r="C75" s="13" t="s">
        <v>949</v>
      </c>
      <c r="D75" s="87" t="s">
        <v>1047</v>
      </c>
      <c r="E75" s="62" t="s">
        <v>45</v>
      </c>
      <c r="F75" s="188" t="s">
        <v>80</v>
      </c>
      <c r="G75" s="100" t="s">
        <v>1048</v>
      </c>
      <c r="H75" s="134" t="s">
        <v>750</v>
      </c>
      <c r="I75" s="188" t="s">
        <v>80</v>
      </c>
      <c r="J75" s="100">
        <v>3</v>
      </c>
      <c r="K75" s="100" t="s">
        <v>779</v>
      </c>
      <c r="L75" s="190" t="s">
        <v>80</v>
      </c>
      <c r="M75" s="193"/>
      <c r="Q75" s="1"/>
      <c r="R75" s="16"/>
      <c r="S75" s="16"/>
    </row>
    <row r="76" spans="2:19" ht="22.15" customHeight="1">
      <c r="B76" s="86" t="s">
        <v>7</v>
      </c>
      <c r="C76" s="13" t="s">
        <v>949</v>
      </c>
      <c r="D76" s="87" t="s">
        <v>1047</v>
      </c>
      <c r="E76" s="62" t="s">
        <v>45</v>
      </c>
      <c r="F76" s="188" t="s">
        <v>80</v>
      </c>
      <c r="G76" s="129" t="s">
        <v>242</v>
      </c>
      <c r="H76" s="134" t="s">
        <v>754</v>
      </c>
      <c r="I76" s="188" t="s">
        <v>80</v>
      </c>
      <c r="J76" s="100">
        <v>2</v>
      </c>
      <c r="K76" s="100" t="s">
        <v>779</v>
      </c>
      <c r="L76" s="190" t="s">
        <v>80</v>
      </c>
      <c r="M76" s="193"/>
      <c r="Q76" s="1"/>
      <c r="R76" s="16"/>
      <c r="S76" s="16"/>
    </row>
    <row r="77" spans="2:19" ht="22.15" customHeight="1">
      <c r="B77" s="86" t="s">
        <v>7</v>
      </c>
      <c r="C77" s="13" t="s">
        <v>949</v>
      </c>
      <c r="D77" s="87" t="s">
        <v>1047</v>
      </c>
      <c r="E77" s="62" t="s">
        <v>45</v>
      </c>
      <c r="F77" s="188" t="s">
        <v>80</v>
      </c>
      <c r="G77" s="129" t="s">
        <v>242</v>
      </c>
      <c r="H77" s="134" t="s">
        <v>1049</v>
      </c>
      <c r="I77" s="188" t="s">
        <v>80</v>
      </c>
      <c r="J77" s="100">
        <v>1</v>
      </c>
      <c r="K77" s="100" t="s">
        <v>779</v>
      </c>
      <c r="L77" s="190" t="s">
        <v>80</v>
      </c>
      <c r="M77" s="193"/>
      <c r="Q77" s="1"/>
      <c r="R77" s="16"/>
      <c r="S77" s="16"/>
    </row>
    <row r="78" spans="2:19" ht="22.15" customHeight="1">
      <c r="B78" s="86" t="s">
        <v>53</v>
      </c>
      <c r="C78" s="13" t="s">
        <v>949</v>
      </c>
      <c r="D78" s="87" t="s">
        <v>1047</v>
      </c>
      <c r="E78" s="62" t="s">
        <v>45</v>
      </c>
      <c r="F78" s="188" t="s">
        <v>80</v>
      </c>
      <c r="G78" s="100" t="s">
        <v>131</v>
      </c>
      <c r="H78" s="197" t="s">
        <v>80</v>
      </c>
      <c r="I78" s="100" t="s">
        <v>1050</v>
      </c>
      <c r="J78" s="100">
        <v>1</v>
      </c>
      <c r="K78" s="100" t="s">
        <v>779</v>
      </c>
      <c r="L78" s="190" t="s">
        <v>80</v>
      </c>
      <c r="M78" s="193"/>
      <c r="Q78" s="1"/>
      <c r="R78" s="16"/>
      <c r="S78" s="16"/>
    </row>
    <row r="79" spans="2:19" ht="22.15" customHeight="1">
      <c r="B79" s="86" t="s">
        <v>53</v>
      </c>
      <c r="C79" s="13" t="s">
        <v>949</v>
      </c>
      <c r="D79" s="87" t="s">
        <v>1051</v>
      </c>
      <c r="E79" s="62" t="s">
        <v>45</v>
      </c>
      <c r="F79" s="188" t="s">
        <v>80</v>
      </c>
      <c r="G79" s="100" t="s">
        <v>131</v>
      </c>
      <c r="H79" s="197" t="s">
        <v>80</v>
      </c>
      <c r="I79" s="100" t="s">
        <v>1052</v>
      </c>
      <c r="J79" s="100">
        <v>1</v>
      </c>
      <c r="K79" s="100" t="s">
        <v>779</v>
      </c>
      <c r="L79" s="190" t="s">
        <v>80</v>
      </c>
      <c r="M79" s="193"/>
      <c r="Q79" s="1"/>
      <c r="R79" s="16"/>
      <c r="S79" s="16"/>
    </row>
    <row r="80" spans="2:19" ht="22.15" customHeight="1">
      <c r="B80" s="86" t="s">
        <v>53</v>
      </c>
      <c r="C80" s="13" t="s">
        <v>949</v>
      </c>
      <c r="D80" s="200" t="s">
        <v>1053</v>
      </c>
      <c r="E80" s="62" t="s">
        <v>45</v>
      </c>
      <c r="F80" s="87" t="s">
        <v>551</v>
      </c>
      <c r="G80" s="128" t="s">
        <v>131</v>
      </c>
      <c r="H80" s="201" t="s">
        <v>1054</v>
      </c>
      <c r="I80" s="177" t="s">
        <v>914</v>
      </c>
      <c r="J80" s="128">
        <v>26</v>
      </c>
      <c r="K80" s="13" t="s">
        <v>779</v>
      </c>
      <c r="L80" s="195">
        <v>46.91</v>
      </c>
      <c r="M80" s="202" t="s">
        <v>871</v>
      </c>
      <c r="Q80" s="1"/>
      <c r="R80" s="16"/>
      <c r="S80" s="16"/>
    </row>
    <row r="81" spans="2:19" ht="22.15" customHeight="1">
      <c r="B81" s="86" t="s">
        <v>53</v>
      </c>
      <c r="C81" s="13" t="s">
        <v>949</v>
      </c>
      <c r="D81" s="200" t="s">
        <v>1055</v>
      </c>
      <c r="E81" s="62" t="s">
        <v>45</v>
      </c>
      <c r="F81" s="190" t="s">
        <v>80</v>
      </c>
      <c r="G81" s="100" t="s">
        <v>1056</v>
      </c>
      <c r="H81" s="203" t="s">
        <v>1057</v>
      </c>
      <c r="I81" s="190" t="s">
        <v>80</v>
      </c>
      <c r="J81" s="129">
        <v>4</v>
      </c>
      <c r="K81" s="100" t="s">
        <v>779</v>
      </c>
      <c r="L81" s="190" t="s">
        <v>80</v>
      </c>
      <c r="M81" s="193"/>
      <c r="Q81" s="1"/>
      <c r="S81" s="16"/>
    </row>
    <row r="82" spans="2:19" ht="22.15" customHeight="1">
      <c r="B82" s="86" t="s">
        <v>53</v>
      </c>
      <c r="C82" s="13" t="s">
        <v>949</v>
      </c>
      <c r="D82" s="200" t="s">
        <v>1055</v>
      </c>
      <c r="E82" s="62" t="s">
        <v>45</v>
      </c>
      <c r="F82" s="204" t="s">
        <v>488</v>
      </c>
      <c r="G82" s="13" t="s">
        <v>1056</v>
      </c>
      <c r="H82" s="201" t="s">
        <v>1058</v>
      </c>
      <c r="I82" s="177" t="s">
        <v>1059</v>
      </c>
      <c r="J82" s="128">
        <v>1</v>
      </c>
      <c r="K82" s="13" t="s">
        <v>779</v>
      </c>
      <c r="L82" s="195">
        <v>6.63</v>
      </c>
      <c r="M82" s="193" t="s">
        <v>1060</v>
      </c>
      <c r="Q82" s="1"/>
    </row>
    <row r="83" spans="2:19" ht="22.15" customHeight="1">
      <c r="B83" s="86" t="s">
        <v>53</v>
      </c>
      <c r="C83" s="13" t="s">
        <v>949</v>
      </c>
      <c r="D83" s="200" t="s">
        <v>1055</v>
      </c>
      <c r="E83" s="62" t="s">
        <v>45</v>
      </c>
      <c r="F83" s="87" t="s">
        <v>551</v>
      </c>
      <c r="G83" s="128" t="s">
        <v>297</v>
      </c>
      <c r="H83" s="201" t="s">
        <v>1061</v>
      </c>
      <c r="I83" s="177" t="s">
        <v>914</v>
      </c>
      <c r="J83" s="128">
        <v>6</v>
      </c>
      <c r="K83" s="13" t="s">
        <v>779</v>
      </c>
      <c r="L83" s="195">
        <v>56.5</v>
      </c>
      <c r="M83" s="193" t="s">
        <v>1062</v>
      </c>
      <c r="Q83" s="1"/>
    </row>
    <row r="84" spans="2:19" ht="22.15" customHeight="1">
      <c r="B84" s="86" t="s">
        <v>53</v>
      </c>
      <c r="C84" s="13" t="s">
        <v>949</v>
      </c>
      <c r="D84" s="200" t="s">
        <v>1055</v>
      </c>
      <c r="E84" s="62" t="s">
        <v>45</v>
      </c>
      <c r="F84" s="87" t="s">
        <v>551</v>
      </c>
      <c r="G84" s="128" t="s">
        <v>297</v>
      </c>
      <c r="H84" s="201" t="s">
        <v>1054</v>
      </c>
      <c r="I84" s="177" t="s">
        <v>914</v>
      </c>
      <c r="J84" s="128">
        <v>10</v>
      </c>
      <c r="K84" s="13" t="s">
        <v>779</v>
      </c>
      <c r="L84" s="195">
        <v>46.91</v>
      </c>
      <c r="M84" s="193" t="s">
        <v>1062</v>
      </c>
      <c r="Q84" s="1"/>
    </row>
    <row r="85" spans="2:19" ht="22.15" customHeight="1">
      <c r="B85" s="86" t="s">
        <v>7</v>
      </c>
      <c r="C85" s="13" t="s">
        <v>949</v>
      </c>
      <c r="D85" s="200" t="s">
        <v>1055</v>
      </c>
      <c r="E85" s="62" t="s">
        <v>45</v>
      </c>
      <c r="F85" s="87" t="s">
        <v>551</v>
      </c>
      <c r="G85" s="128" t="s">
        <v>297</v>
      </c>
      <c r="H85" s="201" t="s">
        <v>1063</v>
      </c>
      <c r="I85" s="177" t="s">
        <v>914</v>
      </c>
      <c r="J85" s="128">
        <v>2</v>
      </c>
      <c r="K85" s="13" t="s">
        <v>779</v>
      </c>
      <c r="L85" s="195">
        <v>42.41</v>
      </c>
      <c r="M85" s="193" t="s">
        <v>1062</v>
      </c>
      <c r="Q85" s="1"/>
    </row>
    <row r="86" spans="2:19" ht="22.15" customHeight="1">
      <c r="B86" s="86" t="s">
        <v>7</v>
      </c>
      <c r="C86" s="13" t="s">
        <v>949</v>
      </c>
      <c r="D86" s="200" t="s">
        <v>1064</v>
      </c>
      <c r="E86" s="62" t="s">
        <v>45</v>
      </c>
      <c r="F86" s="129" t="s">
        <v>236</v>
      </c>
      <c r="G86" s="129" t="s">
        <v>242</v>
      </c>
      <c r="H86" s="197" t="s">
        <v>80</v>
      </c>
      <c r="I86" s="188" t="s">
        <v>239</v>
      </c>
      <c r="J86" s="129">
        <v>8</v>
      </c>
      <c r="K86" s="100" t="s">
        <v>779</v>
      </c>
      <c r="L86" s="190" t="s">
        <v>80</v>
      </c>
      <c r="M86" s="205" t="s">
        <v>1065</v>
      </c>
      <c r="Q86" s="1"/>
    </row>
    <row r="87" spans="2:19" ht="22.15" customHeight="1">
      <c r="B87" s="86" t="s">
        <v>53</v>
      </c>
      <c r="C87" s="13" t="s">
        <v>949</v>
      </c>
      <c r="D87" s="200" t="s">
        <v>1064</v>
      </c>
      <c r="E87" s="62" t="s">
        <v>84</v>
      </c>
      <c r="F87" s="177" t="s">
        <v>558</v>
      </c>
      <c r="G87" s="206" t="s">
        <v>120</v>
      </c>
      <c r="H87" s="201" t="s">
        <v>1066</v>
      </c>
      <c r="I87" s="177" t="s">
        <v>1067</v>
      </c>
      <c r="J87" s="128">
        <v>6</v>
      </c>
      <c r="K87" s="13" t="s">
        <v>779</v>
      </c>
      <c r="L87" s="195">
        <v>54.65</v>
      </c>
      <c r="M87" s="191"/>
      <c r="Q87" s="1"/>
    </row>
    <row r="88" spans="2:19" ht="22.15" customHeight="1">
      <c r="B88" s="86" t="s">
        <v>53</v>
      </c>
      <c r="C88" s="13" t="s">
        <v>949</v>
      </c>
      <c r="D88" s="200" t="s">
        <v>1064</v>
      </c>
      <c r="E88" s="62" t="s">
        <v>84</v>
      </c>
      <c r="F88" s="177" t="s">
        <v>558</v>
      </c>
      <c r="G88" s="206" t="s">
        <v>1068</v>
      </c>
      <c r="H88" s="201" t="s">
        <v>1069</v>
      </c>
      <c r="I88" s="177" t="s">
        <v>1070</v>
      </c>
      <c r="J88" s="128">
        <v>4</v>
      </c>
      <c r="K88" s="13" t="s">
        <v>779</v>
      </c>
      <c r="L88" s="195">
        <v>72.8</v>
      </c>
      <c r="M88" s="191"/>
      <c r="Q88" s="1"/>
    </row>
    <row r="89" spans="2:19" ht="22.15" customHeight="1">
      <c r="B89" s="86" t="s">
        <v>66</v>
      </c>
      <c r="C89" s="13" t="s">
        <v>949</v>
      </c>
      <c r="D89" s="200" t="s">
        <v>1071</v>
      </c>
      <c r="E89" s="62" t="s">
        <v>45</v>
      </c>
      <c r="F89" s="87" t="s">
        <v>773</v>
      </c>
      <c r="G89" s="128" t="s">
        <v>1072</v>
      </c>
      <c r="H89" s="178" t="s">
        <v>712</v>
      </c>
      <c r="I89" s="87" t="s">
        <v>713</v>
      </c>
      <c r="J89" s="128">
        <v>40</v>
      </c>
      <c r="K89" s="13" t="s">
        <v>71</v>
      </c>
      <c r="L89" s="195">
        <v>25</v>
      </c>
      <c r="M89" s="193"/>
      <c r="Q89" s="1"/>
    </row>
    <row r="90" spans="2:19" ht="22.15" customHeight="1">
      <c r="B90" s="86" t="s">
        <v>66</v>
      </c>
      <c r="C90" s="13" t="s">
        <v>949</v>
      </c>
      <c r="D90" s="200" t="s">
        <v>1073</v>
      </c>
      <c r="E90" s="62" t="s">
        <v>45</v>
      </c>
      <c r="F90" s="87" t="s">
        <v>773</v>
      </c>
      <c r="G90" s="128" t="s">
        <v>127</v>
      </c>
      <c r="H90" s="178" t="s">
        <v>712</v>
      </c>
      <c r="I90" s="87" t="s">
        <v>713</v>
      </c>
      <c r="J90" s="128">
        <v>40</v>
      </c>
      <c r="K90" s="13" t="s">
        <v>71</v>
      </c>
      <c r="L90" s="195">
        <v>25</v>
      </c>
      <c r="M90" s="193"/>
      <c r="Q90" s="1"/>
    </row>
    <row r="91" spans="2:19" ht="22.15" customHeight="1">
      <c r="B91" s="86" t="s">
        <v>66</v>
      </c>
      <c r="C91" s="13" t="s">
        <v>949</v>
      </c>
      <c r="D91" s="200" t="s">
        <v>1074</v>
      </c>
      <c r="E91" s="62" t="s">
        <v>45</v>
      </c>
      <c r="F91" s="87" t="s">
        <v>773</v>
      </c>
      <c r="G91" s="128" t="s">
        <v>163</v>
      </c>
      <c r="H91" s="178" t="s">
        <v>712</v>
      </c>
      <c r="I91" s="87" t="s">
        <v>713</v>
      </c>
      <c r="J91" s="128">
        <v>22</v>
      </c>
      <c r="K91" s="13" t="s">
        <v>71</v>
      </c>
      <c r="L91" s="195">
        <v>25</v>
      </c>
      <c r="M91" s="193"/>
      <c r="Q91" s="1"/>
    </row>
    <row r="92" spans="2:19" ht="22.15" customHeight="1">
      <c r="B92" s="86" t="s">
        <v>66</v>
      </c>
      <c r="C92" s="13" t="s">
        <v>949</v>
      </c>
      <c r="D92" s="200" t="s">
        <v>1075</v>
      </c>
      <c r="E92" s="62" t="s">
        <v>45</v>
      </c>
      <c r="F92" s="87" t="s">
        <v>773</v>
      </c>
      <c r="G92" s="128" t="s">
        <v>127</v>
      </c>
      <c r="H92" s="178" t="s">
        <v>712</v>
      </c>
      <c r="I92" s="87" t="s">
        <v>713</v>
      </c>
      <c r="J92" s="128">
        <v>40</v>
      </c>
      <c r="K92" s="13" t="s">
        <v>71</v>
      </c>
      <c r="L92" s="195">
        <v>25</v>
      </c>
      <c r="M92" s="193"/>
      <c r="Q92" s="1"/>
    </row>
    <row r="93" spans="2:19" ht="22.15" customHeight="1">
      <c r="B93" s="86" t="s">
        <v>66</v>
      </c>
      <c r="C93" s="13" t="s">
        <v>949</v>
      </c>
      <c r="D93" s="200" t="s">
        <v>1076</v>
      </c>
      <c r="E93" s="62" t="s">
        <v>45</v>
      </c>
      <c r="F93" s="87" t="s">
        <v>773</v>
      </c>
      <c r="G93" s="128" t="s">
        <v>127</v>
      </c>
      <c r="H93" s="178" t="s">
        <v>712</v>
      </c>
      <c r="I93" s="87" t="s">
        <v>713</v>
      </c>
      <c r="J93" s="128">
        <v>40</v>
      </c>
      <c r="K93" s="13" t="s">
        <v>71</v>
      </c>
      <c r="L93" s="195">
        <v>25</v>
      </c>
      <c r="M93" s="193"/>
      <c r="Q93" s="1"/>
    </row>
    <row r="94" spans="2:19" ht="22.15" customHeight="1">
      <c r="B94" s="86" t="s">
        <v>66</v>
      </c>
      <c r="C94" s="13" t="s">
        <v>949</v>
      </c>
      <c r="D94" s="200" t="s">
        <v>1077</v>
      </c>
      <c r="E94" s="62" t="s">
        <v>45</v>
      </c>
      <c r="F94" s="87" t="s">
        <v>773</v>
      </c>
      <c r="G94" s="128" t="s">
        <v>127</v>
      </c>
      <c r="H94" s="178" t="s">
        <v>712</v>
      </c>
      <c r="I94" s="87" t="s">
        <v>713</v>
      </c>
      <c r="J94" s="128">
        <v>40</v>
      </c>
      <c r="K94" s="13" t="s">
        <v>71</v>
      </c>
      <c r="L94" s="195">
        <v>25</v>
      </c>
      <c r="M94" s="193"/>
      <c r="Q94" s="1"/>
    </row>
    <row r="95" spans="2:19" ht="22.15" customHeight="1">
      <c r="B95" s="86" t="s">
        <v>66</v>
      </c>
      <c r="C95" s="13" t="s">
        <v>949</v>
      </c>
      <c r="D95" s="200" t="s">
        <v>1078</v>
      </c>
      <c r="E95" s="62" t="s">
        <v>45</v>
      </c>
      <c r="F95" s="87" t="s">
        <v>773</v>
      </c>
      <c r="G95" s="128" t="s">
        <v>127</v>
      </c>
      <c r="H95" s="178" t="s">
        <v>712</v>
      </c>
      <c r="I95" s="87" t="s">
        <v>713</v>
      </c>
      <c r="J95" s="128">
        <v>40</v>
      </c>
      <c r="K95" s="13" t="s">
        <v>71</v>
      </c>
      <c r="L95" s="195">
        <v>25</v>
      </c>
      <c r="M95" s="193"/>
      <c r="Q95" s="1"/>
    </row>
    <row r="96" spans="2:19" ht="22.15" customHeight="1">
      <c r="B96" s="86" t="s">
        <v>66</v>
      </c>
      <c r="C96" s="13" t="s">
        <v>949</v>
      </c>
      <c r="D96" s="200" t="s">
        <v>1079</v>
      </c>
      <c r="E96" s="62" t="s">
        <v>45</v>
      </c>
      <c r="F96" s="87" t="s">
        <v>773</v>
      </c>
      <c r="G96" s="128" t="s">
        <v>127</v>
      </c>
      <c r="H96" s="178" t="s">
        <v>712</v>
      </c>
      <c r="I96" s="87" t="s">
        <v>713</v>
      </c>
      <c r="J96" s="128">
        <v>40</v>
      </c>
      <c r="K96" s="13" t="s">
        <v>71</v>
      </c>
      <c r="L96" s="195">
        <v>25</v>
      </c>
      <c r="M96" s="193"/>
      <c r="Q96" s="1"/>
    </row>
    <row r="97" spans="2:17" ht="22.15" customHeight="1">
      <c r="B97" s="86" t="s">
        <v>66</v>
      </c>
      <c r="C97" s="13" t="s">
        <v>949</v>
      </c>
      <c r="D97" s="200" t="s">
        <v>1080</v>
      </c>
      <c r="E97" s="62" t="s">
        <v>45</v>
      </c>
      <c r="F97" s="87" t="s">
        <v>773</v>
      </c>
      <c r="G97" s="128" t="s">
        <v>127</v>
      </c>
      <c r="H97" s="178" t="s">
        <v>712</v>
      </c>
      <c r="I97" s="87" t="s">
        <v>713</v>
      </c>
      <c r="J97" s="128">
        <v>40</v>
      </c>
      <c r="K97" s="13" t="s">
        <v>71</v>
      </c>
      <c r="L97" s="195">
        <v>25</v>
      </c>
      <c r="M97" s="193"/>
      <c r="Q97" s="1"/>
    </row>
    <row r="98" spans="2:17" ht="22.15" customHeight="1">
      <c r="B98" s="86" t="s">
        <v>66</v>
      </c>
      <c r="C98" s="13" t="s">
        <v>949</v>
      </c>
      <c r="D98" s="200" t="s">
        <v>1081</v>
      </c>
      <c r="E98" s="62" t="s">
        <v>45</v>
      </c>
      <c r="F98" s="87" t="s">
        <v>773</v>
      </c>
      <c r="G98" s="128" t="s">
        <v>897</v>
      </c>
      <c r="H98" s="178" t="s">
        <v>712</v>
      </c>
      <c r="I98" s="87" t="s">
        <v>723</v>
      </c>
      <c r="J98" s="128">
        <v>25</v>
      </c>
      <c r="K98" s="13" t="s">
        <v>71</v>
      </c>
      <c r="L98" s="195">
        <v>25</v>
      </c>
      <c r="M98" s="193"/>
      <c r="Q98" s="1"/>
    </row>
    <row r="99" spans="2:17" ht="22.15" customHeight="1">
      <c r="B99" s="86" t="s">
        <v>66</v>
      </c>
      <c r="C99" s="13" t="s">
        <v>949</v>
      </c>
      <c r="D99" s="200" t="s">
        <v>1082</v>
      </c>
      <c r="E99" s="62" t="s">
        <v>45</v>
      </c>
      <c r="F99" s="87" t="s">
        <v>773</v>
      </c>
      <c r="G99" s="128" t="s">
        <v>897</v>
      </c>
      <c r="H99" s="178" t="s">
        <v>712</v>
      </c>
      <c r="I99" s="87" t="s">
        <v>723</v>
      </c>
      <c r="J99" s="128">
        <v>32</v>
      </c>
      <c r="K99" s="13" t="s">
        <v>71</v>
      </c>
      <c r="L99" s="195">
        <v>25</v>
      </c>
      <c r="M99" s="193"/>
      <c r="Q99" s="1"/>
    </row>
    <row r="100" spans="2:17" ht="22.15" customHeight="1">
      <c r="B100" s="86" t="s">
        <v>66</v>
      </c>
      <c r="C100" s="13" t="s">
        <v>949</v>
      </c>
      <c r="D100" s="200" t="s">
        <v>1083</v>
      </c>
      <c r="E100" s="62" t="s">
        <v>45</v>
      </c>
      <c r="F100" s="87" t="s">
        <v>773</v>
      </c>
      <c r="G100" s="128" t="s">
        <v>816</v>
      </c>
      <c r="H100" s="178" t="s">
        <v>712</v>
      </c>
      <c r="I100" s="87" t="s">
        <v>713</v>
      </c>
      <c r="J100" s="128">
        <v>40</v>
      </c>
      <c r="K100" s="13" t="s">
        <v>71</v>
      </c>
      <c r="L100" s="195">
        <v>25</v>
      </c>
      <c r="M100" s="193"/>
      <c r="Q100" s="1"/>
    </row>
    <row r="101" spans="2:17" ht="22.15" customHeight="1">
      <c r="B101" s="86" t="s">
        <v>66</v>
      </c>
      <c r="C101" s="13" t="s">
        <v>949</v>
      </c>
      <c r="D101" s="200" t="s">
        <v>1084</v>
      </c>
      <c r="E101" s="62" t="s">
        <v>45</v>
      </c>
      <c r="F101" s="87" t="s">
        <v>773</v>
      </c>
      <c r="G101" s="128" t="s">
        <v>816</v>
      </c>
      <c r="H101" s="178" t="s">
        <v>712</v>
      </c>
      <c r="I101" s="87" t="s">
        <v>713</v>
      </c>
      <c r="J101" s="128">
        <v>40</v>
      </c>
      <c r="K101" s="13" t="s">
        <v>71</v>
      </c>
      <c r="L101" s="195">
        <v>25</v>
      </c>
      <c r="M101" s="193"/>
      <c r="Q101" s="1"/>
    </row>
    <row r="102" spans="2:17" ht="22.15" customHeight="1">
      <c r="B102" s="86" t="s">
        <v>66</v>
      </c>
      <c r="C102" s="13" t="s">
        <v>949</v>
      </c>
      <c r="D102" s="200" t="s">
        <v>1085</v>
      </c>
      <c r="E102" s="62" t="s">
        <v>45</v>
      </c>
      <c r="F102" s="87" t="s">
        <v>773</v>
      </c>
      <c r="G102" s="128" t="s">
        <v>1086</v>
      </c>
      <c r="H102" s="178" t="s">
        <v>712</v>
      </c>
      <c r="I102" s="87" t="s">
        <v>713</v>
      </c>
      <c r="J102" s="128">
        <v>24</v>
      </c>
      <c r="K102" s="13" t="s">
        <v>71</v>
      </c>
      <c r="L102" s="195">
        <v>25</v>
      </c>
      <c r="M102" s="193"/>
      <c r="Q102" s="1"/>
    </row>
    <row r="103" spans="2:17" ht="22.15" customHeight="1">
      <c r="B103" s="86" t="s">
        <v>66</v>
      </c>
      <c r="C103" s="13" t="s">
        <v>949</v>
      </c>
      <c r="D103" s="200" t="s">
        <v>1087</v>
      </c>
      <c r="E103" s="62" t="s">
        <v>45</v>
      </c>
      <c r="F103" s="87" t="s">
        <v>773</v>
      </c>
      <c r="G103" s="128" t="s">
        <v>163</v>
      </c>
      <c r="H103" s="178" t="s">
        <v>712</v>
      </c>
      <c r="I103" s="87" t="s">
        <v>713</v>
      </c>
      <c r="J103" s="128">
        <v>20</v>
      </c>
      <c r="K103" s="13" t="s">
        <v>71</v>
      </c>
      <c r="L103" s="195">
        <v>25</v>
      </c>
      <c r="M103" s="193"/>
      <c r="Q103" s="1"/>
    </row>
    <row r="104" spans="2:17" ht="22.15" customHeight="1">
      <c r="B104" s="86" t="s">
        <v>53</v>
      </c>
      <c r="C104" s="13" t="s">
        <v>949</v>
      </c>
      <c r="D104" s="200" t="s">
        <v>1088</v>
      </c>
      <c r="E104" s="62" t="s">
        <v>84</v>
      </c>
      <c r="F104" s="177" t="s">
        <v>558</v>
      </c>
      <c r="G104" s="128" t="s">
        <v>200</v>
      </c>
      <c r="H104" s="201" t="s">
        <v>837</v>
      </c>
      <c r="I104" s="128" t="s">
        <v>1089</v>
      </c>
      <c r="J104" s="128">
        <v>64</v>
      </c>
      <c r="K104" s="13" t="s">
        <v>779</v>
      </c>
      <c r="L104" s="195">
        <v>14.11</v>
      </c>
      <c r="M104" s="193" t="s">
        <v>958</v>
      </c>
      <c r="Q104" s="1"/>
    </row>
    <row r="105" spans="2:17" ht="22.15" customHeight="1">
      <c r="B105" s="86" t="s">
        <v>66</v>
      </c>
      <c r="C105" s="13" t="s">
        <v>949</v>
      </c>
      <c r="D105" s="200" t="s">
        <v>1090</v>
      </c>
      <c r="E105" s="62" t="s">
        <v>45</v>
      </c>
      <c r="F105" s="87" t="s">
        <v>773</v>
      </c>
      <c r="G105" s="128" t="s">
        <v>816</v>
      </c>
      <c r="H105" s="178" t="s">
        <v>712</v>
      </c>
      <c r="I105" s="87" t="s">
        <v>713</v>
      </c>
      <c r="J105" s="128">
        <v>40</v>
      </c>
      <c r="K105" s="13" t="s">
        <v>71</v>
      </c>
      <c r="L105" s="195">
        <v>25</v>
      </c>
      <c r="M105" s="193"/>
      <c r="Q105" s="1"/>
    </row>
    <row r="106" spans="2:17" ht="22.15" customHeight="1">
      <c r="B106" s="86" t="s">
        <v>53</v>
      </c>
      <c r="C106" s="13" t="s">
        <v>949</v>
      </c>
      <c r="D106" s="200" t="s">
        <v>1091</v>
      </c>
      <c r="E106" s="62" t="s">
        <v>84</v>
      </c>
      <c r="F106" s="177" t="s">
        <v>558</v>
      </c>
      <c r="G106" s="128" t="s">
        <v>200</v>
      </c>
      <c r="H106" s="201" t="s">
        <v>1092</v>
      </c>
      <c r="I106" s="128" t="s">
        <v>1093</v>
      </c>
      <c r="J106" s="128">
        <v>32</v>
      </c>
      <c r="K106" s="13" t="s">
        <v>779</v>
      </c>
      <c r="L106" s="195">
        <v>21.45</v>
      </c>
      <c r="M106" s="193" t="s">
        <v>958</v>
      </c>
      <c r="Q106" s="1"/>
    </row>
    <row r="107" spans="2:17" ht="22.15" customHeight="1">
      <c r="B107" s="86" t="s">
        <v>53</v>
      </c>
      <c r="C107" s="13" t="s">
        <v>949</v>
      </c>
      <c r="D107" s="200" t="s">
        <v>1094</v>
      </c>
      <c r="E107" s="62" t="s">
        <v>84</v>
      </c>
      <c r="F107" s="177" t="s">
        <v>558</v>
      </c>
      <c r="G107" s="128" t="s">
        <v>200</v>
      </c>
      <c r="H107" s="201" t="s">
        <v>1095</v>
      </c>
      <c r="I107" s="177" t="s">
        <v>842</v>
      </c>
      <c r="J107" s="128">
        <v>48</v>
      </c>
      <c r="K107" s="13" t="s">
        <v>779</v>
      </c>
      <c r="L107" s="195">
        <v>21.05</v>
      </c>
      <c r="M107" s="193" t="s">
        <v>983</v>
      </c>
      <c r="Q107" s="1"/>
    </row>
    <row r="108" spans="2:17" ht="22.15" customHeight="1">
      <c r="B108" s="86" t="s">
        <v>53</v>
      </c>
      <c r="C108" s="13" t="s">
        <v>949</v>
      </c>
      <c r="D108" s="200" t="s">
        <v>1096</v>
      </c>
      <c r="E108" s="62" t="s">
        <v>84</v>
      </c>
      <c r="F108" s="177" t="s">
        <v>558</v>
      </c>
      <c r="G108" s="128" t="s">
        <v>200</v>
      </c>
      <c r="H108" s="201" t="s">
        <v>1095</v>
      </c>
      <c r="I108" s="177" t="s">
        <v>842</v>
      </c>
      <c r="J108" s="128">
        <v>24</v>
      </c>
      <c r="K108" s="13" t="s">
        <v>779</v>
      </c>
      <c r="L108" s="195">
        <v>21.05</v>
      </c>
      <c r="M108" s="193" t="s">
        <v>983</v>
      </c>
      <c r="Q108" s="1"/>
    </row>
    <row r="109" spans="2:17" ht="22.15" customHeight="1">
      <c r="B109" s="86" t="s">
        <v>53</v>
      </c>
      <c r="C109" s="13" t="s">
        <v>949</v>
      </c>
      <c r="D109" s="200" t="s">
        <v>1097</v>
      </c>
      <c r="E109" s="62" t="s">
        <v>84</v>
      </c>
      <c r="F109" s="177" t="s">
        <v>558</v>
      </c>
      <c r="G109" s="128" t="s">
        <v>200</v>
      </c>
      <c r="H109" s="201" t="s">
        <v>1095</v>
      </c>
      <c r="I109" s="177" t="s">
        <v>842</v>
      </c>
      <c r="J109" s="128">
        <v>48</v>
      </c>
      <c r="K109" s="13" t="s">
        <v>779</v>
      </c>
      <c r="L109" s="195">
        <v>21.05</v>
      </c>
      <c r="M109" s="193" t="s">
        <v>983</v>
      </c>
      <c r="Q109" s="1"/>
    </row>
    <row r="110" spans="2:17" ht="22.15" customHeight="1">
      <c r="B110" s="86" t="s">
        <v>53</v>
      </c>
      <c r="C110" s="13" t="s">
        <v>949</v>
      </c>
      <c r="D110" s="200" t="s">
        <v>1098</v>
      </c>
      <c r="E110" s="62" t="s">
        <v>84</v>
      </c>
      <c r="F110" s="177" t="s">
        <v>558</v>
      </c>
      <c r="G110" s="128" t="s">
        <v>200</v>
      </c>
      <c r="H110" s="201" t="s">
        <v>837</v>
      </c>
      <c r="I110" s="128" t="s">
        <v>1089</v>
      </c>
      <c r="J110" s="128">
        <v>64</v>
      </c>
      <c r="K110" s="13" t="s">
        <v>779</v>
      </c>
      <c r="L110" s="195">
        <v>14.1</v>
      </c>
      <c r="M110" s="193" t="s">
        <v>958</v>
      </c>
      <c r="Q110" s="1"/>
    </row>
    <row r="111" spans="2:17" ht="22.15" customHeight="1">
      <c r="B111" s="86" t="s">
        <v>53</v>
      </c>
      <c r="C111" s="13" t="s">
        <v>949</v>
      </c>
      <c r="D111" s="200" t="s">
        <v>1099</v>
      </c>
      <c r="E111" s="62" t="s">
        <v>84</v>
      </c>
      <c r="F111" s="177" t="s">
        <v>558</v>
      </c>
      <c r="G111" s="128" t="s">
        <v>200</v>
      </c>
      <c r="H111" s="201" t="s">
        <v>1100</v>
      </c>
      <c r="I111" s="128" t="s">
        <v>1089</v>
      </c>
      <c r="J111" s="128">
        <v>64</v>
      </c>
      <c r="K111" s="13" t="s">
        <v>779</v>
      </c>
      <c r="L111" s="195">
        <v>14.1</v>
      </c>
      <c r="M111" s="193" t="s">
        <v>958</v>
      </c>
      <c r="Q111" s="1"/>
    </row>
    <row r="112" spans="2:17" ht="22.15" customHeight="1">
      <c r="B112" s="86" t="s">
        <v>53</v>
      </c>
      <c r="C112" s="13" t="s">
        <v>949</v>
      </c>
      <c r="D112" s="200" t="s">
        <v>1101</v>
      </c>
      <c r="E112" s="62" t="s">
        <v>45</v>
      </c>
      <c r="F112" s="188" t="s">
        <v>80</v>
      </c>
      <c r="G112" s="98" t="s">
        <v>167</v>
      </c>
      <c r="H112" s="203" t="s">
        <v>1102</v>
      </c>
      <c r="I112" s="129" t="s">
        <v>1103</v>
      </c>
      <c r="J112" s="129">
        <v>2</v>
      </c>
      <c r="K112" s="100" t="s">
        <v>779</v>
      </c>
      <c r="L112" s="190" t="s">
        <v>80</v>
      </c>
      <c r="M112" s="193"/>
      <c r="Q112" s="1"/>
    </row>
    <row r="113" spans="2:17" ht="22.15" customHeight="1">
      <c r="B113" s="86" t="s">
        <v>7</v>
      </c>
      <c r="C113" s="13" t="s">
        <v>949</v>
      </c>
      <c r="D113" s="200" t="s">
        <v>1101</v>
      </c>
      <c r="E113" s="143" t="s">
        <v>263</v>
      </c>
      <c r="F113" s="177" t="s">
        <v>1104</v>
      </c>
      <c r="G113" s="128" t="s">
        <v>1048</v>
      </c>
      <c r="H113" s="201" t="s">
        <v>1105</v>
      </c>
      <c r="I113" s="177" t="s">
        <v>1104</v>
      </c>
      <c r="J113" s="128">
        <v>4</v>
      </c>
      <c r="K113" s="13" t="s">
        <v>779</v>
      </c>
      <c r="L113" s="195">
        <v>14</v>
      </c>
      <c r="M113" s="193"/>
      <c r="Q113" s="1"/>
    </row>
    <row r="114" spans="2:17" ht="22.15" customHeight="1">
      <c r="B114" s="86" t="s">
        <v>53</v>
      </c>
      <c r="C114" s="13" t="s">
        <v>949</v>
      </c>
      <c r="D114" s="200" t="s">
        <v>1101</v>
      </c>
      <c r="E114" s="62" t="s">
        <v>45</v>
      </c>
      <c r="F114" s="177" t="s">
        <v>296</v>
      </c>
      <c r="G114" s="128" t="s">
        <v>131</v>
      </c>
      <c r="H114" s="201" t="s">
        <v>495</v>
      </c>
      <c r="I114" s="128" t="s">
        <v>496</v>
      </c>
      <c r="J114" s="128">
        <v>4</v>
      </c>
      <c r="K114" s="13" t="s">
        <v>779</v>
      </c>
      <c r="L114" s="195">
        <v>3.61</v>
      </c>
      <c r="M114" s="193"/>
      <c r="Q114" s="1"/>
    </row>
    <row r="115" spans="2:17" ht="22.15" customHeight="1">
      <c r="B115" s="86" t="s">
        <v>53</v>
      </c>
      <c r="C115" s="13" t="s">
        <v>949</v>
      </c>
      <c r="D115" s="200" t="s">
        <v>1106</v>
      </c>
      <c r="E115" s="62" t="s">
        <v>84</v>
      </c>
      <c r="F115" s="177" t="s">
        <v>558</v>
      </c>
      <c r="G115" s="128" t="s">
        <v>200</v>
      </c>
      <c r="H115" s="201" t="s">
        <v>837</v>
      </c>
      <c r="I115" s="128" t="s">
        <v>1089</v>
      </c>
      <c r="J115" s="128">
        <v>80</v>
      </c>
      <c r="K115" s="13" t="s">
        <v>779</v>
      </c>
      <c r="L115" s="195">
        <v>14.1</v>
      </c>
      <c r="M115" s="193" t="s">
        <v>958</v>
      </c>
      <c r="Q115" s="1"/>
    </row>
    <row r="116" spans="2:17" ht="22.15" customHeight="1">
      <c r="B116" s="86" t="s">
        <v>53</v>
      </c>
      <c r="C116" s="13" t="s">
        <v>949</v>
      </c>
      <c r="D116" s="200" t="s">
        <v>1107</v>
      </c>
      <c r="E116" s="62" t="s">
        <v>84</v>
      </c>
      <c r="F116" s="177" t="s">
        <v>558</v>
      </c>
      <c r="G116" s="128" t="s">
        <v>200</v>
      </c>
      <c r="H116" s="201" t="s">
        <v>1100</v>
      </c>
      <c r="I116" s="128" t="s">
        <v>1089</v>
      </c>
      <c r="J116" s="128">
        <v>80</v>
      </c>
      <c r="K116" s="13" t="s">
        <v>779</v>
      </c>
      <c r="L116" s="195">
        <v>14.1</v>
      </c>
      <c r="M116" s="193" t="s">
        <v>958</v>
      </c>
      <c r="Q116" s="1"/>
    </row>
    <row r="117" spans="2:17" ht="22.15" customHeight="1">
      <c r="B117" s="86" t="s">
        <v>66</v>
      </c>
      <c r="C117" s="13" t="s">
        <v>949</v>
      </c>
      <c r="D117" s="200" t="s">
        <v>1108</v>
      </c>
      <c r="E117" s="62" t="s">
        <v>45</v>
      </c>
      <c r="F117" s="87" t="s">
        <v>773</v>
      </c>
      <c r="G117" s="128" t="s">
        <v>210</v>
      </c>
      <c r="H117" s="178" t="s">
        <v>712</v>
      </c>
      <c r="I117" s="87" t="s">
        <v>723</v>
      </c>
      <c r="J117" s="128">
        <v>4</v>
      </c>
      <c r="K117" s="13" t="s">
        <v>1012</v>
      </c>
      <c r="L117" s="195">
        <v>25</v>
      </c>
      <c r="M117" s="207" t="s">
        <v>1109</v>
      </c>
      <c r="Q117" s="1"/>
    </row>
    <row r="118" spans="2:17" ht="22.15" customHeight="1">
      <c r="B118" s="86" t="s">
        <v>66</v>
      </c>
      <c r="C118" s="13" t="s">
        <v>949</v>
      </c>
      <c r="D118" s="200" t="s">
        <v>1110</v>
      </c>
      <c r="E118" s="62" t="s">
        <v>45</v>
      </c>
      <c r="F118" s="87" t="s">
        <v>773</v>
      </c>
      <c r="G118" s="128" t="s">
        <v>210</v>
      </c>
      <c r="H118" s="178" t="s">
        <v>712</v>
      </c>
      <c r="I118" s="87" t="s">
        <v>723</v>
      </c>
      <c r="J118" s="128">
        <v>36</v>
      </c>
      <c r="K118" s="13" t="s">
        <v>1012</v>
      </c>
      <c r="L118" s="195">
        <v>25</v>
      </c>
      <c r="M118" s="207" t="s">
        <v>1109</v>
      </c>
      <c r="Q118" s="1"/>
    </row>
    <row r="119" spans="2:17" ht="22.15" customHeight="1">
      <c r="B119" s="86" t="s">
        <v>53</v>
      </c>
      <c r="C119" s="13" t="s">
        <v>949</v>
      </c>
      <c r="D119" s="200" t="s">
        <v>1111</v>
      </c>
      <c r="E119" s="62" t="s">
        <v>84</v>
      </c>
      <c r="F119" s="177" t="s">
        <v>558</v>
      </c>
      <c r="G119" s="128" t="s">
        <v>200</v>
      </c>
      <c r="H119" s="201" t="s">
        <v>1100</v>
      </c>
      <c r="I119" s="128" t="s">
        <v>1089</v>
      </c>
      <c r="J119" s="128">
        <v>64</v>
      </c>
      <c r="K119" s="13" t="s">
        <v>779</v>
      </c>
      <c r="L119" s="195">
        <v>14.1</v>
      </c>
      <c r="M119" s="193" t="s">
        <v>958</v>
      </c>
      <c r="Q119" s="1"/>
    </row>
    <row r="120" spans="2:17" ht="22.15" customHeight="1">
      <c r="B120" s="86" t="s">
        <v>53</v>
      </c>
      <c r="C120" s="13" t="s">
        <v>949</v>
      </c>
      <c r="D120" s="200" t="s">
        <v>1112</v>
      </c>
      <c r="E120" s="62" t="s">
        <v>84</v>
      </c>
      <c r="F120" s="177" t="s">
        <v>558</v>
      </c>
      <c r="G120" s="128" t="s">
        <v>200</v>
      </c>
      <c r="H120" s="201" t="s">
        <v>1100</v>
      </c>
      <c r="I120" s="128" t="s">
        <v>1089</v>
      </c>
      <c r="J120" s="128">
        <v>64</v>
      </c>
      <c r="K120" s="13" t="s">
        <v>779</v>
      </c>
      <c r="L120" s="195">
        <v>14.1</v>
      </c>
      <c r="M120" s="193" t="s">
        <v>958</v>
      </c>
      <c r="Q120" s="1"/>
    </row>
    <row r="121" spans="2:17" ht="22.15" customHeight="1">
      <c r="B121" s="86" t="s">
        <v>53</v>
      </c>
      <c r="C121" s="13" t="s">
        <v>949</v>
      </c>
      <c r="D121" s="200" t="s">
        <v>1113</v>
      </c>
      <c r="E121" s="62" t="s">
        <v>84</v>
      </c>
      <c r="F121" s="177" t="s">
        <v>558</v>
      </c>
      <c r="G121" s="128" t="s">
        <v>200</v>
      </c>
      <c r="H121" s="201" t="s">
        <v>1100</v>
      </c>
      <c r="I121" s="128" t="s">
        <v>1089</v>
      </c>
      <c r="J121" s="128">
        <v>64</v>
      </c>
      <c r="K121" s="13" t="s">
        <v>779</v>
      </c>
      <c r="L121" s="195">
        <v>14.1</v>
      </c>
      <c r="M121" s="193" t="s">
        <v>958</v>
      </c>
      <c r="Q121" s="1"/>
    </row>
    <row r="122" spans="2:17" ht="22.15" customHeight="1">
      <c r="B122" s="86" t="s">
        <v>53</v>
      </c>
      <c r="C122" s="13" t="s">
        <v>949</v>
      </c>
      <c r="D122" s="200" t="s">
        <v>1114</v>
      </c>
      <c r="E122" s="62" t="s">
        <v>84</v>
      </c>
      <c r="F122" s="177" t="s">
        <v>558</v>
      </c>
      <c r="G122" s="128" t="s">
        <v>200</v>
      </c>
      <c r="H122" s="201" t="s">
        <v>1100</v>
      </c>
      <c r="I122" s="128" t="s">
        <v>1089</v>
      </c>
      <c r="J122" s="128">
        <v>64</v>
      </c>
      <c r="K122" s="13" t="s">
        <v>779</v>
      </c>
      <c r="L122" s="195">
        <v>14.1</v>
      </c>
      <c r="M122" s="193" t="s">
        <v>958</v>
      </c>
      <c r="Q122" s="1"/>
    </row>
    <row r="123" spans="2:17" ht="22.15" customHeight="1">
      <c r="B123" s="86" t="s">
        <v>53</v>
      </c>
      <c r="C123" s="13" t="s">
        <v>949</v>
      </c>
      <c r="D123" s="200" t="s">
        <v>1115</v>
      </c>
      <c r="E123" s="62" t="s">
        <v>45</v>
      </c>
      <c r="F123" s="129" t="s">
        <v>377</v>
      </c>
      <c r="G123" s="129" t="s">
        <v>56</v>
      </c>
      <c r="H123" s="203" t="s">
        <v>1116</v>
      </c>
      <c r="I123" s="129" t="s">
        <v>1117</v>
      </c>
      <c r="J123" s="129">
        <v>1</v>
      </c>
      <c r="K123" s="100" t="s">
        <v>779</v>
      </c>
      <c r="L123" s="190" t="s">
        <v>80</v>
      </c>
      <c r="M123" s="191"/>
      <c r="Q123" s="1"/>
    </row>
    <row r="124" spans="2:17" ht="22.15" customHeight="1">
      <c r="B124" s="86" t="s">
        <v>53</v>
      </c>
      <c r="C124" s="13" t="s">
        <v>949</v>
      </c>
      <c r="D124" s="200" t="s">
        <v>1118</v>
      </c>
      <c r="E124" s="62" t="s">
        <v>45</v>
      </c>
      <c r="F124" s="129" t="s">
        <v>377</v>
      </c>
      <c r="G124" s="129" t="s">
        <v>56</v>
      </c>
      <c r="H124" s="197" t="s">
        <v>80</v>
      </c>
      <c r="I124" s="129" t="s">
        <v>1119</v>
      </c>
      <c r="J124" s="129">
        <v>2</v>
      </c>
      <c r="K124" s="100" t="s">
        <v>779</v>
      </c>
      <c r="L124" s="190" t="s">
        <v>80</v>
      </c>
      <c r="M124" s="191"/>
      <c r="Q124" s="1"/>
    </row>
    <row r="125" spans="2:17" ht="22.15" customHeight="1">
      <c r="B125" s="86" t="s">
        <v>53</v>
      </c>
      <c r="C125" s="13" t="s">
        <v>949</v>
      </c>
      <c r="D125" s="200" t="s">
        <v>1118</v>
      </c>
      <c r="E125" s="62" t="s">
        <v>45</v>
      </c>
      <c r="F125" s="129" t="s">
        <v>377</v>
      </c>
      <c r="G125" s="129" t="s">
        <v>56</v>
      </c>
      <c r="H125" s="197" t="s">
        <v>80</v>
      </c>
      <c r="I125" s="129" t="s">
        <v>1120</v>
      </c>
      <c r="J125" s="129">
        <v>1</v>
      </c>
      <c r="K125" s="100" t="s">
        <v>779</v>
      </c>
      <c r="L125" s="190" t="s">
        <v>80</v>
      </c>
      <c r="M125" s="191"/>
      <c r="Q125" s="1"/>
    </row>
    <row r="126" spans="2:17" ht="22.15" customHeight="1">
      <c r="B126" s="86" t="s">
        <v>53</v>
      </c>
      <c r="C126" s="13" t="s">
        <v>949</v>
      </c>
      <c r="D126" s="200" t="s">
        <v>1121</v>
      </c>
      <c r="E126" s="62" t="s">
        <v>45</v>
      </c>
      <c r="F126" s="13" t="s">
        <v>672</v>
      </c>
      <c r="G126" s="128" t="s">
        <v>309</v>
      </c>
      <c r="H126" s="201" t="s">
        <v>270</v>
      </c>
      <c r="I126" s="128" t="s">
        <v>1122</v>
      </c>
      <c r="J126" s="128">
        <v>224</v>
      </c>
      <c r="K126" s="13" t="s">
        <v>779</v>
      </c>
      <c r="L126" s="195">
        <v>4.7</v>
      </c>
      <c r="M126" s="193"/>
      <c r="Q126" s="1"/>
    </row>
    <row r="127" spans="2:17" ht="22.15" customHeight="1">
      <c r="B127" s="86" t="s">
        <v>53</v>
      </c>
      <c r="C127" s="13" t="s">
        <v>949</v>
      </c>
      <c r="D127" s="200" t="s">
        <v>1123</v>
      </c>
      <c r="E127" s="62" t="s">
        <v>45</v>
      </c>
      <c r="F127" s="129" t="s">
        <v>377</v>
      </c>
      <c r="G127" s="129" t="s">
        <v>56</v>
      </c>
      <c r="H127" s="203" t="s">
        <v>1124</v>
      </c>
      <c r="I127" s="129" t="s">
        <v>1125</v>
      </c>
      <c r="J127" s="129">
        <v>1</v>
      </c>
      <c r="K127" s="100" t="s">
        <v>779</v>
      </c>
      <c r="L127" s="190" t="s">
        <v>80</v>
      </c>
      <c r="M127" s="191"/>
      <c r="Q127" s="1"/>
    </row>
    <row r="128" spans="2:17" ht="22.15" customHeight="1">
      <c r="B128" s="86" t="s">
        <v>53</v>
      </c>
      <c r="C128" s="13" t="s">
        <v>949</v>
      </c>
      <c r="D128" s="200" t="s">
        <v>1123</v>
      </c>
      <c r="E128" s="62" t="s">
        <v>45</v>
      </c>
      <c r="F128" s="128" t="s">
        <v>1126</v>
      </c>
      <c r="G128" s="128" t="s">
        <v>56</v>
      </c>
      <c r="H128" s="201" t="s">
        <v>605</v>
      </c>
      <c r="I128" s="177" t="s">
        <v>1127</v>
      </c>
      <c r="J128" s="128">
        <v>1</v>
      </c>
      <c r="K128" s="13" t="s">
        <v>779</v>
      </c>
      <c r="L128" s="195">
        <v>117.6</v>
      </c>
      <c r="M128" s="193"/>
      <c r="Q128" s="1"/>
    </row>
    <row r="129" spans="2:17" ht="22.15" customHeight="1">
      <c r="B129" s="86" t="s">
        <v>53</v>
      </c>
      <c r="C129" s="13" t="s">
        <v>949</v>
      </c>
      <c r="D129" s="87" t="s">
        <v>1128</v>
      </c>
      <c r="E129" s="62" t="s">
        <v>45</v>
      </c>
      <c r="F129" s="129" t="s">
        <v>381</v>
      </c>
      <c r="G129" s="129" t="s">
        <v>56</v>
      </c>
      <c r="H129" s="203" t="s">
        <v>1129</v>
      </c>
      <c r="I129" s="188" t="s">
        <v>1127</v>
      </c>
      <c r="J129" s="129">
        <v>1</v>
      </c>
      <c r="K129" s="100" t="s">
        <v>779</v>
      </c>
      <c r="L129" s="190" t="s">
        <v>80</v>
      </c>
      <c r="M129" s="191"/>
      <c r="Q129" s="1"/>
    </row>
    <row r="130" spans="2:17" ht="22.15" customHeight="1">
      <c r="B130" s="86" t="s">
        <v>53</v>
      </c>
      <c r="C130" s="13" t="s">
        <v>949</v>
      </c>
      <c r="D130" s="87" t="s">
        <v>1128</v>
      </c>
      <c r="E130" s="62" t="s">
        <v>45</v>
      </c>
      <c r="F130" s="128" t="s">
        <v>1130</v>
      </c>
      <c r="G130" s="128" t="s">
        <v>56</v>
      </c>
      <c r="H130" s="201" t="s">
        <v>608</v>
      </c>
      <c r="I130" s="128" t="s">
        <v>1131</v>
      </c>
      <c r="J130" s="128">
        <v>1</v>
      </c>
      <c r="K130" s="13" t="s">
        <v>779</v>
      </c>
      <c r="L130" s="195">
        <v>14.9</v>
      </c>
      <c r="M130" s="193"/>
      <c r="Q130" s="1"/>
    </row>
    <row r="131" spans="2:17" ht="22.15" customHeight="1">
      <c r="B131" s="86" t="s">
        <v>53</v>
      </c>
      <c r="C131" s="13" t="s">
        <v>949</v>
      </c>
      <c r="D131" s="87" t="s">
        <v>1128</v>
      </c>
      <c r="E131" s="62" t="s">
        <v>45</v>
      </c>
      <c r="F131" s="129" t="s">
        <v>381</v>
      </c>
      <c r="G131" s="129" t="s">
        <v>56</v>
      </c>
      <c r="H131" s="203" t="s">
        <v>1132</v>
      </c>
      <c r="I131" s="129" t="s">
        <v>1133</v>
      </c>
      <c r="J131" s="129">
        <v>2</v>
      </c>
      <c r="K131" s="100" t="s">
        <v>779</v>
      </c>
      <c r="L131" s="190" t="s">
        <v>80</v>
      </c>
      <c r="M131" s="191" t="s">
        <v>356</v>
      </c>
      <c r="N131" s="16"/>
      <c r="Q131" s="1"/>
    </row>
    <row r="132" spans="2:17" ht="22.15" customHeight="1">
      <c r="B132" s="86" t="s">
        <v>53</v>
      </c>
      <c r="C132" s="13" t="s">
        <v>949</v>
      </c>
      <c r="D132" s="87" t="s">
        <v>1128</v>
      </c>
      <c r="E132" s="62" t="s">
        <v>45</v>
      </c>
      <c r="F132" s="129" t="s">
        <v>381</v>
      </c>
      <c r="G132" s="129" t="s">
        <v>56</v>
      </c>
      <c r="H132" s="203" t="s">
        <v>1134</v>
      </c>
      <c r="I132" s="129" t="s">
        <v>1135</v>
      </c>
      <c r="J132" s="129">
        <v>2</v>
      </c>
      <c r="K132" s="100" t="s">
        <v>779</v>
      </c>
      <c r="L132" s="190" t="s">
        <v>80</v>
      </c>
      <c r="M132" s="191" t="s">
        <v>356</v>
      </c>
      <c r="Q132" s="1"/>
    </row>
    <row r="133" spans="2:17" ht="22.15" customHeight="1">
      <c r="B133" s="86" t="s">
        <v>53</v>
      </c>
      <c r="C133" s="13" t="s">
        <v>949</v>
      </c>
      <c r="D133" s="200" t="s">
        <v>1136</v>
      </c>
      <c r="E133" s="62" t="s">
        <v>45</v>
      </c>
      <c r="F133" s="129" t="s">
        <v>377</v>
      </c>
      <c r="G133" s="129" t="s">
        <v>56</v>
      </c>
      <c r="H133" s="197" t="s">
        <v>80</v>
      </c>
      <c r="I133" s="129" t="s">
        <v>1137</v>
      </c>
      <c r="J133" s="129">
        <v>1</v>
      </c>
      <c r="K133" s="100" t="s">
        <v>779</v>
      </c>
      <c r="L133" s="190" t="s">
        <v>80</v>
      </c>
      <c r="M133" s="191"/>
      <c r="Q133" s="1"/>
    </row>
    <row r="134" spans="2:17" ht="22.15" customHeight="1">
      <c r="B134" s="86" t="s">
        <v>53</v>
      </c>
      <c r="C134" s="13" t="s">
        <v>949</v>
      </c>
      <c r="D134" s="87" t="s">
        <v>1138</v>
      </c>
      <c r="E134" s="128" t="s">
        <v>1139</v>
      </c>
      <c r="F134" s="177" t="s">
        <v>558</v>
      </c>
      <c r="G134" s="128" t="s">
        <v>840</v>
      </c>
      <c r="H134" s="201" t="s">
        <v>64</v>
      </c>
      <c r="I134" s="128" t="s">
        <v>738</v>
      </c>
      <c r="J134" s="128">
        <v>8</v>
      </c>
      <c r="K134" s="13" t="s">
        <v>779</v>
      </c>
      <c r="L134" s="195">
        <v>5.46</v>
      </c>
      <c r="M134" s="193"/>
      <c r="Q134" s="1"/>
    </row>
    <row r="135" spans="2:17" ht="22.15" customHeight="1">
      <c r="B135" s="86" t="s">
        <v>53</v>
      </c>
      <c r="C135" s="13" t="s">
        <v>949</v>
      </c>
      <c r="D135" s="87" t="s">
        <v>1138</v>
      </c>
      <c r="E135" s="62" t="s">
        <v>45</v>
      </c>
      <c r="F135" s="188" t="s">
        <v>80</v>
      </c>
      <c r="G135" s="129" t="s">
        <v>200</v>
      </c>
      <c r="H135" s="197" t="s">
        <v>80</v>
      </c>
      <c r="I135" s="129" t="s">
        <v>1140</v>
      </c>
      <c r="J135" s="129">
        <v>4</v>
      </c>
      <c r="K135" s="100" t="s">
        <v>779</v>
      </c>
      <c r="L135" s="190" t="s">
        <v>80</v>
      </c>
      <c r="M135" s="191"/>
      <c r="Q135" s="1"/>
    </row>
    <row r="136" spans="2:17" ht="22.15" customHeight="1">
      <c r="B136" s="86" t="s">
        <v>53</v>
      </c>
      <c r="C136" s="13" t="s">
        <v>949</v>
      </c>
      <c r="D136" s="87" t="s">
        <v>1138</v>
      </c>
      <c r="E136" s="62" t="s">
        <v>45</v>
      </c>
      <c r="F136" s="188" t="s">
        <v>80</v>
      </c>
      <c r="G136" s="129" t="s">
        <v>200</v>
      </c>
      <c r="H136" s="197" t="s">
        <v>80</v>
      </c>
      <c r="I136" s="129" t="s">
        <v>1141</v>
      </c>
      <c r="J136" s="129">
        <v>4</v>
      </c>
      <c r="K136" s="100" t="s">
        <v>779</v>
      </c>
      <c r="L136" s="190" t="s">
        <v>80</v>
      </c>
      <c r="M136" s="191"/>
      <c r="Q136" s="1"/>
    </row>
    <row r="137" spans="2:17" ht="22.15" customHeight="1">
      <c r="B137" s="86" t="s">
        <v>53</v>
      </c>
      <c r="C137" s="13" t="s">
        <v>949</v>
      </c>
      <c r="D137" s="200" t="s">
        <v>1142</v>
      </c>
      <c r="E137" s="62" t="s">
        <v>45</v>
      </c>
      <c r="F137" s="188" t="s">
        <v>80</v>
      </c>
      <c r="G137" s="129" t="s">
        <v>200</v>
      </c>
      <c r="H137" s="197" t="s">
        <v>80</v>
      </c>
      <c r="I137" s="129" t="s">
        <v>1143</v>
      </c>
      <c r="J137" s="129">
        <v>41</v>
      </c>
      <c r="K137" s="100" t="s">
        <v>779</v>
      </c>
      <c r="L137" s="190" t="s">
        <v>80</v>
      </c>
      <c r="M137" s="191"/>
      <c r="Q137" s="1"/>
    </row>
    <row r="138" spans="2:17" ht="22.15" customHeight="1">
      <c r="B138" s="86" t="s">
        <v>53</v>
      </c>
      <c r="C138" s="13" t="s">
        <v>949</v>
      </c>
      <c r="D138" s="200" t="s">
        <v>1142</v>
      </c>
      <c r="E138" s="62" t="s">
        <v>45</v>
      </c>
      <c r="F138" s="188" t="s">
        <v>80</v>
      </c>
      <c r="G138" s="129" t="s">
        <v>200</v>
      </c>
      <c r="H138" s="197" t="s">
        <v>80</v>
      </c>
      <c r="I138" s="129" t="s">
        <v>1144</v>
      </c>
      <c r="J138" s="129">
        <v>1</v>
      </c>
      <c r="K138" s="100" t="s">
        <v>779</v>
      </c>
      <c r="L138" s="190" t="s">
        <v>80</v>
      </c>
      <c r="M138" s="191"/>
      <c r="Q138" s="1"/>
    </row>
    <row r="139" spans="2:17" ht="22.15" customHeight="1">
      <c r="B139" s="86" t="s">
        <v>53</v>
      </c>
      <c r="C139" s="13" t="s">
        <v>949</v>
      </c>
      <c r="D139" s="200" t="s">
        <v>1142</v>
      </c>
      <c r="E139" s="62" t="s">
        <v>45</v>
      </c>
      <c r="F139" s="177" t="s">
        <v>357</v>
      </c>
      <c r="G139" s="128" t="s">
        <v>200</v>
      </c>
      <c r="H139" s="201" t="s">
        <v>1145</v>
      </c>
      <c r="I139" s="128" t="s">
        <v>1146</v>
      </c>
      <c r="J139" s="128">
        <v>11</v>
      </c>
      <c r="K139" s="13" t="s">
        <v>779</v>
      </c>
      <c r="L139" s="195">
        <v>7.76</v>
      </c>
      <c r="M139" s="191"/>
      <c r="Q139" s="1"/>
    </row>
    <row r="140" spans="2:17" ht="22.15" customHeight="1">
      <c r="B140" s="86" t="s">
        <v>53</v>
      </c>
      <c r="C140" s="13" t="s">
        <v>949</v>
      </c>
      <c r="D140" s="200" t="s">
        <v>1142</v>
      </c>
      <c r="E140" s="62" t="s">
        <v>45</v>
      </c>
      <c r="F140" s="13" t="s">
        <v>672</v>
      </c>
      <c r="G140" s="128" t="s">
        <v>777</v>
      </c>
      <c r="H140" s="201" t="s">
        <v>64</v>
      </c>
      <c r="I140" s="128" t="s">
        <v>738</v>
      </c>
      <c r="J140" s="128">
        <v>24</v>
      </c>
      <c r="K140" s="13" t="s">
        <v>779</v>
      </c>
      <c r="L140" s="195">
        <v>6.2</v>
      </c>
      <c r="M140" s="193"/>
      <c r="Q140" s="1"/>
    </row>
    <row r="141" spans="2:17" ht="22.15" customHeight="1">
      <c r="B141" s="86" t="s">
        <v>53</v>
      </c>
      <c r="C141" s="13" t="s">
        <v>949</v>
      </c>
      <c r="D141" s="200" t="s">
        <v>1142</v>
      </c>
      <c r="E141" s="143" t="s">
        <v>263</v>
      </c>
      <c r="F141" s="177" t="s">
        <v>1147</v>
      </c>
      <c r="G141" s="128" t="s">
        <v>200</v>
      </c>
      <c r="H141" s="178" t="s">
        <v>676</v>
      </c>
      <c r="I141" s="128" t="s">
        <v>677</v>
      </c>
      <c r="J141" s="128">
        <v>6</v>
      </c>
      <c r="K141" s="13" t="s">
        <v>779</v>
      </c>
      <c r="L141" s="195">
        <v>7.18</v>
      </c>
      <c r="M141" s="193"/>
      <c r="Q141" s="1"/>
    </row>
    <row r="142" spans="2:17" ht="22.15" customHeight="1">
      <c r="B142" s="86" t="s">
        <v>53</v>
      </c>
      <c r="C142" s="13" t="s">
        <v>1148</v>
      </c>
      <c r="D142" s="128" t="s">
        <v>1149</v>
      </c>
      <c r="E142" s="62" t="s">
        <v>45</v>
      </c>
      <c r="F142" s="128" t="s">
        <v>1150</v>
      </c>
      <c r="G142" s="128" t="s">
        <v>1151</v>
      </c>
      <c r="H142" s="208" t="s">
        <v>1152</v>
      </c>
      <c r="I142" s="128" t="s">
        <v>1153</v>
      </c>
      <c r="J142" s="128">
        <v>2</v>
      </c>
      <c r="K142" s="13" t="s">
        <v>779</v>
      </c>
      <c r="L142" s="104">
        <v>32.409999999999997</v>
      </c>
      <c r="M142" s="193"/>
      <c r="Q142" s="1"/>
    </row>
    <row r="143" spans="2:17" ht="22.15" customHeight="1">
      <c r="B143" s="86" t="s">
        <v>53</v>
      </c>
      <c r="C143" s="13" t="s">
        <v>1148</v>
      </c>
      <c r="D143" s="128" t="s">
        <v>1149</v>
      </c>
      <c r="E143" s="62" t="s">
        <v>45</v>
      </c>
      <c r="F143" s="128" t="s">
        <v>1150</v>
      </c>
      <c r="G143" s="128" t="s">
        <v>1151</v>
      </c>
      <c r="H143" s="208" t="s">
        <v>1154</v>
      </c>
      <c r="I143" s="128" t="s">
        <v>1155</v>
      </c>
      <c r="J143" s="128">
        <v>6</v>
      </c>
      <c r="K143" s="13" t="s">
        <v>779</v>
      </c>
      <c r="L143" s="104">
        <v>43.21</v>
      </c>
      <c r="M143" s="193"/>
      <c r="Q143" s="1"/>
    </row>
    <row r="144" spans="2:17" ht="22.15" customHeight="1">
      <c r="B144" s="86" t="s">
        <v>53</v>
      </c>
      <c r="C144" s="13" t="s">
        <v>1148</v>
      </c>
      <c r="D144" s="128" t="s">
        <v>1149</v>
      </c>
      <c r="E144" s="62" t="s">
        <v>81</v>
      </c>
      <c r="F144" s="128" t="s">
        <v>1150</v>
      </c>
      <c r="G144" s="128" t="s">
        <v>1151</v>
      </c>
      <c r="H144" s="208" t="s">
        <v>1156</v>
      </c>
      <c r="I144" s="128" t="s">
        <v>1157</v>
      </c>
      <c r="J144" s="128">
        <v>2</v>
      </c>
      <c r="K144" s="13" t="s">
        <v>779</v>
      </c>
      <c r="L144" s="104">
        <v>64.81</v>
      </c>
      <c r="M144" s="193"/>
      <c r="Q144" s="1"/>
    </row>
    <row r="145" spans="2:17" ht="22.15" customHeight="1">
      <c r="B145" s="86" t="s">
        <v>53</v>
      </c>
      <c r="C145" s="13" t="s">
        <v>1148</v>
      </c>
      <c r="D145" s="128" t="s">
        <v>1149</v>
      </c>
      <c r="E145" s="62" t="s">
        <v>45</v>
      </c>
      <c r="F145" s="128" t="s">
        <v>1150</v>
      </c>
      <c r="G145" s="128" t="s">
        <v>1151</v>
      </c>
      <c r="H145" s="208" t="s">
        <v>1158</v>
      </c>
      <c r="I145" s="128" t="s">
        <v>1159</v>
      </c>
      <c r="J145" s="128">
        <v>2</v>
      </c>
      <c r="K145" s="13" t="s">
        <v>779</v>
      </c>
      <c r="L145" s="104">
        <v>28.4</v>
      </c>
      <c r="M145" s="193"/>
      <c r="Q145" s="1"/>
    </row>
    <row r="146" spans="2:17" ht="22.15" customHeight="1">
      <c r="B146" s="86" t="s">
        <v>53</v>
      </c>
      <c r="C146" s="13" t="s">
        <v>1148</v>
      </c>
      <c r="D146" s="128" t="s">
        <v>1149</v>
      </c>
      <c r="E146" s="62" t="s">
        <v>45</v>
      </c>
      <c r="F146" s="128" t="s">
        <v>1150</v>
      </c>
      <c r="G146" s="128" t="s">
        <v>1151</v>
      </c>
      <c r="H146" s="208" t="s">
        <v>1160</v>
      </c>
      <c r="I146" s="13" t="s">
        <v>1161</v>
      </c>
      <c r="J146" s="128">
        <v>1</v>
      </c>
      <c r="K146" s="13" t="s">
        <v>779</v>
      </c>
      <c r="L146" s="104">
        <v>37.799999999999997</v>
      </c>
      <c r="M146" s="193"/>
      <c r="Q146" s="1"/>
    </row>
    <row r="147" spans="2:17" ht="22.15" customHeight="1">
      <c r="B147" s="86" t="s">
        <v>53</v>
      </c>
      <c r="C147" s="13" t="s">
        <v>1148</v>
      </c>
      <c r="D147" s="128" t="s">
        <v>1149</v>
      </c>
      <c r="E147" s="62" t="s">
        <v>45</v>
      </c>
      <c r="F147" s="128" t="s">
        <v>1150</v>
      </c>
      <c r="G147" s="128" t="s">
        <v>1151</v>
      </c>
      <c r="H147" s="201" t="s">
        <v>1162</v>
      </c>
      <c r="I147" s="13" t="s">
        <v>1161</v>
      </c>
      <c r="J147" s="128">
        <v>2</v>
      </c>
      <c r="K147" s="13" t="s">
        <v>779</v>
      </c>
      <c r="L147" s="104">
        <v>159.31</v>
      </c>
      <c r="M147" s="193"/>
      <c r="Q147" s="1"/>
    </row>
    <row r="148" spans="2:17" ht="22.15" customHeight="1">
      <c r="B148" s="86" t="s">
        <v>53</v>
      </c>
      <c r="C148" s="13" t="s">
        <v>1148</v>
      </c>
      <c r="D148" s="128" t="s">
        <v>1149</v>
      </c>
      <c r="E148" s="62" t="s">
        <v>45</v>
      </c>
      <c r="F148" s="128" t="s">
        <v>1150</v>
      </c>
      <c r="G148" s="128" t="s">
        <v>1151</v>
      </c>
      <c r="H148" s="201" t="s">
        <v>1163</v>
      </c>
      <c r="I148" s="13" t="s">
        <v>1161</v>
      </c>
      <c r="J148" s="128">
        <v>6</v>
      </c>
      <c r="K148" s="13" t="s">
        <v>779</v>
      </c>
      <c r="L148" s="104">
        <v>15.4</v>
      </c>
      <c r="M148" s="193"/>
      <c r="Q148" s="1"/>
    </row>
    <row r="149" spans="2:17" ht="22.15" customHeight="1">
      <c r="B149" s="86" t="s">
        <v>53</v>
      </c>
      <c r="C149" s="13" t="s">
        <v>1148</v>
      </c>
      <c r="D149" s="128" t="s">
        <v>1149</v>
      </c>
      <c r="E149" s="62" t="s">
        <v>45</v>
      </c>
      <c r="F149" s="128" t="s">
        <v>1150</v>
      </c>
      <c r="G149" s="128" t="s">
        <v>1151</v>
      </c>
      <c r="H149" s="201" t="s">
        <v>1164</v>
      </c>
      <c r="I149" s="13" t="s">
        <v>1161</v>
      </c>
      <c r="J149" s="128">
        <v>2</v>
      </c>
      <c r="K149" s="13" t="s">
        <v>779</v>
      </c>
      <c r="L149" s="104">
        <v>38.799999999999997</v>
      </c>
      <c r="M149" s="193"/>
      <c r="Q149" s="1"/>
    </row>
    <row r="150" spans="2:17" ht="22.15" customHeight="1">
      <c r="B150" s="86" t="s">
        <v>53</v>
      </c>
      <c r="C150" s="13" t="s">
        <v>1148</v>
      </c>
      <c r="D150" s="128" t="s">
        <v>1149</v>
      </c>
      <c r="E150" s="62" t="s">
        <v>45</v>
      </c>
      <c r="F150" s="128" t="s">
        <v>1150</v>
      </c>
      <c r="G150" s="128" t="s">
        <v>1151</v>
      </c>
      <c r="H150" s="201" t="s">
        <v>1165</v>
      </c>
      <c r="I150" s="13" t="s">
        <v>1161</v>
      </c>
      <c r="J150" s="128">
        <v>5</v>
      </c>
      <c r="K150" s="13" t="s">
        <v>779</v>
      </c>
      <c r="L150" s="104">
        <v>30.71</v>
      </c>
      <c r="M150" s="193"/>
      <c r="Q150" s="1"/>
    </row>
    <row r="151" spans="2:17" ht="22.15" customHeight="1">
      <c r="B151" s="86" t="s">
        <v>53</v>
      </c>
      <c r="C151" s="13" t="s">
        <v>1166</v>
      </c>
      <c r="D151" s="200" t="s">
        <v>1167</v>
      </c>
      <c r="E151" s="128" t="s">
        <v>1139</v>
      </c>
      <c r="F151" s="177" t="s">
        <v>558</v>
      </c>
      <c r="G151" s="128" t="s">
        <v>106</v>
      </c>
      <c r="H151" s="201" t="s">
        <v>270</v>
      </c>
      <c r="I151" s="128" t="s">
        <v>738</v>
      </c>
      <c r="J151" s="128">
        <v>113</v>
      </c>
      <c r="K151" s="13" t="s">
        <v>779</v>
      </c>
      <c r="L151" s="195">
        <v>5.46</v>
      </c>
      <c r="M151" s="193"/>
      <c r="Q151" s="1"/>
    </row>
    <row r="152" spans="2:17" ht="22.15" customHeight="1">
      <c r="B152" s="86" t="s">
        <v>53</v>
      </c>
      <c r="C152" s="13" t="s">
        <v>1166</v>
      </c>
      <c r="D152" s="200" t="s">
        <v>1168</v>
      </c>
      <c r="E152" s="128" t="s">
        <v>1139</v>
      </c>
      <c r="F152" s="177" t="s">
        <v>558</v>
      </c>
      <c r="G152" s="128" t="s">
        <v>106</v>
      </c>
      <c r="H152" s="201" t="s">
        <v>270</v>
      </c>
      <c r="I152" s="128" t="s">
        <v>738</v>
      </c>
      <c r="J152" s="128">
        <v>96</v>
      </c>
      <c r="K152" s="13" t="s">
        <v>779</v>
      </c>
      <c r="L152" s="195">
        <v>5.46</v>
      </c>
      <c r="M152" s="193"/>
      <c r="Q152" s="1"/>
    </row>
    <row r="153" spans="2:17" ht="22.15" customHeight="1">
      <c r="B153" s="86" t="s">
        <v>53</v>
      </c>
      <c r="C153" s="13" t="s">
        <v>1166</v>
      </c>
      <c r="D153" s="200" t="s">
        <v>1169</v>
      </c>
      <c r="E153" s="128" t="s">
        <v>1139</v>
      </c>
      <c r="F153" s="177" t="s">
        <v>558</v>
      </c>
      <c r="G153" s="128" t="s">
        <v>106</v>
      </c>
      <c r="H153" s="201" t="s">
        <v>270</v>
      </c>
      <c r="I153" s="128" t="s">
        <v>738</v>
      </c>
      <c r="J153" s="128">
        <v>224</v>
      </c>
      <c r="K153" s="13" t="s">
        <v>779</v>
      </c>
      <c r="L153" s="195">
        <v>5.46</v>
      </c>
      <c r="M153" s="193"/>
      <c r="Q153" s="1"/>
    </row>
    <row r="154" spans="2:17" ht="22.15" customHeight="1">
      <c r="B154" s="86" t="s">
        <v>53</v>
      </c>
      <c r="C154" s="13" t="s">
        <v>1166</v>
      </c>
      <c r="D154" s="200" t="s">
        <v>1170</v>
      </c>
      <c r="E154" s="128" t="s">
        <v>1139</v>
      </c>
      <c r="F154" s="177" t="s">
        <v>558</v>
      </c>
      <c r="G154" s="128" t="s">
        <v>106</v>
      </c>
      <c r="H154" s="201" t="s">
        <v>270</v>
      </c>
      <c r="I154" s="128" t="s">
        <v>738</v>
      </c>
      <c r="J154" s="128">
        <v>224</v>
      </c>
      <c r="K154" s="13" t="s">
        <v>779</v>
      </c>
      <c r="L154" s="195">
        <v>5.46</v>
      </c>
      <c r="M154" s="193"/>
      <c r="Q154" s="1"/>
    </row>
    <row r="155" spans="2:17" ht="22.15" customHeight="1">
      <c r="B155" s="86" t="s">
        <v>53</v>
      </c>
      <c r="C155" s="13" t="s">
        <v>1166</v>
      </c>
      <c r="D155" s="200" t="s">
        <v>1171</v>
      </c>
      <c r="E155" s="128" t="s">
        <v>1139</v>
      </c>
      <c r="F155" s="177" t="s">
        <v>558</v>
      </c>
      <c r="G155" s="128" t="s">
        <v>106</v>
      </c>
      <c r="H155" s="201" t="s">
        <v>270</v>
      </c>
      <c r="I155" s="128" t="s">
        <v>738</v>
      </c>
      <c r="J155" s="128">
        <v>224</v>
      </c>
      <c r="K155" s="13" t="s">
        <v>779</v>
      </c>
      <c r="L155" s="195">
        <v>5.46</v>
      </c>
      <c r="M155" s="193"/>
      <c r="Q155" s="1"/>
    </row>
    <row r="156" spans="2:17" ht="22.15" customHeight="1">
      <c r="B156" s="86" t="s">
        <v>53</v>
      </c>
      <c r="C156" s="13" t="s">
        <v>1166</v>
      </c>
      <c r="D156" s="200" t="s">
        <v>1172</v>
      </c>
      <c r="E156" s="128" t="s">
        <v>1139</v>
      </c>
      <c r="F156" s="177" t="s">
        <v>558</v>
      </c>
      <c r="G156" s="128" t="s">
        <v>840</v>
      </c>
      <c r="H156" s="201" t="s">
        <v>270</v>
      </c>
      <c r="I156" s="128" t="s">
        <v>738</v>
      </c>
      <c r="J156" s="128">
        <v>80</v>
      </c>
      <c r="K156" s="13" t="s">
        <v>779</v>
      </c>
      <c r="L156" s="195">
        <v>5.46</v>
      </c>
      <c r="M156" s="193"/>
      <c r="Q156" s="1"/>
    </row>
    <row r="157" spans="2:17" ht="22.15" customHeight="1">
      <c r="B157" s="86" t="s">
        <v>53</v>
      </c>
      <c r="C157" s="13" t="s">
        <v>1166</v>
      </c>
      <c r="D157" s="200" t="s">
        <v>1173</v>
      </c>
      <c r="E157" s="62" t="s">
        <v>45</v>
      </c>
      <c r="F157" s="128" t="s">
        <v>236</v>
      </c>
      <c r="G157" s="128" t="s">
        <v>200</v>
      </c>
      <c r="H157" s="201" t="s">
        <v>608</v>
      </c>
      <c r="I157" s="128" t="s">
        <v>1131</v>
      </c>
      <c r="J157" s="128">
        <v>66</v>
      </c>
      <c r="K157" s="13" t="s">
        <v>779</v>
      </c>
      <c r="L157" s="195">
        <v>12.31</v>
      </c>
      <c r="M157" s="193"/>
      <c r="Q157" s="1"/>
    </row>
    <row r="158" spans="2:17" ht="22.15" customHeight="1">
      <c r="B158" s="86" t="s">
        <v>53</v>
      </c>
      <c r="C158" s="13" t="s">
        <v>1166</v>
      </c>
      <c r="D158" s="200" t="s">
        <v>1174</v>
      </c>
      <c r="E158" s="62" t="s">
        <v>45</v>
      </c>
      <c r="F158" s="128" t="s">
        <v>236</v>
      </c>
      <c r="G158" s="128" t="s">
        <v>300</v>
      </c>
      <c r="H158" s="201" t="s">
        <v>270</v>
      </c>
      <c r="I158" s="128" t="s">
        <v>738</v>
      </c>
      <c r="J158" s="128">
        <v>320</v>
      </c>
      <c r="K158" s="13" t="s">
        <v>779</v>
      </c>
      <c r="L158" s="195">
        <v>3.71</v>
      </c>
      <c r="M158" s="193"/>
      <c r="Q158" s="1"/>
    </row>
    <row r="159" spans="2:17" ht="22.15" customHeight="1">
      <c r="B159" s="86" t="s">
        <v>53</v>
      </c>
      <c r="C159" s="13" t="s">
        <v>1166</v>
      </c>
      <c r="D159" s="200" t="s">
        <v>1175</v>
      </c>
      <c r="E159" s="62" t="s">
        <v>45</v>
      </c>
      <c r="F159" s="128" t="s">
        <v>236</v>
      </c>
      <c r="G159" s="128" t="s">
        <v>300</v>
      </c>
      <c r="H159" s="201" t="s">
        <v>270</v>
      </c>
      <c r="I159" s="128" t="s">
        <v>738</v>
      </c>
      <c r="J159" s="128">
        <v>320</v>
      </c>
      <c r="K159" s="13" t="s">
        <v>779</v>
      </c>
      <c r="L159" s="195">
        <v>3.71</v>
      </c>
      <c r="M159" s="193"/>
      <c r="Q159" s="1"/>
    </row>
    <row r="160" spans="2:17" ht="22.15" customHeight="1">
      <c r="B160" s="86" t="s">
        <v>53</v>
      </c>
      <c r="C160" s="13" t="s">
        <v>1166</v>
      </c>
      <c r="D160" s="200" t="s">
        <v>1176</v>
      </c>
      <c r="E160" s="62" t="s">
        <v>45</v>
      </c>
      <c r="F160" s="128" t="s">
        <v>236</v>
      </c>
      <c r="G160" s="128" t="s">
        <v>300</v>
      </c>
      <c r="H160" s="201" t="s">
        <v>270</v>
      </c>
      <c r="I160" s="128" t="s">
        <v>738</v>
      </c>
      <c r="J160" s="128">
        <v>318</v>
      </c>
      <c r="K160" s="13" t="s">
        <v>779</v>
      </c>
      <c r="L160" s="195">
        <v>3.71</v>
      </c>
      <c r="M160" s="193"/>
      <c r="Q160" s="1"/>
    </row>
    <row r="161" spans="2:17" ht="22.15" customHeight="1">
      <c r="B161" s="86" t="s">
        <v>53</v>
      </c>
      <c r="C161" s="13" t="s">
        <v>1166</v>
      </c>
      <c r="D161" s="200" t="s">
        <v>1177</v>
      </c>
      <c r="E161" s="62" t="s">
        <v>45</v>
      </c>
      <c r="F161" s="128" t="s">
        <v>236</v>
      </c>
      <c r="G161" s="128" t="s">
        <v>300</v>
      </c>
      <c r="H161" s="201" t="s">
        <v>270</v>
      </c>
      <c r="I161" s="128" t="s">
        <v>738</v>
      </c>
      <c r="J161" s="128">
        <v>320</v>
      </c>
      <c r="K161" s="13" t="s">
        <v>779</v>
      </c>
      <c r="L161" s="195">
        <v>3.71</v>
      </c>
      <c r="M161" s="193"/>
      <c r="Q161" s="1"/>
    </row>
    <row r="162" spans="2:17" ht="22.15" customHeight="1">
      <c r="B162" s="86" t="s">
        <v>53</v>
      </c>
      <c r="C162" s="13" t="s">
        <v>1166</v>
      </c>
      <c r="D162" s="200" t="s">
        <v>1178</v>
      </c>
      <c r="E162" s="128" t="s">
        <v>1139</v>
      </c>
      <c r="F162" s="177" t="s">
        <v>679</v>
      </c>
      <c r="G162" s="128" t="s">
        <v>300</v>
      </c>
      <c r="H162" s="201" t="s">
        <v>846</v>
      </c>
      <c r="I162" s="128" t="s">
        <v>847</v>
      </c>
      <c r="J162" s="128">
        <v>74</v>
      </c>
      <c r="K162" s="13" t="s">
        <v>779</v>
      </c>
      <c r="L162" s="195">
        <v>5.17</v>
      </c>
      <c r="M162" s="193"/>
      <c r="Q162" s="1"/>
    </row>
    <row r="163" spans="2:17" ht="22.15" customHeight="1">
      <c r="B163" s="86" t="s">
        <v>53</v>
      </c>
      <c r="C163" s="13" t="s">
        <v>1166</v>
      </c>
      <c r="D163" s="200" t="s">
        <v>1178</v>
      </c>
      <c r="E163" s="62" t="s">
        <v>81</v>
      </c>
      <c r="F163" s="188" t="s">
        <v>80</v>
      </c>
      <c r="G163" s="129" t="s">
        <v>300</v>
      </c>
      <c r="H163" s="197" t="s">
        <v>80</v>
      </c>
      <c r="I163" s="129" t="s">
        <v>1179</v>
      </c>
      <c r="J163" s="129">
        <v>5</v>
      </c>
      <c r="K163" s="100" t="s">
        <v>779</v>
      </c>
      <c r="L163" s="190" t="s">
        <v>80</v>
      </c>
      <c r="M163" s="191"/>
      <c r="Q163" s="1"/>
    </row>
    <row r="164" spans="2:17" ht="22.15" customHeight="1">
      <c r="B164" s="86" t="s">
        <v>53</v>
      </c>
      <c r="C164" s="13" t="s">
        <v>1166</v>
      </c>
      <c r="D164" s="200" t="s">
        <v>1178</v>
      </c>
      <c r="E164" s="62" t="s">
        <v>45</v>
      </c>
      <c r="F164" s="188" t="s">
        <v>80</v>
      </c>
      <c r="G164" s="129" t="s">
        <v>300</v>
      </c>
      <c r="H164" s="197" t="s">
        <v>80</v>
      </c>
      <c r="I164" s="129" t="s">
        <v>1180</v>
      </c>
      <c r="J164" s="129">
        <v>4</v>
      </c>
      <c r="K164" s="100" t="s">
        <v>779</v>
      </c>
      <c r="L164" s="190" t="s">
        <v>80</v>
      </c>
      <c r="M164" s="191"/>
      <c r="Q164" s="1"/>
    </row>
    <row r="165" spans="2:17" ht="22.15" customHeight="1">
      <c r="B165" s="86" t="s">
        <v>53</v>
      </c>
      <c r="C165" s="13" t="s">
        <v>1166</v>
      </c>
      <c r="D165" s="200" t="s">
        <v>1181</v>
      </c>
      <c r="E165" s="62" t="s">
        <v>45</v>
      </c>
      <c r="F165" s="128" t="s">
        <v>236</v>
      </c>
      <c r="G165" s="128" t="s">
        <v>300</v>
      </c>
      <c r="H165" s="201" t="s">
        <v>270</v>
      </c>
      <c r="I165" s="128" t="s">
        <v>738</v>
      </c>
      <c r="J165" s="128">
        <v>158</v>
      </c>
      <c r="K165" s="13" t="s">
        <v>779</v>
      </c>
      <c r="L165" s="195">
        <v>3.71</v>
      </c>
      <c r="M165" s="193"/>
      <c r="Q165" s="1"/>
    </row>
    <row r="166" spans="2:17" ht="22.15" customHeight="1">
      <c r="B166" s="86" t="s">
        <v>53</v>
      </c>
      <c r="C166" s="13" t="s">
        <v>1166</v>
      </c>
      <c r="D166" s="200" t="s">
        <v>1181</v>
      </c>
      <c r="E166" s="128" t="s">
        <v>1139</v>
      </c>
      <c r="F166" s="128" t="s">
        <v>130</v>
      </c>
      <c r="G166" s="128" t="s">
        <v>300</v>
      </c>
      <c r="H166" s="201" t="s">
        <v>1182</v>
      </c>
      <c r="I166" s="177" t="s">
        <v>128</v>
      </c>
      <c r="J166" s="128">
        <v>10</v>
      </c>
      <c r="K166" s="13" t="s">
        <v>779</v>
      </c>
      <c r="L166" s="195">
        <v>3.5</v>
      </c>
      <c r="M166" s="193"/>
      <c r="Q166" s="1"/>
    </row>
    <row r="167" spans="2:17" ht="22.15" customHeight="1">
      <c r="B167" s="86" t="s">
        <v>7</v>
      </c>
      <c r="C167" s="13" t="s">
        <v>1183</v>
      </c>
      <c r="D167" s="200" t="s">
        <v>1184</v>
      </c>
      <c r="E167" s="62" t="s">
        <v>45</v>
      </c>
      <c r="F167" s="188" t="s">
        <v>80</v>
      </c>
      <c r="G167" s="129" t="s">
        <v>255</v>
      </c>
      <c r="H167" s="203" t="s">
        <v>1185</v>
      </c>
      <c r="I167" s="188" t="s">
        <v>80</v>
      </c>
      <c r="J167" s="129">
        <v>1</v>
      </c>
      <c r="K167" s="100" t="s">
        <v>779</v>
      </c>
      <c r="L167" s="188" t="s">
        <v>80</v>
      </c>
      <c r="M167" s="193"/>
      <c r="Q167" s="1"/>
    </row>
    <row r="168" spans="2:17" ht="22.15" customHeight="1">
      <c r="B168" s="86" t="s">
        <v>7</v>
      </c>
      <c r="C168" s="13" t="s">
        <v>1183</v>
      </c>
      <c r="D168" s="200" t="s">
        <v>1184</v>
      </c>
      <c r="E168" s="62" t="s">
        <v>45</v>
      </c>
      <c r="F168" s="188" t="s">
        <v>80</v>
      </c>
      <c r="G168" s="129" t="s">
        <v>242</v>
      </c>
      <c r="H168" s="188" t="s">
        <v>80</v>
      </c>
      <c r="I168" s="188" t="s">
        <v>80</v>
      </c>
      <c r="J168" s="129">
        <v>2</v>
      </c>
      <c r="K168" s="100" t="s">
        <v>779</v>
      </c>
      <c r="L168" s="188" t="s">
        <v>80</v>
      </c>
      <c r="M168" s="209" t="s">
        <v>1186</v>
      </c>
      <c r="Q168" s="1"/>
    </row>
    <row r="169" spans="2:17" ht="22.15" customHeight="1">
      <c r="B169" s="86" t="s">
        <v>7</v>
      </c>
      <c r="C169" s="13" t="s">
        <v>1183</v>
      </c>
      <c r="D169" s="200" t="s">
        <v>1184</v>
      </c>
      <c r="E169" s="62" t="s">
        <v>45</v>
      </c>
      <c r="F169" s="188" t="s">
        <v>80</v>
      </c>
      <c r="G169" s="129" t="s">
        <v>242</v>
      </c>
      <c r="H169" s="188" t="s">
        <v>80</v>
      </c>
      <c r="I169" s="188" t="s">
        <v>80</v>
      </c>
      <c r="J169" s="129">
        <v>2</v>
      </c>
      <c r="K169" s="100" t="s">
        <v>779</v>
      </c>
      <c r="L169" s="188" t="s">
        <v>80</v>
      </c>
      <c r="M169" s="209" t="s">
        <v>1187</v>
      </c>
      <c r="Q169" s="1"/>
    </row>
    <row r="170" spans="2:17" ht="22.15" customHeight="1">
      <c r="B170" s="86" t="s">
        <v>7</v>
      </c>
      <c r="C170" s="13" t="s">
        <v>1183</v>
      </c>
      <c r="D170" s="200" t="s">
        <v>1184</v>
      </c>
      <c r="E170" s="62" t="s">
        <v>45</v>
      </c>
      <c r="F170" s="188" t="s">
        <v>80</v>
      </c>
      <c r="G170" s="129" t="s">
        <v>242</v>
      </c>
      <c r="H170" s="188" t="s">
        <v>80</v>
      </c>
      <c r="I170" s="188" t="s">
        <v>80</v>
      </c>
      <c r="J170" s="129">
        <v>2</v>
      </c>
      <c r="K170" s="100" t="s">
        <v>779</v>
      </c>
      <c r="L170" s="188" t="s">
        <v>80</v>
      </c>
      <c r="M170" s="209" t="s">
        <v>1188</v>
      </c>
      <c r="Q170" s="1"/>
    </row>
    <row r="171" spans="2:17" ht="22.15" customHeight="1">
      <c r="B171" s="86" t="s">
        <v>7</v>
      </c>
      <c r="C171" s="13" t="s">
        <v>1183</v>
      </c>
      <c r="D171" s="200" t="s">
        <v>1184</v>
      </c>
      <c r="E171" s="62" t="s">
        <v>45</v>
      </c>
      <c r="F171" s="188" t="s">
        <v>80</v>
      </c>
      <c r="G171" s="129" t="s">
        <v>242</v>
      </c>
      <c r="H171" s="188" t="s">
        <v>80</v>
      </c>
      <c r="I171" s="188" t="s">
        <v>80</v>
      </c>
      <c r="J171" s="129">
        <v>1</v>
      </c>
      <c r="K171" s="100" t="s">
        <v>779</v>
      </c>
      <c r="L171" s="188" t="s">
        <v>80</v>
      </c>
      <c r="M171" s="209" t="s">
        <v>287</v>
      </c>
      <c r="Q171" s="1"/>
    </row>
    <row r="172" spans="2:17" ht="22.15" customHeight="1">
      <c r="B172" s="86" t="s">
        <v>7</v>
      </c>
      <c r="C172" s="13" t="s">
        <v>1183</v>
      </c>
      <c r="D172" s="200" t="s">
        <v>1184</v>
      </c>
      <c r="E172" s="62" t="s">
        <v>45</v>
      </c>
      <c r="F172" s="188" t="s">
        <v>80</v>
      </c>
      <c r="G172" s="129" t="s">
        <v>194</v>
      </c>
      <c r="H172" s="188" t="s">
        <v>80</v>
      </c>
      <c r="I172" s="188" t="s">
        <v>80</v>
      </c>
      <c r="J172" s="129">
        <v>1</v>
      </c>
      <c r="K172" s="100" t="s">
        <v>779</v>
      </c>
      <c r="L172" s="188" t="s">
        <v>80</v>
      </c>
      <c r="M172" s="209" t="s">
        <v>1189</v>
      </c>
      <c r="Q172" s="1"/>
    </row>
    <row r="173" spans="2:17" ht="22.15" customHeight="1">
      <c r="B173" s="86" t="s">
        <v>7</v>
      </c>
      <c r="C173" s="13" t="s">
        <v>1183</v>
      </c>
      <c r="D173" s="200" t="s">
        <v>1184</v>
      </c>
      <c r="E173" s="62" t="s">
        <v>45</v>
      </c>
      <c r="F173" s="188" t="s">
        <v>80</v>
      </c>
      <c r="G173" s="129" t="s">
        <v>242</v>
      </c>
      <c r="H173" s="188" t="s">
        <v>80</v>
      </c>
      <c r="I173" s="188" t="s">
        <v>1190</v>
      </c>
      <c r="J173" s="129">
        <v>2</v>
      </c>
      <c r="K173" s="100" t="s">
        <v>779</v>
      </c>
      <c r="L173" s="188" t="s">
        <v>80</v>
      </c>
      <c r="M173" s="209" t="s">
        <v>1191</v>
      </c>
      <c r="Q173" s="1"/>
    </row>
    <row r="174" spans="2:17" ht="22.15" customHeight="1">
      <c r="B174" s="86" t="s">
        <v>7</v>
      </c>
      <c r="C174" s="13" t="s">
        <v>1183</v>
      </c>
      <c r="D174" s="200" t="s">
        <v>1184</v>
      </c>
      <c r="E174" s="62" t="s">
        <v>45</v>
      </c>
      <c r="F174" s="128" t="s">
        <v>236</v>
      </c>
      <c r="G174" s="128" t="s">
        <v>242</v>
      </c>
      <c r="H174" s="201" t="s">
        <v>571</v>
      </c>
      <c r="I174" s="177" t="s">
        <v>334</v>
      </c>
      <c r="J174" s="128">
        <v>20</v>
      </c>
      <c r="K174" s="13" t="s">
        <v>779</v>
      </c>
      <c r="L174" s="195">
        <v>1.21</v>
      </c>
      <c r="M174" s="193"/>
      <c r="Q174" s="1"/>
    </row>
    <row r="175" spans="2:17" ht="22.15" customHeight="1">
      <c r="B175" s="86" t="s">
        <v>53</v>
      </c>
      <c r="C175" s="13" t="s">
        <v>1183</v>
      </c>
      <c r="D175" s="200" t="s">
        <v>1184</v>
      </c>
      <c r="E175" s="62" t="s">
        <v>45</v>
      </c>
      <c r="F175" s="128" t="s">
        <v>236</v>
      </c>
      <c r="G175" s="128" t="s">
        <v>1192</v>
      </c>
      <c r="H175" s="201" t="s">
        <v>571</v>
      </c>
      <c r="I175" s="177" t="s">
        <v>334</v>
      </c>
      <c r="J175" s="128">
        <v>4</v>
      </c>
      <c r="K175" s="13" t="s">
        <v>779</v>
      </c>
      <c r="L175" s="195">
        <v>0.81</v>
      </c>
      <c r="M175" s="193"/>
      <c r="Q175" s="1"/>
    </row>
    <row r="176" spans="2:17" ht="22.15" customHeight="1">
      <c r="B176" s="86" t="s">
        <v>7</v>
      </c>
      <c r="C176" s="13" t="s">
        <v>1183</v>
      </c>
      <c r="D176" s="200" t="s">
        <v>1193</v>
      </c>
      <c r="E176" s="62" t="s">
        <v>45</v>
      </c>
      <c r="F176" s="128" t="s">
        <v>236</v>
      </c>
      <c r="G176" s="128" t="s">
        <v>242</v>
      </c>
      <c r="H176" s="201" t="s">
        <v>580</v>
      </c>
      <c r="I176" s="177" t="s">
        <v>581</v>
      </c>
      <c r="J176" s="128">
        <v>2</v>
      </c>
      <c r="K176" s="13" t="s">
        <v>779</v>
      </c>
      <c r="L176" s="195">
        <v>5.2</v>
      </c>
      <c r="M176" s="193"/>
      <c r="Q176" s="1"/>
    </row>
    <row r="177" spans="2:17" ht="22.15" customHeight="1">
      <c r="B177" s="86" t="s">
        <v>7</v>
      </c>
      <c r="C177" s="13" t="s">
        <v>1183</v>
      </c>
      <c r="D177" s="200" t="s">
        <v>1193</v>
      </c>
      <c r="E177" s="62" t="s">
        <v>45</v>
      </c>
      <c r="F177" s="128" t="s">
        <v>236</v>
      </c>
      <c r="G177" s="128" t="s">
        <v>242</v>
      </c>
      <c r="H177" s="201" t="s">
        <v>584</v>
      </c>
      <c r="I177" s="177" t="s">
        <v>585</v>
      </c>
      <c r="J177" s="128">
        <v>2</v>
      </c>
      <c r="K177" s="13" t="s">
        <v>779</v>
      </c>
      <c r="L177" s="195">
        <v>9.11</v>
      </c>
      <c r="M177" s="193"/>
      <c r="Q177" s="1"/>
    </row>
    <row r="178" spans="2:17" ht="22.15" customHeight="1">
      <c r="B178" s="86" t="s">
        <v>7</v>
      </c>
      <c r="C178" s="13" t="s">
        <v>1183</v>
      </c>
      <c r="D178" s="200" t="s">
        <v>1193</v>
      </c>
      <c r="E178" s="62" t="s">
        <v>45</v>
      </c>
      <c r="F178" s="190" t="s">
        <v>80</v>
      </c>
      <c r="G178" s="129" t="s">
        <v>242</v>
      </c>
      <c r="H178" s="197" t="s">
        <v>80</v>
      </c>
      <c r="I178" s="188" t="s">
        <v>1194</v>
      </c>
      <c r="J178" s="129">
        <v>1</v>
      </c>
      <c r="K178" s="100" t="s">
        <v>779</v>
      </c>
      <c r="L178" s="190" t="s">
        <v>80</v>
      </c>
      <c r="M178" s="193"/>
      <c r="Q178" s="1"/>
    </row>
    <row r="179" spans="2:17" ht="22.15" customHeight="1">
      <c r="B179" s="86" t="s">
        <v>53</v>
      </c>
      <c r="C179" s="13" t="s">
        <v>1183</v>
      </c>
      <c r="D179" s="200" t="s">
        <v>1193</v>
      </c>
      <c r="E179" s="62" t="s">
        <v>45</v>
      </c>
      <c r="F179" s="13" t="s">
        <v>672</v>
      </c>
      <c r="G179" s="128" t="s">
        <v>200</v>
      </c>
      <c r="H179" s="201" t="s">
        <v>673</v>
      </c>
      <c r="I179" s="177" t="s">
        <v>674</v>
      </c>
      <c r="J179" s="128">
        <v>15</v>
      </c>
      <c r="K179" s="13" t="s">
        <v>779</v>
      </c>
      <c r="L179" s="195">
        <v>1.21</v>
      </c>
      <c r="M179" s="193"/>
      <c r="Q179" s="1"/>
    </row>
    <row r="180" spans="2:17" ht="22.15" customHeight="1">
      <c r="B180" s="86" t="s">
        <v>53</v>
      </c>
      <c r="C180" s="13" t="s">
        <v>1183</v>
      </c>
      <c r="D180" s="200" t="s">
        <v>1193</v>
      </c>
      <c r="E180" s="62" t="s">
        <v>45</v>
      </c>
      <c r="F180" s="190" t="s">
        <v>80</v>
      </c>
      <c r="G180" s="129" t="s">
        <v>200</v>
      </c>
      <c r="H180" s="203" t="s">
        <v>1195</v>
      </c>
      <c r="I180" s="190" t="s">
        <v>1196</v>
      </c>
      <c r="J180" s="129">
        <v>3</v>
      </c>
      <c r="K180" s="100" t="s">
        <v>779</v>
      </c>
      <c r="L180" s="190" t="s">
        <v>80</v>
      </c>
      <c r="M180" s="193"/>
      <c r="Q180" s="1"/>
    </row>
    <row r="181" spans="2:17" ht="22.15" customHeight="1">
      <c r="B181" s="86" t="s">
        <v>53</v>
      </c>
      <c r="C181" s="13" t="s">
        <v>1183</v>
      </c>
      <c r="D181" s="200" t="s">
        <v>1193</v>
      </c>
      <c r="E181" s="62" t="s">
        <v>45</v>
      </c>
      <c r="F181" s="190" t="s">
        <v>80</v>
      </c>
      <c r="G181" s="98" t="s">
        <v>300</v>
      </c>
      <c r="H181" s="197" t="s">
        <v>80</v>
      </c>
      <c r="I181" s="188" t="s">
        <v>1197</v>
      </c>
      <c r="J181" s="129">
        <v>14</v>
      </c>
      <c r="K181" s="100" t="s">
        <v>779</v>
      </c>
      <c r="L181" s="190" t="s">
        <v>80</v>
      </c>
      <c r="M181" s="193" t="s">
        <v>1198</v>
      </c>
      <c r="Q181" s="1"/>
    </row>
    <row r="182" spans="2:17" ht="22.15" customHeight="1">
      <c r="B182" s="86" t="s">
        <v>7</v>
      </c>
      <c r="C182" s="13" t="s">
        <v>1183</v>
      </c>
      <c r="D182" s="200" t="s">
        <v>1193</v>
      </c>
      <c r="E182" s="62" t="s">
        <v>45</v>
      </c>
      <c r="F182" s="190" t="s">
        <v>80</v>
      </c>
      <c r="G182" s="129" t="s">
        <v>242</v>
      </c>
      <c r="H182" s="197" t="s">
        <v>80</v>
      </c>
      <c r="I182" s="188" t="s">
        <v>1199</v>
      </c>
      <c r="J182" s="129">
        <v>5</v>
      </c>
      <c r="K182" s="100" t="s">
        <v>779</v>
      </c>
      <c r="L182" s="190" t="s">
        <v>80</v>
      </c>
      <c r="M182" s="193"/>
      <c r="Q182" s="1"/>
    </row>
    <row r="183" spans="2:17" ht="22.15" customHeight="1">
      <c r="B183" s="86" t="s">
        <v>7</v>
      </c>
      <c r="C183" s="13" t="s">
        <v>1183</v>
      </c>
      <c r="D183" s="200" t="s">
        <v>1200</v>
      </c>
      <c r="E183" s="62" t="s">
        <v>45</v>
      </c>
      <c r="F183" s="190" t="s">
        <v>80</v>
      </c>
      <c r="G183" s="129" t="s">
        <v>242</v>
      </c>
      <c r="H183" s="197" t="s">
        <v>80</v>
      </c>
      <c r="I183" s="188" t="s">
        <v>1201</v>
      </c>
      <c r="J183" s="129">
        <v>2</v>
      </c>
      <c r="K183" s="100" t="s">
        <v>779</v>
      </c>
      <c r="L183" s="190" t="s">
        <v>80</v>
      </c>
      <c r="M183" s="193"/>
      <c r="Q183" s="1"/>
    </row>
    <row r="184" spans="2:17" ht="22.15" customHeight="1">
      <c r="B184" s="86" t="s">
        <v>7</v>
      </c>
      <c r="C184" s="13" t="s">
        <v>1183</v>
      </c>
      <c r="D184" s="200" t="s">
        <v>1200</v>
      </c>
      <c r="E184" s="62" t="s">
        <v>45</v>
      </c>
      <c r="F184" s="190" t="s">
        <v>80</v>
      </c>
      <c r="G184" s="129" t="s">
        <v>242</v>
      </c>
      <c r="H184" s="197" t="s">
        <v>80</v>
      </c>
      <c r="I184" s="188" t="s">
        <v>629</v>
      </c>
      <c r="J184" s="129">
        <v>1</v>
      </c>
      <c r="K184" s="100" t="s">
        <v>779</v>
      </c>
      <c r="L184" s="190" t="s">
        <v>80</v>
      </c>
      <c r="M184" s="193"/>
      <c r="Q184" s="1"/>
    </row>
    <row r="185" spans="2:17" ht="22.15" customHeight="1">
      <c r="B185" s="86" t="s">
        <v>7</v>
      </c>
      <c r="C185" s="13" t="s">
        <v>1183</v>
      </c>
      <c r="D185" s="200" t="s">
        <v>1200</v>
      </c>
      <c r="E185" s="62" t="s">
        <v>45</v>
      </c>
      <c r="F185" s="128" t="s">
        <v>236</v>
      </c>
      <c r="G185" s="128" t="s">
        <v>242</v>
      </c>
      <c r="H185" s="201" t="s">
        <v>328</v>
      </c>
      <c r="I185" s="177" t="s">
        <v>302</v>
      </c>
      <c r="J185" s="128">
        <v>5</v>
      </c>
      <c r="K185" s="13" t="s">
        <v>779</v>
      </c>
      <c r="L185" s="195">
        <v>2.6</v>
      </c>
      <c r="M185" s="193"/>
      <c r="Q185" s="1"/>
    </row>
    <row r="186" spans="2:17" ht="22.15" customHeight="1">
      <c r="B186" s="86" t="s">
        <v>7</v>
      </c>
      <c r="C186" s="13" t="s">
        <v>1183</v>
      </c>
      <c r="D186" s="200" t="s">
        <v>1200</v>
      </c>
      <c r="E186" s="62" t="s">
        <v>45</v>
      </c>
      <c r="F186" s="128" t="s">
        <v>500</v>
      </c>
      <c r="G186" s="128" t="s">
        <v>242</v>
      </c>
      <c r="H186" s="201" t="s">
        <v>1202</v>
      </c>
      <c r="I186" s="177" t="s">
        <v>1203</v>
      </c>
      <c r="J186" s="128">
        <v>1</v>
      </c>
      <c r="K186" s="13" t="s">
        <v>779</v>
      </c>
      <c r="L186" s="195">
        <v>10.11</v>
      </c>
      <c r="M186" s="193" t="s">
        <v>1204</v>
      </c>
      <c r="Q186" s="1"/>
    </row>
    <row r="187" spans="2:17" ht="22.15" customHeight="1">
      <c r="B187" s="86" t="s">
        <v>7</v>
      </c>
      <c r="C187" s="13" t="s">
        <v>1183</v>
      </c>
      <c r="D187" s="200" t="s">
        <v>1200</v>
      </c>
      <c r="E187" s="62" t="s">
        <v>45</v>
      </c>
      <c r="F187" s="190" t="s">
        <v>80</v>
      </c>
      <c r="G187" s="129" t="s">
        <v>242</v>
      </c>
      <c r="H187" s="197" t="s">
        <v>80</v>
      </c>
      <c r="I187" s="188" t="s">
        <v>1205</v>
      </c>
      <c r="J187" s="129">
        <v>28</v>
      </c>
      <c r="K187" s="100" t="s">
        <v>779</v>
      </c>
      <c r="L187" s="190" t="s">
        <v>80</v>
      </c>
      <c r="M187" s="193"/>
      <c r="Q187" s="1"/>
    </row>
    <row r="188" spans="2:17" ht="22.15" customHeight="1">
      <c r="B188" s="86" t="s">
        <v>7</v>
      </c>
      <c r="C188" s="13" t="s">
        <v>1183</v>
      </c>
      <c r="D188" s="200" t="s">
        <v>1200</v>
      </c>
      <c r="E188" s="62" t="s">
        <v>45</v>
      </c>
      <c r="F188" s="128" t="s">
        <v>500</v>
      </c>
      <c r="G188" s="128" t="s">
        <v>242</v>
      </c>
      <c r="H188" s="201" t="s">
        <v>501</v>
      </c>
      <c r="I188" s="177" t="s">
        <v>502</v>
      </c>
      <c r="J188" s="128">
        <v>3</v>
      </c>
      <c r="K188" s="13" t="s">
        <v>779</v>
      </c>
      <c r="L188" s="195">
        <v>18.21</v>
      </c>
      <c r="M188" s="193" t="s">
        <v>1204</v>
      </c>
      <c r="Q188" s="1"/>
    </row>
    <row r="189" spans="2:17" ht="22.15" customHeight="1">
      <c r="B189" s="86" t="s">
        <v>7</v>
      </c>
      <c r="C189" s="13" t="s">
        <v>1183</v>
      </c>
      <c r="D189" s="200" t="s">
        <v>1200</v>
      </c>
      <c r="E189" s="62" t="s">
        <v>45</v>
      </c>
      <c r="F189" s="190" t="s">
        <v>80</v>
      </c>
      <c r="G189" s="129" t="s">
        <v>242</v>
      </c>
      <c r="H189" s="197" t="s">
        <v>80</v>
      </c>
      <c r="I189" s="188" t="s">
        <v>1206</v>
      </c>
      <c r="J189" s="129">
        <v>3</v>
      </c>
      <c r="K189" s="100" t="s">
        <v>779</v>
      </c>
      <c r="L189" s="190" t="s">
        <v>80</v>
      </c>
      <c r="M189" s="193"/>
      <c r="Q189" s="1"/>
    </row>
    <row r="190" spans="2:17" ht="22.15" customHeight="1">
      <c r="B190" s="86" t="s">
        <v>7</v>
      </c>
      <c r="C190" s="13" t="s">
        <v>1183</v>
      </c>
      <c r="D190" s="200" t="s">
        <v>1200</v>
      </c>
      <c r="E190" s="62" t="s">
        <v>45</v>
      </c>
      <c r="F190" s="128" t="s">
        <v>500</v>
      </c>
      <c r="G190" s="128" t="s">
        <v>242</v>
      </c>
      <c r="H190" s="201" t="s">
        <v>524</v>
      </c>
      <c r="I190" s="177" t="s">
        <v>525</v>
      </c>
      <c r="J190" s="128">
        <v>1</v>
      </c>
      <c r="K190" s="13" t="s">
        <v>779</v>
      </c>
      <c r="L190" s="195">
        <v>24.9</v>
      </c>
      <c r="M190" s="193" t="s">
        <v>1204</v>
      </c>
      <c r="Q190" s="1"/>
    </row>
    <row r="191" spans="2:17" ht="22.15" customHeight="1">
      <c r="B191" s="86" t="s">
        <v>7</v>
      </c>
      <c r="C191" s="13" t="s">
        <v>1183</v>
      </c>
      <c r="D191" s="200" t="s">
        <v>1200</v>
      </c>
      <c r="E191" s="62" t="s">
        <v>45</v>
      </c>
      <c r="F191" s="190" t="s">
        <v>80</v>
      </c>
      <c r="G191" s="129" t="s">
        <v>242</v>
      </c>
      <c r="H191" s="197" t="s">
        <v>80</v>
      </c>
      <c r="I191" s="188" t="s">
        <v>643</v>
      </c>
      <c r="J191" s="129">
        <v>2</v>
      </c>
      <c r="K191" s="100" t="s">
        <v>779</v>
      </c>
      <c r="L191" s="190" t="s">
        <v>80</v>
      </c>
      <c r="M191" s="193"/>
      <c r="Q191" s="1"/>
    </row>
    <row r="192" spans="2:17" ht="22.15" customHeight="1">
      <c r="B192" s="86" t="s">
        <v>7</v>
      </c>
      <c r="C192" s="13" t="s">
        <v>1183</v>
      </c>
      <c r="D192" s="200" t="s">
        <v>1200</v>
      </c>
      <c r="E192" s="62" t="s">
        <v>45</v>
      </c>
      <c r="F192" s="190" t="s">
        <v>80</v>
      </c>
      <c r="G192" s="129" t="s">
        <v>242</v>
      </c>
      <c r="H192" s="197" t="s">
        <v>80</v>
      </c>
      <c r="I192" s="188" t="s">
        <v>1207</v>
      </c>
      <c r="J192" s="129">
        <v>9</v>
      </c>
      <c r="K192" s="100" t="s">
        <v>779</v>
      </c>
      <c r="L192" s="190" t="s">
        <v>80</v>
      </c>
      <c r="M192" s="209" t="s">
        <v>1208</v>
      </c>
      <c r="Q192" s="1"/>
    </row>
    <row r="193" spans="2:17" ht="22.15" customHeight="1">
      <c r="B193" s="86" t="s">
        <v>7</v>
      </c>
      <c r="C193" s="13" t="s">
        <v>1183</v>
      </c>
      <c r="D193" s="200" t="s">
        <v>1200</v>
      </c>
      <c r="E193" s="62" t="s">
        <v>45</v>
      </c>
      <c r="F193" s="190" t="s">
        <v>80</v>
      </c>
      <c r="G193" s="129" t="s">
        <v>242</v>
      </c>
      <c r="H193" s="203" t="s">
        <v>1209</v>
      </c>
      <c r="I193" s="188" t="s">
        <v>1210</v>
      </c>
      <c r="J193" s="129">
        <v>8</v>
      </c>
      <c r="K193" s="100" t="s">
        <v>779</v>
      </c>
      <c r="L193" s="190" t="s">
        <v>80</v>
      </c>
      <c r="M193" s="193"/>
      <c r="Q193" s="1"/>
    </row>
    <row r="194" spans="2:17" ht="22.15" customHeight="1">
      <c r="B194" s="86" t="s">
        <v>7</v>
      </c>
      <c r="C194" s="13" t="s">
        <v>1183</v>
      </c>
      <c r="D194" s="200" t="s">
        <v>1200</v>
      </c>
      <c r="E194" s="62" t="s">
        <v>45</v>
      </c>
      <c r="F194" s="190" t="s">
        <v>80</v>
      </c>
      <c r="G194" s="129" t="s">
        <v>194</v>
      </c>
      <c r="H194" s="197" t="s">
        <v>80</v>
      </c>
      <c r="I194" s="188" t="s">
        <v>1211</v>
      </c>
      <c r="J194" s="129">
        <v>2</v>
      </c>
      <c r="K194" s="100" t="s">
        <v>779</v>
      </c>
      <c r="L194" s="190" t="s">
        <v>80</v>
      </c>
      <c r="M194" s="209" t="s">
        <v>1212</v>
      </c>
      <c r="Q194" s="1"/>
    </row>
    <row r="195" spans="2:17" ht="22.15" customHeight="1">
      <c r="B195" s="86" t="s">
        <v>53</v>
      </c>
      <c r="C195" s="13" t="s">
        <v>1183</v>
      </c>
      <c r="D195" s="200" t="s">
        <v>1200</v>
      </c>
      <c r="E195" s="62" t="s">
        <v>45</v>
      </c>
      <c r="F195" s="128" t="s">
        <v>607</v>
      </c>
      <c r="G195" s="128" t="s">
        <v>655</v>
      </c>
      <c r="H195" s="201" t="s">
        <v>608</v>
      </c>
      <c r="I195" s="177" t="s">
        <v>1131</v>
      </c>
      <c r="J195" s="128">
        <v>6</v>
      </c>
      <c r="K195" s="13" t="s">
        <v>779</v>
      </c>
      <c r="L195" s="195">
        <v>59.6</v>
      </c>
      <c r="M195" s="193"/>
      <c r="Q195" s="1"/>
    </row>
    <row r="196" spans="2:17" ht="22.15" customHeight="1">
      <c r="B196" s="86" t="s">
        <v>7</v>
      </c>
      <c r="C196" s="13" t="s">
        <v>1183</v>
      </c>
      <c r="D196" s="200" t="s">
        <v>1213</v>
      </c>
      <c r="E196" s="62" t="s">
        <v>45</v>
      </c>
      <c r="F196" s="128" t="s">
        <v>236</v>
      </c>
      <c r="G196" s="128" t="s">
        <v>194</v>
      </c>
      <c r="H196" s="201" t="s">
        <v>1214</v>
      </c>
      <c r="I196" s="177" t="s">
        <v>1215</v>
      </c>
      <c r="J196" s="128">
        <v>2</v>
      </c>
      <c r="K196" s="13" t="s">
        <v>779</v>
      </c>
      <c r="L196" s="195">
        <v>19.97</v>
      </c>
      <c r="M196" s="193"/>
      <c r="Q196" s="1"/>
    </row>
    <row r="197" spans="2:17" ht="22.15" customHeight="1">
      <c r="B197" s="86" t="s">
        <v>53</v>
      </c>
      <c r="C197" s="13" t="s">
        <v>1183</v>
      </c>
      <c r="D197" s="200" t="s">
        <v>1213</v>
      </c>
      <c r="E197" s="62" t="s">
        <v>45</v>
      </c>
      <c r="F197" s="190" t="s">
        <v>80</v>
      </c>
      <c r="G197" s="129" t="s">
        <v>200</v>
      </c>
      <c r="H197" s="190" t="s">
        <v>80</v>
      </c>
      <c r="I197" s="190" t="s">
        <v>80</v>
      </c>
      <c r="J197" s="129">
        <v>4</v>
      </c>
      <c r="K197" s="100" t="s">
        <v>779</v>
      </c>
      <c r="L197" s="190" t="s">
        <v>80</v>
      </c>
      <c r="M197" s="209" t="s">
        <v>1216</v>
      </c>
      <c r="P197" s="228"/>
      <c r="Q197" s="1"/>
    </row>
    <row r="198" spans="2:17" ht="22.15" customHeight="1">
      <c r="B198" s="86" t="s">
        <v>53</v>
      </c>
      <c r="C198" s="13" t="s">
        <v>1183</v>
      </c>
      <c r="D198" s="200" t="s">
        <v>1213</v>
      </c>
      <c r="E198" s="62" t="s">
        <v>45</v>
      </c>
      <c r="F198" s="190" t="s">
        <v>80</v>
      </c>
      <c r="G198" s="129" t="s">
        <v>200</v>
      </c>
      <c r="H198" s="190" t="s">
        <v>80</v>
      </c>
      <c r="I198" s="190" t="s">
        <v>80</v>
      </c>
      <c r="J198" s="129">
        <v>4</v>
      </c>
      <c r="K198" s="100" t="s">
        <v>779</v>
      </c>
      <c r="L198" s="190" t="s">
        <v>80</v>
      </c>
      <c r="M198" s="209" t="s">
        <v>1217</v>
      </c>
      <c r="P198" s="228"/>
      <c r="Q198" s="1"/>
    </row>
    <row r="199" spans="2:17" ht="22.15" customHeight="1">
      <c r="B199" s="86" t="s">
        <v>53</v>
      </c>
      <c r="C199" s="13" t="s">
        <v>1183</v>
      </c>
      <c r="D199" s="200" t="s">
        <v>1213</v>
      </c>
      <c r="E199" s="62" t="s">
        <v>45</v>
      </c>
      <c r="F199" s="190" t="s">
        <v>80</v>
      </c>
      <c r="G199" s="129" t="s">
        <v>200</v>
      </c>
      <c r="H199" s="190" t="s">
        <v>80</v>
      </c>
      <c r="I199" s="190" t="s">
        <v>80</v>
      </c>
      <c r="J199" s="129">
        <v>2</v>
      </c>
      <c r="K199" s="100" t="s">
        <v>779</v>
      </c>
      <c r="L199" s="190" t="s">
        <v>80</v>
      </c>
      <c r="M199" s="209" t="s">
        <v>1218</v>
      </c>
      <c r="P199" s="228"/>
      <c r="Q199" s="1"/>
    </row>
    <row r="200" spans="2:17" ht="22.15" customHeight="1">
      <c r="B200" s="86" t="s">
        <v>53</v>
      </c>
      <c r="C200" s="13" t="s">
        <v>1183</v>
      </c>
      <c r="D200" s="200" t="s">
        <v>1213</v>
      </c>
      <c r="E200" s="62" t="s">
        <v>45</v>
      </c>
      <c r="F200" s="190" t="s">
        <v>80</v>
      </c>
      <c r="G200" s="129" t="s">
        <v>200</v>
      </c>
      <c r="H200" s="190" t="s">
        <v>80</v>
      </c>
      <c r="I200" s="190" t="s">
        <v>80</v>
      </c>
      <c r="J200" s="129">
        <v>2</v>
      </c>
      <c r="K200" s="100" t="s">
        <v>779</v>
      </c>
      <c r="L200" s="190" t="s">
        <v>80</v>
      </c>
      <c r="M200" s="209" t="s">
        <v>1219</v>
      </c>
      <c r="P200" s="228"/>
      <c r="Q200" s="1"/>
    </row>
    <row r="201" spans="2:17" ht="22.15" customHeight="1">
      <c r="B201" s="86" t="s">
        <v>53</v>
      </c>
      <c r="C201" s="13" t="s">
        <v>1183</v>
      </c>
      <c r="D201" s="200" t="s">
        <v>1213</v>
      </c>
      <c r="E201" s="62" t="s">
        <v>45</v>
      </c>
      <c r="F201" s="128" t="s">
        <v>236</v>
      </c>
      <c r="G201" s="128" t="s">
        <v>200</v>
      </c>
      <c r="H201" s="201" t="s">
        <v>1220</v>
      </c>
      <c r="I201" s="177" t="s">
        <v>856</v>
      </c>
      <c r="J201" s="128">
        <v>3</v>
      </c>
      <c r="K201" s="13" t="s">
        <v>779</v>
      </c>
      <c r="L201" s="195">
        <v>19.899999999999999</v>
      </c>
      <c r="M201" s="193" t="s">
        <v>844</v>
      </c>
      <c r="Q201" s="1"/>
    </row>
    <row r="202" spans="2:17" ht="22.15" customHeight="1">
      <c r="B202" s="86" t="s">
        <v>53</v>
      </c>
      <c r="C202" s="13" t="s">
        <v>1183</v>
      </c>
      <c r="D202" s="200" t="s">
        <v>1213</v>
      </c>
      <c r="E202" s="62" t="s">
        <v>45</v>
      </c>
      <c r="F202" s="128" t="s">
        <v>236</v>
      </c>
      <c r="G202" s="128" t="s">
        <v>200</v>
      </c>
      <c r="H202" s="201" t="s">
        <v>1221</v>
      </c>
      <c r="I202" s="177" t="s">
        <v>348</v>
      </c>
      <c r="J202" s="128">
        <v>6</v>
      </c>
      <c r="K202" s="13" t="s">
        <v>779</v>
      </c>
      <c r="L202" s="195">
        <v>21.5</v>
      </c>
      <c r="M202" s="193" t="s">
        <v>844</v>
      </c>
      <c r="Q202" s="1"/>
    </row>
    <row r="203" spans="2:17" ht="22.15" customHeight="1">
      <c r="B203" s="86" t="s">
        <v>53</v>
      </c>
      <c r="C203" s="13" t="s">
        <v>1183</v>
      </c>
      <c r="D203" s="200" t="s">
        <v>1213</v>
      </c>
      <c r="E203" s="62" t="s">
        <v>45</v>
      </c>
      <c r="F203" s="128" t="s">
        <v>236</v>
      </c>
      <c r="G203" s="128" t="s">
        <v>200</v>
      </c>
      <c r="H203" s="201" t="s">
        <v>1222</v>
      </c>
      <c r="I203" s="177" t="s">
        <v>348</v>
      </c>
      <c r="J203" s="128">
        <v>6</v>
      </c>
      <c r="K203" s="13" t="s">
        <v>779</v>
      </c>
      <c r="L203" s="195">
        <v>24.21</v>
      </c>
      <c r="M203" s="193" t="s">
        <v>844</v>
      </c>
      <c r="Q203" s="1"/>
    </row>
    <row r="204" spans="2:17" ht="22.15" customHeight="1">
      <c r="B204" s="86" t="s">
        <v>7</v>
      </c>
      <c r="C204" s="13" t="s">
        <v>1183</v>
      </c>
      <c r="D204" s="200" t="s">
        <v>1213</v>
      </c>
      <c r="E204" s="62" t="s">
        <v>45</v>
      </c>
      <c r="F204" s="128" t="s">
        <v>236</v>
      </c>
      <c r="G204" s="128" t="s">
        <v>242</v>
      </c>
      <c r="H204" s="201" t="s">
        <v>347</v>
      </c>
      <c r="I204" s="177" t="s">
        <v>348</v>
      </c>
      <c r="J204" s="128">
        <v>8</v>
      </c>
      <c r="K204" s="13" t="s">
        <v>779</v>
      </c>
      <c r="L204" s="195">
        <v>17.5</v>
      </c>
      <c r="M204" s="193" t="s">
        <v>844</v>
      </c>
      <c r="Q204" s="1"/>
    </row>
    <row r="205" spans="2:17" ht="22.15" customHeight="1">
      <c r="B205" s="86" t="s">
        <v>53</v>
      </c>
      <c r="C205" s="13" t="s">
        <v>1183</v>
      </c>
      <c r="D205" s="200" t="s">
        <v>1213</v>
      </c>
      <c r="E205" s="62" t="s">
        <v>45</v>
      </c>
      <c r="F205" s="190" t="s">
        <v>80</v>
      </c>
      <c r="G205" s="129" t="s">
        <v>680</v>
      </c>
      <c r="H205" s="203" t="s">
        <v>1223</v>
      </c>
      <c r="I205" s="190" t="s">
        <v>80</v>
      </c>
      <c r="J205" s="129">
        <v>6</v>
      </c>
      <c r="K205" s="100" t="s">
        <v>779</v>
      </c>
      <c r="L205" s="190" t="s">
        <v>80</v>
      </c>
      <c r="M205" s="193"/>
      <c r="Q205" s="1"/>
    </row>
    <row r="206" spans="2:17" ht="22.15" customHeight="1">
      <c r="B206" s="86" t="s">
        <v>53</v>
      </c>
      <c r="C206" s="13" t="s">
        <v>1183</v>
      </c>
      <c r="D206" s="200" t="s">
        <v>1213</v>
      </c>
      <c r="E206" s="62" t="s">
        <v>45</v>
      </c>
      <c r="F206" s="128" t="s">
        <v>236</v>
      </c>
      <c r="G206" s="128" t="s">
        <v>680</v>
      </c>
      <c r="H206" s="201" t="s">
        <v>238</v>
      </c>
      <c r="I206" s="177" t="s">
        <v>1224</v>
      </c>
      <c r="J206" s="128">
        <v>1</v>
      </c>
      <c r="K206" s="13" t="s">
        <v>779</v>
      </c>
      <c r="L206" s="195">
        <v>117.5</v>
      </c>
      <c r="M206" s="193"/>
      <c r="Q206" s="1"/>
    </row>
    <row r="207" spans="2:17" ht="22.15" customHeight="1">
      <c r="B207" s="86" t="s">
        <v>53</v>
      </c>
      <c r="C207" s="13" t="s">
        <v>1183</v>
      </c>
      <c r="D207" s="200" t="s">
        <v>1213</v>
      </c>
      <c r="E207" s="62" t="s">
        <v>45</v>
      </c>
      <c r="F207" s="190" t="s">
        <v>80</v>
      </c>
      <c r="G207" s="129" t="s">
        <v>680</v>
      </c>
      <c r="H207" s="203" t="s">
        <v>1225</v>
      </c>
      <c r="I207" s="190" t="s">
        <v>80</v>
      </c>
      <c r="J207" s="129">
        <v>1</v>
      </c>
      <c r="K207" s="100" t="s">
        <v>779</v>
      </c>
      <c r="L207" s="190" t="s">
        <v>80</v>
      </c>
      <c r="M207" s="193"/>
      <c r="Q207" s="1"/>
    </row>
    <row r="208" spans="2:17" ht="22.15" customHeight="1">
      <c r="B208" s="86" t="s">
        <v>53</v>
      </c>
      <c r="C208" s="13" t="s">
        <v>1183</v>
      </c>
      <c r="D208" s="200" t="s">
        <v>1213</v>
      </c>
      <c r="E208" s="62" t="s">
        <v>45</v>
      </c>
      <c r="F208" s="128" t="s">
        <v>236</v>
      </c>
      <c r="G208" s="128" t="s">
        <v>680</v>
      </c>
      <c r="H208" s="201" t="s">
        <v>240</v>
      </c>
      <c r="I208" s="177" t="s">
        <v>239</v>
      </c>
      <c r="J208" s="128">
        <v>1</v>
      </c>
      <c r="K208" s="13" t="s">
        <v>779</v>
      </c>
      <c r="L208" s="195">
        <v>110.1</v>
      </c>
      <c r="M208" s="193"/>
      <c r="Q208" s="1"/>
    </row>
    <row r="209" spans="2:17" ht="22.15" customHeight="1">
      <c r="B209" s="86" t="s">
        <v>7</v>
      </c>
      <c r="C209" s="13" t="s">
        <v>1183</v>
      </c>
      <c r="D209" s="200" t="s">
        <v>1226</v>
      </c>
      <c r="E209" s="62" t="s">
        <v>45</v>
      </c>
      <c r="F209" s="190" t="s">
        <v>80</v>
      </c>
      <c r="G209" s="129" t="s">
        <v>192</v>
      </c>
      <c r="H209" s="197" t="s">
        <v>80</v>
      </c>
      <c r="I209" s="188" t="s">
        <v>577</v>
      </c>
      <c r="J209" s="129">
        <v>2</v>
      </c>
      <c r="K209" s="100" t="s">
        <v>779</v>
      </c>
      <c r="L209" s="190" t="s">
        <v>80</v>
      </c>
      <c r="M209" s="193"/>
      <c r="Q209" s="1"/>
    </row>
    <row r="210" spans="2:17" ht="22.15" customHeight="1">
      <c r="B210" s="86" t="s">
        <v>7</v>
      </c>
      <c r="C210" s="13" t="s">
        <v>1183</v>
      </c>
      <c r="D210" s="200" t="s">
        <v>1226</v>
      </c>
      <c r="E210" s="62" t="s">
        <v>45</v>
      </c>
      <c r="F210" s="190" t="s">
        <v>80</v>
      </c>
      <c r="G210" s="129" t="s">
        <v>192</v>
      </c>
      <c r="H210" s="197" t="s">
        <v>80</v>
      </c>
      <c r="I210" s="188" t="s">
        <v>1227</v>
      </c>
      <c r="J210" s="129">
        <v>6</v>
      </c>
      <c r="K210" s="100" t="s">
        <v>779</v>
      </c>
      <c r="L210" s="190" t="s">
        <v>80</v>
      </c>
      <c r="M210" s="209" t="s">
        <v>1228</v>
      </c>
      <c r="Q210" s="1"/>
    </row>
    <row r="211" spans="2:17" ht="22.15" customHeight="1">
      <c r="B211" s="86" t="s">
        <v>7</v>
      </c>
      <c r="C211" s="13" t="s">
        <v>1183</v>
      </c>
      <c r="D211" s="200" t="s">
        <v>1226</v>
      </c>
      <c r="E211" s="62" t="s">
        <v>45</v>
      </c>
      <c r="F211" s="190" t="s">
        <v>80</v>
      </c>
      <c r="G211" s="129" t="s">
        <v>192</v>
      </c>
      <c r="H211" s="197" t="s">
        <v>80</v>
      </c>
      <c r="I211" s="188" t="s">
        <v>1229</v>
      </c>
      <c r="J211" s="129">
        <v>13</v>
      </c>
      <c r="K211" s="100" t="s">
        <v>779</v>
      </c>
      <c r="L211" s="190" t="s">
        <v>80</v>
      </c>
      <c r="M211" s="209" t="s">
        <v>1230</v>
      </c>
      <c r="Q211" s="1"/>
    </row>
    <row r="212" spans="2:17" ht="22.15" customHeight="1">
      <c r="B212" s="86" t="s">
        <v>7</v>
      </c>
      <c r="C212" s="13" t="s">
        <v>1183</v>
      </c>
      <c r="D212" s="200" t="s">
        <v>1226</v>
      </c>
      <c r="E212" s="62" t="s">
        <v>45</v>
      </c>
      <c r="F212" s="190" t="s">
        <v>80</v>
      </c>
      <c r="G212" s="129" t="s">
        <v>192</v>
      </c>
      <c r="H212" s="197" t="s">
        <v>80</v>
      </c>
      <c r="I212" s="188" t="s">
        <v>629</v>
      </c>
      <c r="J212" s="129">
        <v>2</v>
      </c>
      <c r="K212" s="100" t="s">
        <v>779</v>
      </c>
      <c r="L212" s="190" t="s">
        <v>80</v>
      </c>
      <c r="M212" s="209" t="s">
        <v>1231</v>
      </c>
      <c r="Q212" s="1"/>
    </row>
    <row r="213" spans="2:17" ht="22.15" customHeight="1">
      <c r="B213" s="86" t="s">
        <v>7</v>
      </c>
      <c r="C213" s="13" t="s">
        <v>1183</v>
      </c>
      <c r="D213" s="200" t="s">
        <v>1226</v>
      </c>
      <c r="E213" s="62" t="s">
        <v>45</v>
      </c>
      <c r="F213" s="190" t="s">
        <v>80</v>
      </c>
      <c r="G213" s="129" t="s">
        <v>192</v>
      </c>
      <c r="H213" s="197" t="s">
        <v>80</v>
      </c>
      <c r="I213" s="188" t="s">
        <v>1232</v>
      </c>
      <c r="J213" s="129">
        <v>1</v>
      </c>
      <c r="K213" s="100" t="s">
        <v>779</v>
      </c>
      <c r="L213" s="190" t="s">
        <v>80</v>
      </c>
      <c r="M213" s="209" t="s">
        <v>1233</v>
      </c>
      <c r="Q213" s="1"/>
    </row>
    <row r="214" spans="2:17" ht="22.15" customHeight="1">
      <c r="B214" s="86" t="s">
        <v>7</v>
      </c>
      <c r="C214" s="13" t="s">
        <v>1183</v>
      </c>
      <c r="D214" s="200" t="s">
        <v>1226</v>
      </c>
      <c r="E214" s="62" t="s">
        <v>45</v>
      </c>
      <c r="F214" s="190" t="s">
        <v>80</v>
      </c>
      <c r="G214" s="129" t="s">
        <v>192</v>
      </c>
      <c r="H214" s="197" t="s">
        <v>80</v>
      </c>
      <c r="I214" s="188" t="s">
        <v>577</v>
      </c>
      <c r="J214" s="129">
        <v>4</v>
      </c>
      <c r="K214" s="100" t="s">
        <v>779</v>
      </c>
      <c r="L214" s="190" t="s">
        <v>80</v>
      </c>
      <c r="M214" s="209" t="s">
        <v>1234</v>
      </c>
      <c r="Q214" s="1"/>
    </row>
    <row r="215" spans="2:17" ht="22.15" customHeight="1">
      <c r="B215" s="86" t="s">
        <v>53</v>
      </c>
      <c r="C215" s="13" t="s">
        <v>1183</v>
      </c>
      <c r="D215" s="200" t="s">
        <v>1226</v>
      </c>
      <c r="E215" s="62" t="s">
        <v>45</v>
      </c>
      <c r="F215" s="128" t="s">
        <v>236</v>
      </c>
      <c r="G215" s="128" t="s">
        <v>200</v>
      </c>
      <c r="H215" s="201" t="s">
        <v>333</v>
      </c>
      <c r="I215" s="177" t="s">
        <v>334</v>
      </c>
      <c r="J215" s="128">
        <v>6</v>
      </c>
      <c r="K215" s="13" t="s">
        <v>779</v>
      </c>
      <c r="L215" s="195">
        <v>1.21</v>
      </c>
      <c r="M215" s="193"/>
      <c r="Q215" s="1"/>
    </row>
    <row r="216" spans="2:17" ht="22.15" customHeight="1">
      <c r="B216" s="86" t="s">
        <v>53</v>
      </c>
      <c r="C216" s="13" t="s">
        <v>1183</v>
      </c>
      <c r="D216" s="200" t="s">
        <v>1226</v>
      </c>
      <c r="E216" s="62" t="s">
        <v>45</v>
      </c>
      <c r="F216" s="128" t="s">
        <v>236</v>
      </c>
      <c r="G216" s="128" t="s">
        <v>300</v>
      </c>
      <c r="H216" s="201" t="s">
        <v>301</v>
      </c>
      <c r="I216" s="177" t="s">
        <v>302</v>
      </c>
      <c r="J216" s="128">
        <v>7</v>
      </c>
      <c r="K216" s="13" t="s">
        <v>779</v>
      </c>
      <c r="L216" s="195">
        <v>2.1</v>
      </c>
      <c r="M216" s="193"/>
      <c r="Q216" s="1"/>
    </row>
    <row r="217" spans="2:17" ht="22.15" customHeight="1">
      <c r="B217" s="86" t="s">
        <v>7</v>
      </c>
      <c r="C217" s="13" t="s">
        <v>1183</v>
      </c>
      <c r="D217" s="200" t="s">
        <v>1235</v>
      </c>
      <c r="E217" s="62" t="s">
        <v>45</v>
      </c>
      <c r="F217" s="190" t="s">
        <v>80</v>
      </c>
      <c r="G217" s="129" t="s">
        <v>192</v>
      </c>
      <c r="H217" s="190" t="s">
        <v>80</v>
      </c>
      <c r="I217" s="188" t="s">
        <v>1236</v>
      </c>
      <c r="J217" s="129">
        <v>5</v>
      </c>
      <c r="K217" s="100" t="s">
        <v>779</v>
      </c>
      <c r="L217" s="190" t="s">
        <v>80</v>
      </c>
      <c r="M217" s="209" t="s">
        <v>1237</v>
      </c>
      <c r="Q217" s="1"/>
    </row>
    <row r="218" spans="2:17" ht="22.15" customHeight="1">
      <c r="B218" s="86" t="s">
        <v>7</v>
      </c>
      <c r="C218" s="13" t="s">
        <v>1183</v>
      </c>
      <c r="D218" s="200" t="s">
        <v>1235</v>
      </c>
      <c r="E218" s="62" t="s">
        <v>45</v>
      </c>
      <c r="F218" s="190" t="s">
        <v>80</v>
      </c>
      <c r="G218" s="129" t="s">
        <v>192</v>
      </c>
      <c r="H218" s="190" t="s">
        <v>80</v>
      </c>
      <c r="I218" s="188" t="s">
        <v>1238</v>
      </c>
      <c r="J218" s="129">
        <v>1</v>
      </c>
      <c r="K218" s="100" t="s">
        <v>779</v>
      </c>
      <c r="L218" s="190" t="s">
        <v>80</v>
      </c>
      <c r="M218" s="209" t="s">
        <v>1239</v>
      </c>
      <c r="Q218" s="1"/>
    </row>
    <row r="219" spans="2:17" ht="22.15" customHeight="1">
      <c r="B219" s="86" t="s">
        <v>7</v>
      </c>
      <c r="C219" s="13" t="s">
        <v>1183</v>
      </c>
      <c r="D219" s="200" t="s">
        <v>1235</v>
      </c>
      <c r="E219" s="62" t="s">
        <v>45</v>
      </c>
      <c r="F219" s="190" t="s">
        <v>80</v>
      </c>
      <c r="G219" s="129" t="s">
        <v>192</v>
      </c>
      <c r="H219" s="190" t="s">
        <v>80</v>
      </c>
      <c r="I219" s="188" t="s">
        <v>1240</v>
      </c>
      <c r="J219" s="129">
        <v>1</v>
      </c>
      <c r="K219" s="100" t="s">
        <v>779</v>
      </c>
      <c r="L219" s="190" t="s">
        <v>80</v>
      </c>
      <c r="M219" s="209" t="s">
        <v>1241</v>
      </c>
      <c r="Q219" s="1"/>
    </row>
    <row r="220" spans="2:17" ht="22.15" customHeight="1">
      <c r="B220" s="86" t="s">
        <v>7</v>
      </c>
      <c r="C220" s="13" t="s">
        <v>1183</v>
      </c>
      <c r="D220" s="200" t="s">
        <v>1235</v>
      </c>
      <c r="E220" s="62" t="s">
        <v>45</v>
      </c>
      <c r="F220" s="190" t="s">
        <v>80</v>
      </c>
      <c r="G220" s="129" t="s">
        <v>192</v>
      </c>
      <c r="H220" s="190" t="s">
        <v>80</v>
      </c>
      <c r="I220" s="188" t="s">
        <v>1242</v>
      </c>
      <c r="J220" s="129">
        <v>1</v>
      </c>
      <c r="K220" s="100" t="s">
        <v>779</v>
      </c>
      <c r="L220" s="190" t="s">
        <v>80</v>
      </c>
      <c r="M220" s="209" t="s">
        <v>1243</v>
      </c>
      <c r="Q220" s="1"/>
    </row>
    <row r="221" spans="2:17" ht="22.15" customHeight="1">
      <c r="B221" s="86" t="s">
        <v>53</v>
      </c>
      <c r="C221" s="13" t="s">
        <v>1183</v>
      </c>
      <c r="D221" s="200" t="s">
        <v>1235</v>
      </c>
      <c r="E221" s="62" t="s">
        <v>45</v>
      </c>
      <c r="F221" s="128" t="s">
        <v>236</v>
      </c>
      <c r="G221" s="128" t="s">
        <v>1192</v>
      </c>
      <c r="H221" s="201" t="s">
        <v>584</v>
      </c>
      <c r="I221" s="177" t="s">
        <v>585</v>
      </c>
      <c r="J221" s="128">
        <v>2</v>
      </c>
      <c r="K221" s="13" t="s">
        <v>779</v>
      </c>
      <c r="L221" s="195">
        <v>6.5</v>
      </c>
      <c r="M221" s="193"/>
      <c r="Q221" s="1"/>
    </row>
    <row r="222" spans="2:17" ht="22.15" customHeight="1">
      <c r="B222" s="86" t="s">
        <v>53</v>
      </c>
      <c r="C222" s="13" t="s">
        <v>1183</v>
      </c>
      <c r="D222" s="200" t="s">
        <v>1235</v>
      </c>
      <c r="E222" s="62" t="s">
        <v>45</v>
      </c>
      <c r="F222" s="195" t="s">
        <v>236</v>
      </c>
      <c r="G222" s="128" t="s">
        <v>1192</v>
      </c>
      <c r="H222" s="201" t="s">
        <v>586</v>
      </c>
      <c r="I222" s="177" t="s">
        <v>587</v>
      </c>
      <c r="J222" s="128">
        <v>3</v>
      </c>
      <c r="K222" s="13" t="s">
        <v>779</v>
      </c>
      <c r="L222" s="195">
        <v>4.7</v>
      </c>
      <c r="M222" s="193"/>
      <c r="Q222" s="1"/>
    </row>
    <row r="223" spans="2:17" ht="22.15" customHeight="1">
      <c r="B223" s="86" t="s">
        <v>53</v>
      </c>
      <c r="C223" s="13" t="s">
        <v>1183</v>
      </c>
      <c r="D223" s="200" t="s">
        <v>1235</v>
      </c>
      <c r="E223" s="62" t="s">
        <v>45</v>
      </c>
      <c r="F223" s="190" t="s">
        <v>80</v>
      </c>
      <c r="G223" s="129" t="s">
        <v>1192</v>
      </c>
      <c r="H223" s="203" t="s">
        <v>1244</v>
      </c>
      <c r="I223" s="188" t="s">
        <v>1245</v>
      </c>
      <c r="J223" s="129">
        <v>1</v>
      </c>
      <c r="K223" s="100" t="s">
        <v>779</v>
      </c>
      <c r="L223" s="190" t="s">
        <v>80</v>
      </c>
      <c r="M223" s="193"/>
      <c r="Q223" s="1"/>
    </row>
    <row r="224" spans="2:17" ht="22.15" customHeight="1">
      <c r="B224" s="86" t="s">
        <v>53</v>
      </c>
      <c r="C224" s="13" t="s">
        <v>1183</v>
      </c>
      <c r="D224" s="200" t="s">
        <v>1235</v>
      </c>
      <c r="E224" s="62" t="s">
        <v>45</v>
      </c>
      <c r="F224" s="128" t="s">
        <v>236</v>
      </c>
      <c r="G224" s="128" t="s">
        <v>200</v>
      </c>
      <c r="H224" s="201" t="s">
        <v>336</v>
      </c>
      <c r="I224" s="177" t="s">
        <v>334</v>
      </c>
      <c r="J224" s="128">
        <v>7</v>
      </c>
      <c r="K224" s="13" t="s">
        <v>779</v>
      </c>
      <c r="L224" s="195">
        <v>2.8</v>
      </c>
      <c r="M224" s="193"/>
      <c r="Q224" s="1"/>
    </row>
    <row r="225" spans="2:17" ht="22.15" customHeight="1">
      <c r="B225" s="86" t="s">
        <v>7</v>
      </c>
      <c r="C225" s="13" t="s">
        <v>1183</v>
      </c>
      <c r="D225" s="200" t="s">
        <v>1235</v>
      </c>
      <c r="E225" s="62" t="s">
        <v>45</v>
      </c>
      <c r="F225" s="128" t="s">
        <v>236</v>
      </c>
      <c r="G225" s="128" t="s">
        <v>242</v>
      </c>
      <c r="H225" s="201" t="s">
        <v>331</v>
      </c>
      <c r="I225" s="177" t="s">
        <v>302</v>
      </c>
      <c r="J225" s="128">
        <v>8</v>
      </c>
      <c r="K225" s="13" t="s">
        <v>779</v>
      </c>
      <c r="L225" s="195">
        <v>2.71</v>
      </c>
      <c r="M225" s="191"/>
      <c r="Q225" s="1"/>
    </row>
    <row r="226" spans="2:17" ht="22.15" customHeight="1">
      <c r="B226" s="86" t="s">
        <v>53</v>
      </c>
      <c r="C226" s="13" t="s">
        <v>1183</v>
      </c>
      <c r="D226" s="200" t="s">
        <v>1235</v>
      </c>
      <c r="E226" s="62" t="s">
        <v>45</v>
      </c>
      <c r="F226" s="128" t="s">
        <v>236</v>
      </c>
      <c r="G226" s="128" t="s">
        <v>242</v>
      </c>
      <c r="H226" s="201" t="s">
        <v>1246</v>
      </c>
      <c r="I226" s="177" t="s">
        <v>1247</v>
      </c>
      <c r="J226" s="128">
        <v>3</v>
      </c>
      <c r="K226" s="13" t="s">
        <v>779</v>
      </c>
      <c r="L226" s="195">
        <v>3</v>
      </c>
      <c r="M226" s="191"/>
      <c r="P226" s="227"/>
      <c r="Q226" s="1"/>
    </row>
    <row r="227" spans="2:17" ht="22.15" customHeight="1">
      <c r="B227" s="86" t="s">
        <v>7</v>
      </c>
      <c r="C227" s="13" t="s">
        <v>1183</v>
      </c>
      <c r="D227" s="200" t="s">
        <v>1248</v>
      </c>
      <c r="E227" s="62" t="s">
        <v>45</v>
      </c>
      <c r="F227" s="190" t="s">
        <v>80</v>
      </c>
      <c r="G227" s="129" t="s">
        <v>192</v>
      </c>
      <c r="H227" s="197" t="s">
        <v>80</v>
      </c>
      <c r="I227" s="188" t="s">
        <v>1249</v>
      </c>
      <c r="J227" s="129">
        <v>3</v>
      </c>
      <c r="K227" s="100" t="s">
        <v>779</v>
      </c>
      <c r="L227" s="190" t="s">
        <v>80</v>
      </c>
      <c r="M227" s="193"/>
      <c r="P227" s="227"/>
      <c r="Q227" s="1"/>
    </row>
    <row r="228" spans="2:17" ht="22.15" customHeight="1">
      <c r="B228" s="86" t="s">
        <v>53</v>
      </c>
      <c r="C228" s="13" t="s">
        <v>1183</v>
      </c>
      <c r="D228" s="200" t="s">
        <v>1248</v>
      </c>
      <c r="E228" s="62" t="s">
        <v>45</v>
      </c>
      <c r="F228" s="128" t="s">
        <v>349</v>
      </c>
      <c r="G228" s="128" t="s">
        <v>655</v>
      </c>
      <c r="H228" s="201" t="s">
        <v>613</v>
      </c>
      <c r="I228" s="177" t="s">
        <v>614</v>
      </c>
      <c r="J228" s="128">
        <v>2</v>
      </c>
      <c r="K228" s="13" t="s">
        <v>779</v>
      </c>
      <c r="L228" s="195">
        <v>28.9</v>
      </c>
      <c r="M228" s="210" t="s">
        <v>352</v>
      </c>
      <c r="P228" s="227"/>
      <c r="Q228" s="1"/>
    </row>
    <row r="229" spans="2:17" ht="22.15" customHeight="1">
      <c r="B229" s="86" t="s">
        <v>7</v>
      </c>
      <c r="C229" s="13" t="s">
        <v>1250</v>
      </c>
      <c r="D229" s="177" t="s">
        <v>1251</v>
      </c>
      <c r="E229" s="62" t="s">
        <v>45</v>
      </c>
      <c r="F229" s="13" t="s">
        <v>672</v>
      </c>
      <c r="G229" s="211" t="s">
        <v>1252</v>
      </c>
      <c r="H229" s="212" t="s">
        <v>1253</v>
      </c>
      <c r="I229" s="211" t="s">
        <v>1254</v>
      </c>
      <c r="J229" s="211">
        <f>430+300+400+100</f>
        <v>1230</v>
      </c>
      <c r="K229" s="13" t="s">
        <v>779</v>
      </c>
      <c r="L229" s="195">
        <v>0.05</v>
      </c>
      <c r="M229" s="193"/>
      <c r="P229" s="227"/>
      <c r="Q229" s="1"/>
    </row>
    <row r="230" spans="2:17" ht="22.15" customHeight="1">
      <c r="B230" s="86" t="s">
        <v>7</v>
      </c>
      <c r="C230" s="13" t="s">
        <v>1250</v>
      </c>
      <c r="D230" s="177" t="s">
        <v>1251</v>
      </c>
      <c r="E230" s="62" t="s">
        <v>45</v>
      </c>
      <c r="F230" s="13" t="s">
        <v>672</v>
      </c>
      <c r="G230" s="211" t="s">
        <v>1252</v>
      </c>
      <c r="H230" s="212" t="s">
        <v>1255</v>
      </c>
      <c r="I230" s="211" t="s">
        <v>1256</v>
      </c>
      <c r="J230" s="211">
        <f>840+550+300+400</f>
        <v>2090</v>
      </c>
      <c r="K230" s="13" t="s">
        <v>779</v>
      </c>
      <c r="L230" s="195">
        <v>0.06</v>
      </c>
      <c r="M230" s="193"/>
      <c r="P230" s="227"/>
      <c r="Q230" s="1"/>
    </row>
    <row r="231" spans="2:17" ht="22.15" customHeight="1">
      <c r="B231" s="86" t="s">
        <v>7</v>
      </c>
      <c r="C231" s="13" t="s">
        <v>1250</v>
      </c>
      <c r="D231" s="177" t="s">
        <v>1251</v>
      </c>
      <c r="E231" s="62" t="s">
        <v>45</v>
      </c>
      <c r="F231" s="13" t="s">
        <v>672</v>
      </c>
      <c r="G231" s="211" t="s">
        <v>1252</v>
      </c>
      <c r="H231" s="212" t="s">
        <v>1257</v>
      </c>
      <c r="I231" s="211" t="s">
        <v>1258</v>
      </c>
      <c r="J231" s="211">
        <v>500</v>
      </c>
      <c r="K231" s="13" t="s">
        <v>779</v>
      </c>
      <c r="L231" s="195">
        <v>0.09</v>
      </c>
      <c r="M231" s="193"/>
      <c r="P231" s="227"/>
      <c r="Q231" s="1"/>
    </row>
    <row r="232" spans="2:17" ht="22.15" customHeight="1">
      <c r="B232" s="86" t="s">
        <v>7</v>
      </c>
      <c r="C232" s="13" t="s">
        <v>1250</v>
      </c>
      <c r="D232" s="177" t="s">
        <v>1251</v>
      </c>
      <c r="E232" s="62" t="s">
        <v>45</v>
      </c>
      <c r="F232" s="13" t="s">
        <v>672</v>
      </c>
      <c r="G232" s="211" t="s">
        <v>1252</v>
      </c>
      <c r="H232" s="212" t="s">
        <v>1253</v>
      </c>
      <c r="I232" s="211" t="s">
        <v>1254</v>
      </c>
      <c r="J232" s="211">
        <v>380</v>
      </c>
      <c r="K232" s="13" t="s">
        <v>779</v>
      </c>
      <c r="L232" s="195">
        <v>0.05</v>
      </c>
      <c r="M232" s="193"/>
      <c r="P232" s="227"/>
      <c r="Q232" s="1"/>
    </row>
    <row r="233" spans="2:17" ht="22.15" customHeight="1">
      <c r="B233" s="86" t="s">
        <v>7</v>
      </c>
      <c r="C233" s="13" t="s">
        <v>1250</v>
      </c>
      <c r="D233" s="177" t="s">
        <v>1251</v>
      </c>
      <c r="E233" s="62" t="s">
        <v>45</v>
      </c>
      <c r="F233" s="13" t="s">
        <v>672</v>
      </c>
      <c r="G233" s="213" t="s">
        <v>259</v>
      </c>
      <c r="H233" s="214" t="s">
        <v>1259</v>
      </c>
      <c r="I233" s="215" t="s">
        <v>1260</v>
      </c>
      <c r="J233" s="213">
        <v>71</v>
      </c>
      <c r="K233" s="131" t="s">
        <v>779</v>
      </c>
      <c r="L233" s="204">
        <v>0.39</v>
      </c>
      <c r="M233" s="193"/>
      <c r="P233" s="227"/>
      <c r="Q233" s="1"/>
    </row>
    <row r="234" spans="2:17" ht="22.15" customHeight="1">
      <c r="B234" s="86" t="s">
        <v>7</v>
      </c>
      <c r="C234" s="13" t="s">
        <v>1250</v>
      </c>
      <c r="D234" s="177" t="s">
        <v>1251</v>
      </c>
      <c r="E234" s="62" t="s">
        <v>45</v>
      </c>
      <c r="F234" s="13" t="s">
        <v>672</v>
      </c>
      <c r="G234" s="211" t="s">
        <v>259</v>
      </c>
      <c r="H234" s="212" t="s">
        <v>1261</v>
      </c>
      <c r="I234" s="211" t="s">
        <v>1256</v>
      </c>
      <c r="J234" s="211">
        <f>540+1250+940</f>
        <v>2730</v>
      </c>
      <c r="K234" s="13" t="s">
        <v>779</v>
      </c>
      <c r="L234" s="195">
        <v>0.06</v>
      </c>
      <c r="M234" s="193"/>
      <c r="P234" s="227"/>
      <c r="Q234" s="1"/>
    </row>
    <row r="235" spans="2:17" ht="22.15" customHeight="1">
      <c r="B235" s="86" t="s">
        <v>7</v>
      </c>
      <c r="C235" s="13" t="s">
        <v>1250</v>
      </c>
      <c r="D235" s="177" t="s">
        <v>1251</v>
      </c>
      <c r="E235" s="62" t="s">
        <v>45</v>
      </c>
      <c r="F235" s="13" t="s">
        <v>672</v>
      </c>
      <c r="G235" s="211" t="s">
        <v>259</v>
      </c>
      <c r="H235" s="212" t="s">
        <v>1262</v>
      </c>
      <c r="I235" s="211" t="s">
        <v>1263</v>
      </c>
      <c r="J235" s="211">
        <v>6</v>
      </c>
      <c r="K235" s="13" t="s">
        <v>779</v>
      </c>
      <c r="L235" s="195">
        <v>0.11</v>
      </c>
      <c r="M235" s="193"/>
      <c r="P235" s="227"/>
      <c r="Q235" s="1"/>
    </row>
    <row r="236" spans="2:17" ht="22.15" customHeight="1">
      <c r="B236" s="86" t="s">
        <v>7</v>
      </c>
      <c r="C236" s="13" t="s">
        <v>1250</v>
      </c>
      <c r="D236" s="177" t="s">
        <v>1251</v>
      </c>
      <c r="E236" s="62" t="s">
        <v>45</v>
      </c>
      <c r="F236" s="13" t="s">
        <v>672</v>
      </c>
      <c r="G236" s="211" t="s">
        <v>259</v>
      </c>
      <c r="H236" s="212" t="s">
        <v>1264</v>
      </c>
      <c r="I236" s="211" t="s">
        <v>1265</v>
      </c>
      <c r="J236" s="211">
        <v>20</v>
      </c>
      <c r="K236" s="13" t="s">
        <v>779</v>
      </c>
      <c r="L236" s="195">
        <v>0.11</v>
      </c>
      <c r="M236" s="193"/>
      <c r="P236" s="227"/>
      <c r="Q236" s="1"/>
    </row>
    <row r="237" spans="2:17" ht="22.15" customHeight="1">
      <c r="B237" s="86" t="s">
        <v>7</v>
      </c>
      <c r="C237" s="13" t="s">
        <v>1250</v>
      </c>
      <c r="D237" s="177" t="s">
        <v>1251</v>
      </c>
      <c r="E237" s="62" t="s">
        <v>45</v>
      </c>
      <c r="F237" s="13" t="s">
        <v>672</v>
      </c>
      <c r="G237" s="211" t="s">
        <v>259</v>
      </c>
      <c r="H237" s="212" t="s">
        <v>1266</v>
      </c>
      <c r="I237" s="211" t="s">
        <v>1267</v>
      </c>
      <c r="J237" s="211">
        <v>2</v>
      </c>
      <c r="K237" s="13" t="s">
        <v>779</v>
      </c>
      <c r="L237" s="195">
        <v>4.2</v>
      </c>
      <c r="M237" s="193"/>
      <c r="P237" s="231"/>
      <c r="Q237" s="1"/>
    </row>
    <row r="238" spans="2:17" ht="22.15" customHeight="1">
      <c r="B238" s="86" t="s">
        <v>7</v>
      </c>
      <c r="C238" s="13" t="s">
        <v>1250</v>
      </c>
      <c r="D238" s="177" t="s">
        <v>1251</v>
      </c>
      <c r="E238" s="62" t="s">
        <v>45</v>
      </c>
      <c r="F238" s="13" t="s">
        <v>672</v>
      </c>
      <c r="G238" s="211" t="s">
        <v>259</v>
      </c>
      <c r="H238" s="212" t="s">
        <v>1268</v>
      </c>
      <c r="I238" s="211" t="s">
        <v>1269</v>
      </c>
      <c r="J238" s="211">
        <v>2</v>
      </c>
      <c r="K238" s="13" t="s">
        <v>779</v>
      </c>
      <c r="L238" s="195">
        <v>0.21</v>
      </c>
      <c r="M238" s="193"/>
      <c r="P238" s="234"/>
      <c r="Q238" s="1"/>
    </row>
    <row r="239" spans="2:17" ht="22.15" customHeight="1">
      <c r="B239" s="86" t="s">
        <v>7</v>
      </c>
      <c r="C239" s="13" t="s">
        <v>1250</v>
      </c>
      <c r="D239" s="177" t="s">
        <v>1251</v>
      </c>
      <c r="E239" s="62" t="s">
        <v>45</v>
      </c>
      <c r="F239" s="13" t="s">
        <v>672</v>
      </c>
      <c r="G239" s="211" t="s">
        <v>259</v>
      </c>
      <c r="H239" s="212" t="s">
        <v>1270</v>
      </c>
      <c r="I239" s="211" t="s">
        <v>1271</v>
      </c>
      <c r="J239" s="211">
        <v>6</v>
      </c>
      <c r="K239" s="13" t="s">
        <v>779</v>
      </c>
      <c r="L239" s="195">
        <v>0.21</v>
      </c>
      <c r="M239" s="193"/>
      <c r="P239" s="234"/>
      <c r="Q239" s="1"/>
    </row>
    <row r="240" spans="2:17" ht="22.15" customHeight="1">
      <c r="B240" s="86" t="s">
        <v>7</v>
      </c>
      <c r="C240" s="13" t="s">
        <v>1250</v>
      </c>
      <c r="D240" s="177" t="s">
        <v>1251</v>
      </c>
      <c r="E240" s="62" t="s">
        <v>45</v>
      </c>
      <c r="F240" s="13" t="s">
        <v>672</v>
      </c>
      <c r="G240" s="211" t="s">
        <v>259</v>
      </c>
      <c r="H240" s="212" t="s">
        <v>1272</v>
      </c>
      <c r="I240" s="211" t="s">
        <v>1273</v>
      </c>
      <c r="J240" s="211">
        <v>3</v>
      </c>
      <c r="K240" s="13" t="s">
        <v>779</v>
      </c>
      <c r="L240" s="195">
        <v>0.31</v>
      </c>
      <c r="M240" s="193"/>
      <c r="P240" s="234"/>
      <c r="Q240" s="1"/>
    </row>
    <row r="241" spans="2:17" ht="22.15" customHeight="1">
      <c r="B241" s="86" t="s">
        <v>7</v>
      </c>
      <c r="C241" s="13" t="s">
        <v>1250</v>
      </c>
      <c r="D241" s="177" t="s">
        <v>1251</v>
      </c>
      <c r="E241" s="62" t="s">
        <v>45</v>
      </c>
      <c r="F241" s="13" t="s">
        <v>672</v>
      </c>
      <c r="G241" s="211" t="s">
        <v>259</v>
      </c>
      <c r="H241" s="212" t="s">
        <v>1274</v>
      </c>
      <c r="I241" s="211" t="s">
        <v>1254</v>
      </c>
      <c r="J241" s="211">
        <f>600+420</f>
        <v>1020</v>
      </c>
      <c r="K241" s="13" t="s">
        <v>779</v>
      </c>
      <c r="L241" s="195">
        <v>0.05</v>
      </c>
      <c r="M241" s="193"/>
      <c r="P241" s="234"/>
      <c r="Q241" s="1"/>
    </row>
    <row r="242" spans="2:17" ht="22.15" customHeight="1">
      <c r="B242" s="86" t="s">
        <v>7</v>
      </c>
      <c r="C242" s="13" t="s">
        <v>1250</v>
      </c>
      <c r="D242" s="177" t="s">
        <v>1251</v>
      </c>
      <c r="E242" s="62" t="s">
        <v>45</v>
      </c>
      <c r="F242" s="13" t="s">
        <v>672</v>
      </c>
      <c r="G242" s="211" t="s">
        <v>259</v>
      </c>
      <c r="H242" s="216" t="s">
        <v>1275</v>
      </c>
      <c r="I242" s="211" t="s">
        <v>1276</v>
      </c>
      <c r="J242" s="211">
        <v>457</v>
      </c>
      <c r="K242" s="13" t="s">
        <v>779</v>
      </c>
      <c r="L242" s="195">
        <v>0.53</v>
      </c>
      <c r="M242" s="193"/>
      <c r="P242" s="228"/>
      <c r="Q242" s="1"/>
    </row>
    <row r="243" spans="2:17" ht="22.15" customHeight="1">
      <c r="B243" s="86" t="s">
        <v>7</v>
      </c>
      <c r="C243" s="13" t="s">
        <v>1250</v>
      </c>
      <c r="D243" s="177" t="s">
        <v>1251</v>
      </c>
      <c r="E243" s="62" t="s">
        <v>45</v>
      </c>
      <c r="F243" s="13" t="s">
        <v>672</v>
      </c>
      <c r="G243" s="211" t="s">
        <v>1277</v>
      </c>
      <c r="H243" s="212" t="s">
        <v>1278</v>
      </c>
      <c r="I243" s="211" t="s">
        <v>1279</v>
      </c>
      <c r="J243" s="211">
        <f>610+320+340</f>
        <v>1270</v>
      </c>
      <c r="K243" s="13" t="s">
        <v>779</v>
      </c>
      <c r="L243" s="195">
        <v>0.17</v>
      </c>
      <c r="M243" s="193"/>
      <c r="P243" s="228"/>
      <c r="Q243" s="1"/>
    </row>
    <row r="244" spans="2:17" ht="22.15" customHeight="1">
      <c r="B244" s="86" t="s">
        <v>7</v>
      </c>
      <c r="C244" s="13" t="s">
        <v>1250</v>
      </c>
      <c r="D244" s="177" t="s">
        <v>1251</v>
      </c>
      <c r="E244" s="62" t="s">
        <v>45</v>
      </c>
      <c r="F244" s="13" t="s">
        <v>672</v>
      </c>
      <c r="G244" s="211" t="s">
        <v>1277</v>
      </c>
      <c r="H244" s="212" t="s">
        <v>1257</v>
      </c>
      <c r="I244" s="211" t="s">
        <v>1258</v>
      </c>
      <c r="J244" s="211">
        <v>770</v>
      </c>
      <c r="K244" s="13" t="s">
        <v>779</v>
      </c>
      <c r="L244" s="195">
        <v>0.09</v>
      </c>
      <c r="M244" s="193"/>
      <c r="P244" s="228"/>
      <c r="Q244" s="1"/>
    </row>
    <row r="245" spans="2:17" ht="22.15" customHeight="1">
      <c r="B245" s="86" t="s">
        <v>7</v>
      </c>
      <c r="C245" s="13" t="s">
        <v>1250</v>
      </c>
      <c r="D245" s="177" t="s">
        <v>1251</v>
      </c>
      <c r="E245" s="62" t="s">
        <v>45</v>
      </c>
      <c r="F245" s="13" t="s">
        <v>672</v>
      </c>
      <c r="G245" s="211" t="s">
        <v>1277</v>
      </c>
      <c r="H245" s="212" t="s">
        <v>1257</v>
      </c>
      <c r="I245" s="211" t="s">
        <v>1258</v>
      </c>
      <c r="J245" s="211">
        <v>1440</v>
      </c>
      <c r="K245" s="13" t="s">
        <v>779</v>
      </c>
      <c r="L245" s="195">
        <v>0.09</v>
      </c>
      <c r="M245" s="193"/>
      <c r="P245" s="228"/>
      <c r="Q245" s="1"/>
    </row>
    <row r="246" spans="2:17" ht="22.15" customHeight="1">
      <c r="B246" s="86" t="s">
        <v>7</v>
      </c>
      <c r="C246" s="13" t="s">
        <v>1250</v>
      </c>
      <c r="D246" s="177" t="s">
        <v>1251</v>
      </c>
      <c r="E246" s="62" t="s">
        <v>45</v>
      </c>
      <c r="F246" s="13" t="s">
        <v>672</v>
      </c>
      <c r="G246" s="211" t="s">
        <v>1277</v>
      </c>
      <c r="H246" s="212" t="s">
        <v>1257</v>
      </c>
      <c r="I246" s="211" t="s">
        <v>1258</v>
      </c>
      <c r="J246" s="211">
        <v>130</v>
      </c>
      <c r="K246" s="13" t="s">
        <v>779</v>
      </c>
      <c r="L246" s="195">
        <v>0.09</v>
      </c>
      <c r="M246" s="193"/>
      <c r="P246" s="228"/>
      <c r="Q246" s="1"/>
    </row>
    <row r="247" spans="2:17" ht="22.15" customHeight="1">
      <c r="B247" s="86" t="s">
        <v>7</v>
      </c>
      <c r="C247" s="13" t="s">
        <v>1250</v>
      </c>
      <c r="D247" s="177" t="s">
        <v>1251</v>
      </c>
      <c r="E247" s="62" t="s">
        <v>45</v>
      </c>
      <c r="F247" s="13" t="s">
        <v>672</v>
      </c>
      <c r="G247" s="211" t="s">
        <v>1277</v>
      </c>
      <c r="H247" s="212" t="s">
        <v>1257</v>
      </c>
      <c r="I247" s="211" t="s">
        <v>1258</v>
      </c>
      <c r="J247" s="211">
        <v>800</v>
      </c>
      <c r="K247" s="13" t="s">
        <v>779</v>
      </c>
      <c r="L247" s="195">
        <v>0.09</v>
      </c>
      <c r="M247" s="193"/>
      <c r="P247" s="228"/>
      <c r="Q247" s="1"/>
    </row>
    <row r="248" spans="2:17" ht="22.15" customHeight="1">
      <c r="B248" s="86" t="s">
        <v>7</v>
      </c>
      <c r="C248" s="13" t="s">
        <v>1250</v>
      </c>
      <c r="D248" s="177" t="s">
        <v>1251</v>
      </c>
      <c r="E248" s="62" t="s">
        <v>45</v>
      </c>
      <c r="F248" s="13" t="s">
        <v>672</v>
      </c>
      <c r="G248" s="211" t="s">
        <v>242</v>
      </c>
      <c r="H248" s="212" t="s">
        <v>1280</v>
      </c>
      <c r="I248" s="211" t="s">
        <v>1276</v>
      </c>
      <c r="J248" s="211">
        <v>59</v>
      </c>
      <c r="K248" s="13" t="s">
        <v>779</v>
      </c>
      <c r="L248" s="195">
        <v>0.61</v>
      </c>
      <c r="M248" s="193"/>
      <c r="P248" s="228"/>
      <c r="Q248" s="1"/>
    </row>
    <row r="249" spans="2:17" ht="22.15" customHeight="1">
      <c r="B249" s="86" t="s">
        <v>7</v>
      </c>
      <c r="C249" s="13" t="s">
        <v>1250</v>
      </c>
      <c r="D249" s="177" t="s">
        <v>80</v>
      </c>
      <c r="E249" s="62" t="s">
        <v>45</v>
      </c>
      <c r="F249" s="129" t="s">
        <v>1281</v>
      </c>
      <c r="G249" s="188" t="s">
        <v>195</v>
      </c>
      <c r="H249" s="217" t="s">
        <v>1282</v>
      </c>
      <c r="I249" s="125" t="s">
        <v>1283</v>
      </c>
      <c r="J249" s="125">
        <v>1</v>
      </c>
      <c r="K249" s="100" t="s">
        <v>779</v>
      </c>
      <c r="L249" s="190" t="s">
        <v>80</v>
      </c>
      <c r="M249" s="193"/>
      <c r="P249" s="228"/>
      <c r="Q249" s="1"/>
    </row>
    <row r="250" spans="2:17" ht="22.15" customHeight="1">
      <c r="B250" s="86" t="s">
        <v>7</v>
      </c>
      <c r="C250" s="13" t="s">
        <v>1250</v>
      </c>
      <c r="D250" s="177" t="s">
        <v>80</v>
      </c>
      <c r="E250" s="62" t="s">
        <v>45</v>
      </c>
      <c r="F250" s="129" t="s">
        <v>1281</v>
      </c>
      <c r="G250" s="188" t="s">
        <v>195</v>
      </c>
      <c r="H250" s="217" t="s">
        <v>1284</v>
      </c>
      <c r="I250" s="125" t="s">
        <v>1285</v>
      </c>
      <c r="J250" s="125">
        <v>1</v>
      </c>
      <c r="K250" s="100" t="s">
        <v>779</v>
      </c>
      <c r="L250" s="190" t="s">
        <v>80</v>
      </c>
      <c r="M250" s="193"/>
      <c r="P250" s="228"/>
      <c r="Q250" s="1"/>
    </row>
    <row r="251" spans="2:17" ht="22.15" customHeight="1">
      <c r="B251" s="86" t="s">
        <v>7</v>
      </c>
      <c r="C251" s="13" t="s">
        <v>1250</v>
      </c>
      <c r="D251" s="177" t="s">
        <v>80</v>
      </c>
      <c r="E251" s="62" t="s">
        <v>45</v>
      </c>
      <c r="F251" s="129" t="s">
        <v>1281</v>
      </c>
      <c r="G251" s="188" t="s">
        <v>195</v>
      </c>
      <c r="H251" s="217" t="s">
        <v>1286</v>
      </c>
      <c r="I251" s="125" t="s">
        <v>1287</v>
      </c>
      <c r="J251" s="125">
        <v>1</v>
      </c>
      <c r="K251" s="100" t="s">
        <v>779</v>
      </c>
      <c r="L251" s="190" t="s">
        <v>80</v>
      </c>
      <c r="M251" s="193"/>
      <c r="P251" s="228"/>
      <c r="Q251" s="1"/>
    </row>
    <row r="252" spans="2:17" ht="22.15" customHeight="1">
      <c r="B252" s="86" t="s">
        <v>7</v>
      </c>
      <c r="C252" s="13" t="s">
        <v>1250</v>
      </c>
      <c r="D252" s="177" t="s">
        <v>80</v>
      </c>
      <c r="E252" s="62" t="s">
        <v>45</v>
      </c>
      <c r="F252" s="129" t="s">
        <v>1281</v>
      </c>
      <c r="G252" s="188" t="s">
        <v>195</v>
      </c>
      <c r="H252" s="217" t="s">
        <v>1288</v>
      </c>
      <c r="I252" s="125" t="s">
        <v>1289</v>
      </c>
      <c r="J252" s="125">
        <v>1</v>
      </c>
      <c r="K252" s="100" t="s">
        <v>779</v>
      </c>
      <c r="L252" s="190" t="s">
        <v>80</v>
      </c>
      <c r="M252" s="193"/>
      <c r="P252" s="228"/>
      <c r="Q252" s="1"/>
    </row>
    <row r="253" spans="2:17" ht="22.15" customHeight="1">
      <c r="B253" s="86" t="s">
        <v>7</v>
      </c>
      <c r="C253" s="13" t="s">
        <v>1250</v>
      </c>
      <c r="D253" s="177" t="s">
        <v>80</v>
      </c>
      <c r="E253" s="62" t="s">
        <v>45</v>
      </c>
      <c r="F253" s="129" t="s">
        <v>1281</v>
      </c>
      <c r="G253" s="188" t="s">
        <v>195</v>
      </c>
      <c r="H253" s="217" t="s">
        <v>1282</v>
      </c>
      <c r="I253" s="125" t="s">
        <v>1283</v>
      </c>
      <c r="J253" s="125">
        <v>1</v>
      </c>
      <c r="K253" s="100" t="s">
        <v>779</v>
      </c>
      <c r="L253" s="190" t="s">
        <v>80</v>
      </c>
      <c r="M253" s="193"/>
      <c r="P253" s="228"/>
      <c r="Q253" s="1"/>
    </row>
    <row r="254" spans="2:17" ht="22.15" customHeight="1">
      <c r="B254" s="86" t="s">
        <v>7</v>
      </c>
      <c r="C254" s="13" t="s">
        <v>1250</v>
      </c>
      <c r="D254" s="177" t="s">
        <v>80</v>
      </c>
      <c r="E254" s="62" t="s">
        <v>45</v>
      </c>
      <c r="F254" s="129" t="s">
        <v>1281</v>
      </c>
      <c r="G254" s="188" t="s">
        <v>195</v>
      </c>
      <c r="H254" s="217" t="s">
        <v>1290</v>
      </c>
      <c r="I254" s="125" t="s">
        <v>1285</v>
      </c>
      <c r="J254" s="125">
        <v>1</v>
      </c>
      <c r="K254" s="100" t="s">
        <v>779</v>
      </c>
      <c r="L254" s="190" t="s">
        <v>80</v>
      </c>
      <c r="M254" s="193"/>
      <c r="P254" s="228"/>
      <c r="Q254" s="1"/>
    </row>
    <row r="255" spans="2:17" ht="22.15" customHeight="1">
      <c r="B255" s="86" t="s">
        <v>7</v>
      </c>
      <c r="C255" s="13" t="s">
        <v>1250</v>
      </c>
      <c r="D255" s="177" t="s">
        <v>80</v>
      </c>
      <c r="E255" s="62" t="s">
        <v>45</v>
      </c>
      <c r="F255" s="129" t="s">
        <v>1281</v>
      </c>
      <c r="G255" s="129" t="s">
        <v>192</v>
      </c>
      <c r="H255" s="197" t="s">
        <v>1291</v>
      </c>
      <c r="I255" s="125" t="s">
        <v>1287</v>
      </c>
      <c r="J255" s="125">
        <v>1</v>
      </c>
      <c r="K255" s="100" t="s">
        <v>779</v>
      </c>
      <c r="L255" s="190" t="s">
        <v>80</v>
      </c>
      <c r="M255" s="193"/>
      <c r="P255" s="228"/>
      <c r="Q255" s="1"/>
    </row>
    <row r="256" spans="2:17" ht="22.15" customHeight="1">
      <c r="B256" s="86" t="s">
        <v>7</v>
      </c>
      <c r="C256" s="13" t="s">
        <v>1250</v>
      </c>
      <c r="D256" s="177" t="s">
        <v>80</v>
      </c>
      <c r="E256" s="62" t="s">
        <v>45</v>
      </c>
      <c r="F256" s="129" t="s">
        <v>1281</v>
      </c>
      <c r="G256" s="129" t="s">
        <v>192</v>
      </c>
      <c r="H256" s="217" t="s">
        <v>1292</v>
      </c>
      <c r="I256" s="125" t="s">
        <v>1289</v>
      </c>
      <c r="J256" s="125">
        <v>2</v>
      </c>
      <c r="K256" s="100" t="s">
        <v>779</v>
      </c>
      <c r="L256" s="190" t="s">
        <v>80</v>
      </c>
      <c r="M256" s="193"/>
      <c r="P256" s="228"/>
      <c r="Q256" s="1"/>
    </row>
    <row r="257" spans="2:17" ht="22.15" customHeight="1">
      <c r="B257" s="86" t="s">
        <v>7</v>
      </c>
      <c r="C257" s="13" t="s">
        <v>1250</v>
      </c>
      <c r="D257" s="177" t="s">
        <v>80</v>
      </c>
      <c r="E257" s="62" t="s">
        <v>45</v>
      </c>
      <c r="F257" s="129" t="s">
        <v>1281</v>
      </c>
      <c r="G257" s="129" t="s">
        <v>192</v>
      </c>
      <c r="H257" s="217" t="s">
        <v>1293</v>
      </c>
      <c r="I257" s="125" t="s">
        <v>1294</v>
      </c>
      <c r="J257" s="125">
        <v>4</v>
      </c>
      <c r="K257" s="100" t="s">
        <v>779</v>
      </c>
      <c r="L257" s="190" t="s">
        <v>80</v>
      </c>
      <c r="M257" s="193"/>
      <c r="P257" s="228"/>
      <c r="Q257" s="1"/>
    </row>
    <row r="258" spans="2:17" ht="22.15" customHeight="1">
      <c r="B258" s="86" t="s">
        <v>7</v>
      </c>
      <c r="C258" s="13" t="s">
        <v>1250</v>
      </c>
      <c r="D258" s="177" t="s">
        <v>80</v>
      </c>
      <c r="E258" s="62" t="s">
        <v>45</v>
      </c>
      <c r="F258" s="129" t="s">
        <v>1281</v>
      </c>
      <c r="G258" s="129" t="s">
        <v>192</v>
      </c>
      <c r="H258" s="197" t="s">
        <v>80</v>
      </c>
      <c r="I258" s="125" t="s">
        <v>1295</v>
      </c>
      <c r="J258" s="125">
        <v>1</v>
      </c>
      <c r="K258" s="100" t="s">
        <v>779</v>
      </c>
      <c r="L258" s="190" t="s">
        <v>80</v>
      </c>
      <c r="M258" s="193"/>
      <c r="P258" s="228"/>
      <c r="Q258" s="1"/>
    </row>
    <row r="259" spans="2:17" ht="22.15" customHeight="1">
      <c r="B259" s="86" t="s">
        <v>7</v>
      </c>
      <c r="C259" s="13" t="s">
        <v>1250</v>
      </c>
      <c r="D259" s="177" t="s">
        <v>80</v>
      </c>
      <c r="E259" s="62" t="s">
        <v>45</v>
      </c>
      <c r="F259" s="129" t="s">
        <v>1281</v>
      </c>
      <c r="G259" s="129" t="s">
        <v>192</v>
      </c>
      <c r="H259" s="217" t="s">
        <v>1296</v>
      </c>
      <c r="I259" s="125" t="s">
        <v>1297</v>
      </c>
      <c r="J259" s="125">
        <v>2</v>
      </c>
      <c r="K259" s="100" t="s">
        <v>779</v>
      </c>
      <c r="L259" s="190" t="s">
        <v>80</v>
      </c>
      <c r="M259" s="193"/>
      <c r="P259" s="228"/>
      <c r="Q259" s="1"/>
    </row>
    <row r="260" spans="2:17" ht="22.15" customHeight="1">
      <c r="B260" s="86" t="s">
        <v>7</v>
      </c>
      <c r="C260" s="13" t="s">
        <v>1250</v>
      </c>
      <c r="D260" s="177" t="s">
        <v>80</v>
      </c>
      <c r="E260" s="62" t="s">
        <v>45</v>
      </c>
      <c r="F260" s="129" t="s">
        <v>1281</v>
      </c>
      <c r="G260" s="129" t="s">
        <v>192</v>
      </c>
      <c r="H260" s="217" t="s">
        <v>1298</v>
      </c>
      <c r="I260" s="125" t="s">
        <v>1299</v>
      </c>
      <c r="J260" s="125">
        <v>2</v>
      </c>
      <c r="K260" s="100" t="s">
        <v>779</v>
      </c>
      <c r="L260" s="190" t="s">
        <v>80</v>
      </c>
      <c r="M260" s="193"/>
      <c r="P260" s="228"/>
      <c r="Q260" s="1"/>
    </row>
    <row r="261" spans="2:17" ht="22.15" customHeight="1">
      <c r="B261" s="86" t="s">
        <v>7</v>
      </c>
      <c r="C261" s="13" t="s">
        <v>1250</v>
      </c>
      <c r="D261" s="177" t="s">
        <v>80</v>
      </c>
      <c r="E261" s="62" t="s">
        <v>45</v>
      </c>
      <c r="F261" s="129" t="s">
        <v>1281</v>
      </c>
      <c r="G261" s="129" t="s">
        <v>192</v>
      </c>
      <c r="H261" s="217" t="s">
        <v>1300</v>
      </c>
      <c r="I261" s="125" t="s">
        <v>1301</v>
      </c>
      <c r="J261" s="125">
        <v>5</v>
      </c>
      <c r="K261" s="100" t="s">
        <v>779</v>
      </c>
      <c r="L261" s="190" t="s">
        <v>80</v>
      </c>
      <c r="M261" s="193"/>
      <c r="P261" s="228"/>
      <c r="Q261" s="1"/>
    </row>
    <row r="262" spans="2:17" ht="22.15" customHeight="1">
      <c r="B262" s="86" t="s">
        <v>7</v>
      </c>
      <c r="C262" s="13" t="s">
        <v>1250</v>
      </c>
      <c r="D262" s="177" t="s">
        <v>80</v>
      </c>
      <c r="E262" s="62" t="s">
        <v>45</v>
      </c>
      <c r="F262" s="129" t="s">
        <v>1281</v>
      </c>
      <c r="G262" s="129" t="s">
        <v>192</v>
      </c>
      <c r="H262" s="197" t="s">
        <v>1302</v>
      </c>
      <c r="I262" s="125" t="s">
        <v>1303</v>
      </c>
      <c r="J262" s="125">
        <v>2</v>
      </c>
      <c r="K262" s="100" t="s">
        <v>779</v>
      </c>
      <c r="L262" s="190" t="s">
        <v>80</v>
      </c>
      <c r="M262" s="193"/>
      <c r="P262" s="228"/>
      <c r="Q262" s="1"/>
    </row>
    <row r="263" spans="2:17" ht="22.15" customHeight="1">
      <c r="B263" s="86" t="s">
        <v>7</v>
      </c>
      <c r="C263" s="13" t="s">
        <v>1250</v>
      </c>
      <c r="D263" s="177" t="s">
        <v>80</v>
      </c>
      <c r="E263" s="62" t="s">
        <v>45</v>
      </c>
      <c r="F263" s="129" t="s">
        <v>1281</v>
      </c>
      <c r="G263" s="129" t="s">
        <v>192</v>
      </c>
      <c r="H263" s="197" t="s">
        <v>1304</v>
      </c>
      <c r="I263" s="125" t="s">
        <v>1305</v>
      </c>
      <c r="J263" s="125">
        <v>3</v>
      </c>
      <c r="K263" s="100" t="s">
        <v>779</v>
      </c>
      <c r="L263" s="190" t="s">
        <v>80</v>
      </c>
      <c r="M263" s="193"/>
      <c r="P263" s="228"/>
      <c r="Q263" s="1"/>
    </row>
    <row r="264" spans="2:17" ht="22.15" customHeight="1">
      <c r="B264" s="86" t="s">
        <v>7</v>
      </c>
      <c r="C264" s="13" t="s">
        <v>1250</v>
      </c>
      <c r="D264" s="177" t="s">
        <v>80</v>
      </c>
      <c r="E264" s="62" t="s">
        <v>45</v>
      </c>
      <c r="F264" s="129" t="s">
        <v>1281</v>
      </c>
      <c r="G264" s="129" t="s">
        <v>192</v>
      </c>
      <c r="H264" s="217" t="s">
        <v>1306</v>
      </c>
      <c r="I264" s="125" t="s">
        <v>1307</v>
      </c>
      <c r="J264" s="125">
        <v>2</v>
      </c>
      <c r="K264" s="100" t="s">
        <v>779</v>
      </c>
      <c r="L264" s="190" t="s">
        <v>80</v>
      </c>
      <c r="M264" s="193"/>
      <c r="P264" s="228"/>
      <c r="Q264" s="1"/>
    </row>
    <row r="265" spans="2:17" ht="22.15" customHeight="1">
      <c r="B265" s="86" t="s">
        <v>7</v>
      </c>
      <c r="C265" s="13" t="s">
        <v>1250</v>
      </c>
      <c r="D265" s="177" t="s">
        <v>80</v>
      </c>
      <c r="E265" s="62" t="s">
        <v>45</v>
      </c>
      <c r="F265" s="129" t="s">
        <v>1281</v>
      </c>
      <c r="G265" s="129" t="s">
        <v>192</v>
      </c>
      <c r="H265" s="217" t="s">
        <v>1308</v>
      </c>
      <c r="I265" s="125" t="s">
        <v>1309</v>
      </c>
      <c r="J265" s="125">
        <v>6</v>
      </c>
      <c r="K265" s="100" t="s">
        <v>779</v>
      </c>
      <c r="L265" s="190" t="s">
        <v>80</v>
      </c>
      <c r="M265" s="193"/>
      <c r="P265" s="228"/>
      <c r="Q265" s="1"/>
    </row>
    <row r="266" spans="2:17" ht="22.15" customHeight="1">
      <c r="B266" s="86" t="s">
        <v>7</v>
      </c>
      <c r="C266" s="13" t="s">
        <v>1250</v>
      </c>
      <c r="D266" s="177" t="s">
        <v>80</v>
      </c>
      <c r="E266" s="62" t="s">
        <v>45</v>
      </c>
      <c r="F266" s="129" t="s">
        <v>1281</v>
      </c>
      <c r="G266" s="129" t="s">
        <v>192</v>
      </c>
      <c r="H266" s="197" t="s">
        <v>80</v>
      </c>
      <c r="I266" s="125" t="s">
        <v>1310</v>
      </c>
      <c r="J266" s="125">
        <v>1</v>
      </c>
      <c r="K266" s="100" t="s">
        <v>779</v>
      </c>
      <c r="L266" s="190" t="s">
        <v>80</v>
      </c>
      <c r="M266" s="193"/>
      <c r="P266" s="228"/>
      <c r="Q266" s="1"/>
    </row>
    <row r="267" spans="2:17" ht="22.15" customHeight="1">
      <c r="B267" s="86" t="s">
        <v>7</v>
      </c>
      <c r="C267" s="13" t="s">
        <v>1250</v>
      </c>
      <c r="D267" s="177" t="s">
        <v>80</v>
      </c>
      <c r="E267" s="62" t="s">
        <v>45</v>
      </c>
      <c r="F267" s="129" t="s">
        <v>1281</v>
      </c>
      <c r="G267" s="129" t="s">
        <v>192</v>
      </c>
      <c r="H267" s="217" t="s">
        <v>1311</v>
      </c>
      <c r="I267" s="125" t="s">
        <v>1312</v>
      </c>
      <c r="J267" s="125">
        <v>8</v>
      </c>
      <c r="K267" s="100" t="s">
        <v>779</v>
      </c>
      <c r="L267" s="190" t="s">
        <v>80</v>
      </c>
      <c r="M267" s="193" t="s">
        <v>1313</v>
      </c>
      <c r="P267" s="228"/>
      <c r="Q267" s="1"/>
    </row>
    <row r="268" spans="2:17" ht="22.15" customHeight="1">
      <c r="B268" s="86" t="s">
        <v>7</v>
      </c>
      <c r="C268" s="13" t="s">
        <v>1250</v>
      </c>
      <c r="D268" s="177" t="s">
        <v>80</v>
      </c>
      <c r="E268" s="62" t="s">
        <v>45</v>
      </c>
      <c r="F268" s="129" t="s">
        <v>1281</v>
      </c>
      <c r="G268" s="129" t="s">
        <v>192</v>
      </c>
      <c r="H268" s="197" t="s">
        <v>80</v>
      </c>
      <c r="I268" s="125" t="s">
        <v>1314</v>
      </c>
      <c r="J268" s="125">
        <v>1</v>
      </c>
      <c r="K268" s="100" t="s">
        <v>779</v>
      </c>
      <c r="L268" s="190" t="s">
        <v>80</v>
      </c>
      <c r="M268" s="193"/>
      <c r="P268" s="228"/>
      <c r="Q268" s="1"/>
    </row>
    <row r="269" spans="2:17" ht="22.15" customHeight="1">
      <c r="B269" s="86" t="s">
        <v>7</v>
      </c>
      <c r="C269" s="13" t="s">
        <v>1250</v>
      </c>
      <c r="D269" s="177" t="s">
        <v>80</v>
      </c>
      <c r="E269" s="62" t="s">
        <v>45</v>
      </c>
      <c r="F269" s="129" t="s">
        <v>1281</v>
      </c>
      <c r="G269" s="129" t="s">
        <v>192</v>
      </c>
      <c r="H269" s="217" t="s">
        <v>1315</v>
      </c>
      <c r="I269" s="125" t="s">
        <v>1316</v>
      </c>
      <c r="J269" s="125">
        <v>1</v>
      </c>
      <c r="K269" s="100" t="s">
        <v>779</v>
      </c>
      <c r="L269" s="190" t="s">
        <v>80</v>
      </c>
      <c r="M269" s="193"/>
      <c r="P269" s="228"/>
      <c r="Q269" s="1"/>
    </row>
    <row r="270" spans="2:17" ht="22.15" customHeight="1">
      <c r="B270" s="86" t="s">
        <v>7</v>
      </c>
      <c r="C270" s="13" t="s">
        <v>1250</v>
      </c>
      <c r="D270" s="177" t="s">
        <v>80</v>
      </c>
      <c r="E270" s="62" t="s">
        <v>45</v>
      </c>
      <c r="F270" s="129" t="s">
        <v>1281</v>
      </c>
      <c r="G270" s="129" t="s">
        <v>192</v>
      </c>
      <c r="H270" s="217" t="s">
        <v>1317</v>
      </c>
      <c r="I270" s="125" t="s">
        <v>1318</v>
      </c>
      <c r="J270" s="125">
        <v>1</v>
      </c>
      <c r="K270" s="100" t="s">
        <v>779</v>
      </c>
      <c r="L270" s="190" t="s">
        <v>80</v>
      </c>
      <c r="M270" s="193"/>
      <c r="Q270" s="1"/>
    </row>
    <row r="271" spans="2:17" ht="22.15" customHeight="1">
      <c r="B271" s="86" t="s">
        <v>7</v>
      </c>
      <c r="C271" s="13" t="s">
        <v>1250</v>
      </c>
      <c r="D271" s="177" t="s">
        <v>80</v>
      </c>
      <c r="E271" s="62" t="s">
        <v>45</v>
      </c>
      <c r="F271" s="129" t="s">
        <v>1281</v>
      </c>
      <c r="G271" s="129" t="s">
        <v>192</v>
      </c>
      <c r="H271" s="217" t="s">
        <v>1319</v>
      </c>
      <c r="I271" s="125" t="s">
        <v>1316</v>
      </c>
      <c r="J271" s="125">
        <v>2</v>
      </c>
      <c r="K271" s="100" t="s">
        <v>779</v>
      </c>
      <c r="L271" s="190" t="s">
        <v>80</v>
      </c>
      <c r="M271" s="193"/>
      <c r="Q271" s="1"/>
    </row>
    <row r="272" spans="2:17" ht="22.15" customHeight="1">
      <c r="B272" s="86" t="s">
        <v>7</v>
      </c>
      <c r="C272" s="13" t="s">
        <v>1250</v>
      </c>
      <c r="D272" s="177" t="s">
        <v>80</v>
      </c>
      <c r="E272" s="62" t="s">
        <v>45</v>
      </c>
      <c r="F272" s="129" t="s">
        <v>1281</v>
      </c>
      <c r="G272" s="129" t="s">
        <v>192</v>
      </c>
      <c r="H272" s="217" t="s">
        <v>1320</v>
      </c>
      <c r="I272" s="125" t="s">
        <v>1321</v>
      </c>
      <c r="J272" s="125">
        <v>2</v>
      </c>
      <c r="K272" s="100" t="s">
        <v>779</v>
      </c>
      <c r="L272" s="190" t="s">
        <v>80</v>
      </c>
      <c r="M272" s="193"/>
      <c r="Q272" s="1"/>
    </row>
    <row r="273" spans="2:17" ht="22.15" customHeight="1">
      <c r="B273" s="86" t="s">
        <v>7</v>
      </c>
      <c r="C273" s="13" t="s">
        <v>1250</v>
      </c>
      <c r="D273" s="177" t="s">
        <v>80</v>
      </c>
      <c r="E273" s="62" t="s">
        <v>45</v>
      </c>
      <c r="F273" s="129" t="s">
        <v>1281</v>
      </c>
      <c r="G273" s="129" t="s">
        <v>192</v>
      </c>
      <c r="H273" s="217" t="s">
        <v>1322</v>
      </c>
      <c r="I273" s="125" t="s">
        <v>1314</v>
      </c>
      <c r="J273" s="125">
        <v>1</v>
      </c>
      <c r="K273" s="100" t="s">
        <v>779</v>
      </c>
      <c r="L273" s="190" t="s">
        <v>80</v>
      </c>
      <c r="M273" s="193"/>
      <c r="Q273" s="1"/>
    </row>
    <row r="274" spans="2:17" ht="22.15" customHeight="1">
      <c r="B274" s="86" t="s">
        <v>7</v>
      </c>
      <c r="C274" s="13" t="s">
        <v>1250</v>
      </c>
      <c r="D274" s="177" t="s">
        <v>80</v>
      </c>
      <c r="E274" s="62" t="s">
        <v>45</v>
      </c>
      <c r="F274" s="129" t="s">
        <v>1281</v>
      </c>
      <c r="G274" s="129" t="s">
        <v>192</v>
      </c>
      <c r="H274" s="217" t="s">
        <v>1323</v>
      </c>
      <c r="I274" s="125" t="s">
        <v>1318</v>
      </c>
      <c r="J274" s="125">
        <v>1</v>
      </c>
      <c r="K274" s="100" t="s">
        <v>779</v>
      </c>
      <c r="L274" s="190" t="s">
        <v>80</v>
      </c>
      <c r="M274" s="193"/>
      <c r="Q274" s="1"/>
    </row>
    <row r="275" spans="2:17" ht="22.15" customHeight="1">
      <c r="B275" s="86" t="s">
        <v>7</v>
      </c>
      <c r="C275" s="13" t="s">
        <v>1250</v>
      </c>
      <c r="D275" s="177" t="s">
        <v>80</v>
      </c>
      <c r="E275" s="62" t="s">
        <v>45</v>
      </c>
      <c r="F275" s="125" t="s">
        <v>566</v>
      </c>
      <c r="G275" s="188" t="s">
        <v>195</v>
      </c>
      <c r="H275" s="217" t="s">
        <v>1324</v>
      </c>
      <c r="I275" s="125" t="s">
        <v>1325</v>
      </c>
      <c r="J275" s="125">
        <v>2</v>
      </c>
      <c r="K275" s="100" t="s">
        <v>779</v>
      </c>
      <c r="L275" s="190" t="s">
        <v>80</v>
      </c>
      <c r="M275" s="193"/>
      <c r="Q275" s="1"/>
    </row>
    <row r="276" spans="2:17" ht="22.15" customHeight="1">
      <c r="B276" s="86" t="s">
        <v>7</v>
      </c>
      <c r="C276" s="13" t="s">
        <v>1250</v>
      </c>
      <c r="D276" s="177" t="s">
        <v>80</v>
      </c>
      <c r="E276" s="62" t="s">
        <v>45</v>
      </c>
      <c r="F276" s="129" t="s">
        <v>1281</v>
      </c>
      <c r="G276" s="129" t="s">
        <v>192</v>
      </c>
      <c r="H276" s="197" t="s">
        <v>80</v>
      </c>
      <c r="I276" s="125" t="s">
        <v>1326</v>
      </c>
      <c r="J276" s="125">
        <v>1</v>
      </c>
      <c r="K276" s="100" t="s">
        <v>779</v>
      </c>
      <c r="L276" s="190" t="s">
        <v>80</v>
      </c>
      <c r="M276" s="193"/>
      <c r="Q276" s="1"/>
    </row>
    <row r="277" spans="2:17" ht="22.15" customHeight="1">
      <c r="B277" s="86" t="s">
        <v>7</v>
      </c>
      <c r="C277" s="13" t="s">
        <v>1250</v>
      </c>
      <c r="D277" s="177" t="s">
        <v>80</v>
      </c>
      <c r="E277" s="62" t="s">
        <v>45</v>
      </c>
      <c r="F277" s="129" t="s">
        <v>1281</v>
      </c>
      <c r="G277" s="129" t="s">
        <v>192</v>
      </c>
      <c r="H277" s="217" t="s">
        <v>1327</v>
      </c>
      <c r="I277" s="125" t="s">
        <v>1328</v>
      </c>
      <c r="J277" s="125">
        <v>5</v>
      </c>
      <c r="K277" s="100" t="s">
        <v>779</v>
      </c>
      <c r="L277" s="190" t="s">
        <v>80</v>
      </c>
      <c r="M277" s="193"/>
      <c r="Q277" s="1"/>
    </row>
    <row r="278" spans="2:17" ht="22.15" customHeight="1">
      <c r="B278" s="86" t="s">
        <v>7</v>
      </c>
      <c r="C278" s="13" t="s">
        <v>1250</v>
      </c>
      <c r="D278" s="177" t="s">
        <v>80</v>
      </c>
      <c r="E278" s="62" t="s">
        <v>45</v>
      </c>
      <c r="F278" s="129" t="s">
        <v>1281</v>
      </c>
      <c r="G278" s="129" t="s">
        <v>195</v>
      </c>
      <c r="H278" s="197" t="s">
        <v>80</v>
      </c>
      <c r="I278" s="125" t="s">
        <v>1329</v>
      </c>
      <c r="J278" s="125">
        <v>8</v>
      </c>
      <c r="K278" s="100" t="s">
        <v>779</v>
      </c>
      <c r="L278" s="190" t="s">
        <v>80</v>
      </c>
      <c r="M278" s="193"/>
      <c r="Q278" s="1"/>
    </row>
    <row r="279" spans="2:17" ht="22.15" customHeight="1">
      <c r="B279" s="86" t="s">
        <v>59</v>
      </c>
      <c r="C279" s="13" t="s">
        <v>1250</v>
      </c>
      <c r="D279" s="177" t="s">
        <v>80</v>
      </c>
      <c r="E279" s="62" t="s">
        <v>45</v>
      </c>
      <c r="F279" s="13" t="s">
        <v>672</v>
      </c>
      <c r="G279" s="128" t="s">
        <v>1015</v>
      </c>
      <c r="H279" s="208" t="s">
        <v>64</v>
      </c>
      <c r="I279" s="128" t="s">
        <v>738</v>
      </c>
      <c r="J279" s="128">
        <v>600</v>
      </c>
      <c r="K279" s="13" t="s">
        <v>779</v>
      </c>
      <c r="L279" s="195">
        <v>0.86</v>
      </c>
      <c r="M279" s="193"/>
      <c r="Q279" s="1"/>
    </row>
    <row r="280" spans="2:17" ht="22.15" customHeight="1">
      <c r="B280" s="86" t="s">
        <v>53</v>
      </c>
      <c r="C280" s="13" t="s">
        <v>1250</v>
      </c>
      <c r="D280" s="177" t="s">
        <v>80</v>
      </c>
      <c r="E280" s="211" t="s">
        <v>84</v>
      </c>
      <c r="F280" s="177" t="s">
        <v>558</v>
      </c>
      <c r="G280" s="128" t="s">
        <v>840</v>
      </c>
      <c r="H280" s="208" t="s">
        <v>64</v>
      </c>
      <c r="I280" s="128" t="s">
        <v>738</v>
      </c>
      <c r="J280" s="128">
        <v>320</v>
      </c>
      <c r="K280" s="13" t="s">
        <v>779</v>
      </c>
      <c r="L280" s="195">
        <v>5.46</v>
      </c>
      <c r="M280" s="193"/>
      <c r="Q280" s="1"/>
    </row>
    <row r="281" spans="2:17" ht="22.15" customHeight="1">
      <c r="B281" s="86" t="s">
        <v>53</v>
      </c>
      <c r="C281" s="13" t="s">
        <v>1250</v>
      </c>
      <c r="D281" s="177" t="s">
        <v>80</v>
      </c>
      <c r="E281" s="211" t="s">
        <v>84</v>
      </c>
      <c r="F281" s="177" t="s">
        <v>558</v>
      </c>
      <c r="G281" s="128" t="s">
        <v>106</v>
      </c>
      <c r="H281" s="201" t="s">
        <v>846</v>
      </c>
      <c r="I281" s="128" t="s">
        <v>989</v>
      </c>
      <c r="J281" s="128">
        <v>160</v>
      </c>
      <c r="K281" s="13" t="s">
        <v>779</v>
      </c>
      <c r="L281" s="195">
        <v>8.23</v>
      </c>
      <c r="M281" s="193"/>
      <c r="Q281" s="1"/>
    </row>
    <row r="282" spans="2:17" ht="22.15" customHeight="1">
      <c r="B282" s="86" t="s">
        <v>53</v>
      </c>
      <c r="C282" s="13" t="s">
        <v>1250</v>
      </c>
      <c r="D282" s="177" t="s">
        <v>80</v>
      </c>
      <c r="E282" s="211" t="s">
        <v>84</v>
      </c>
      <c r="F282" s="177" t="s">
        <v>558</v>
      </c>
      <c r="G282" s="128" t="s">
        <v>106</v>
      </c>
      <c r="H282" s="201" t="s">
        <v>846</v>
      </c>
      <c r="I282" s="128" t="s">
        <v>989</v>
      </c>
      <c r="J282" s="128">
        <v>160</v>
      </c>
      <c r="K282" s="13" t="s">
        <v>779</v>
      </c>
      <c r="L282" s="195">
        <v>8.23</v>
      </c>
      <c r="M282" s="193"/>
      <c r="Q282" s="1"/>
    </row>
    <row r="283" spans="2:17" ht="22.15" customHeight="1">
      <c r="B283" s="86" t="s">
        <v>59</v>
      </c>
      <c r="C283" s="13" t="s">
        <v>1250</v>
      </c>
      <c r="D283" s="177" t="s">
        <v>80</v>
      </c>
      <c r="E283" s="211" t="s">
        <v>84</v>
      </c>
      <c r="F283" s="177" t="s">
        <v>558</v>
      </c>
      <c r="G283" s="128" t="s">
        <v>1037</v>
      </c>
      <c r="H283" s="208" t="s">
        <v>64</v>
      </c>
      <c r="I283" s="128" t="s">
        <v>738</v>
      </c>
      <c r="J283" s="128">
        <v>1200</v>
      </c>
      <c r="K283" s="13" t="s">
        <v>779</v>
      </c>
      <c r="L283" s="195">
        <v>1.37</v>
      </c>
      <c r="M283" s="193" t="s">
        <v>1044</v>
      </c>
      <c r="Q283" s="1"/>
    </row>
    <row r="284" spans="2:17" ht="22.15" customHeight="1">
      <c r="B284" s="86" t="s">
        <v>53</v>
      </c>
      <c r="C284" s="13" t="s">
        <v>1250</v>
      </c>
      <c r="D284" s="177" t="s">
        <v>80</v>
      </c>
      <c r="E284" s="62" t="s">
        <v>45</v>
      </c>
      <c r="F284" s="188" t="s">
        <v>80</v>
      </c>
      <c r="G284" s="129" t="s">
        <v>300</v>
      </c>
      <c r="H284" s="197" t="s">
        <v>80</v>
      </c>
      <c r="I284" s="129" t="s">
        <v>1330</v>
      </c>
      <c r="J284" s="129">
        <v>156</v>
      </c>
      <c r="K284" s="100" t="s">
        <v>779</v>
      </c>
      <c r="L284" s="190" t="s">
        <v>80</v>
      </c>
      <c r="M284" s="193"/>
      <c r="Q284" s="1"/>
    </row>
    <row r="285" spans="2:17" ht="22.15" customHeight="1">
      <c r="B285" s="86" t="s">
        <v>53</v>
      </c>
      <c r="C285" s="13" t="s">
        <v>1250</v>
      </c>
      <c r="D285" s="177" t="s">
        <v>80</v>
      </c>
      <c r="E285" s="62" t="s">
        <v>45</v>
      </c>
      <c r="F285" s="177" t="s">
        <v>488</v>
      </c>
      <c r="G285" s="128" t="s">
        <v>300</v>
      </c>
      <c r="H285" s="201" t="s">
        <v>1331</v>
      </c>
      <c r="I285" s="128" t="s">
        <v>1332</v>
      </c>
      <c r="J285" s="128">
        <v>200</v>
      </c>
      <c r="K285" s="13" t="s">
        <v>779</v>
      </c>
      <c r="L285" s="195">
        <v>2</v>
      </c>
      <c r="M285" s="193" t="s">
        <v>1060</v>
      </c>
      <c r="Q285" s="1"/>
    </row>
    <row r="286" spans="2:17" ht="22.15" customHeight="1">
      <c r="B286" s="86" t="s">
        <v>53</v>
      </c>
      <c r="C286" s="13" t="s">
        <v>1250</v>
      </c>
      <c r="D286" s="177" t="s">
        <v>80</v>
      </c>
      <c r="E286" s="211" t="s">
        <v>84</v>
      </c>
      <c r="F286" s="177" t="s">
        <v>558</v>
      </c>
      <c r="G286" s="128" t="s">
        <v>777</v>
      </c>
      <c r="H286" s="201" t="s">
        <v>57</v>
      </c>
      <c r="I286" s="128" t="s">
        <v>1131</v>
      </c>
      <c r="J286" s="128">
        <v>60</v>
      </c>
      <c r="K286" s="13" t="s">
        <v>779</v>
      </c>
      <c r="L286" s="195">
        <v>12.31</v>
      </c>
      <c r="M286" s="193"/>
      <c r="Q286" s="1"/>
    </row>
    <row r="287" spans="2:17" ht="22.15" customHeight="1">
      <c r="B287" s="86" t="s">
        <v>53</v>
      </c>
      <c r="C287" s="13" t="s">
        <v>1250</v>
      </c>
      <c r="D287" s="177" t="s">
        <v>80</v>
      </c>
      <c r="E287" s="62" t="s">
        <v>45</v>
      </c>
      <c r="F287" s="188" t="s">
        <v>80</v>
      </c>
      <c r="G287" s="129" t="s">
        <v>1333</v>
      </c>
      <c r="H287" s="203" t="s">
        <v>64</v>
      </c>
      <c r="I287" s="129" t="s">
        <v>738</v>
      </c>
      <c r="J287" s="129">
        <v>224</v>
      </c>
      <c r="K287" s="100" t="s">
        <v>779</v>
      </c>
      <c r="L287" s="190" t="s">
        <v>80</v>
      </c>
      <c r="M287" s="193"/>
      <c r="Q287" s="1"/>
    </row>
    <row r="288" spans="2:17" ht="22.15" customHeight="1">
      <c r="B288" s="86" t="s">
        <v>53</v>
      </c>
      <c r="C288" s="13" t="s">
        <v>1250</v>
      </c>
      <c r="D288" s="177" t="s">
        <v>80</v>
      </c>
      <c r="E288" s="62" t="s">
        <v>45</v>
      </c>
      <c r="F288" s="188" t="s">
        <v>80</v>
      </c>
      <c r="G288" s="129" t="s">
        <v>1334</v>
      </c>
      <c r="H288" s="203" t="s">
        <v>676</v>
      </c>
      <c r="I288" s="129" t="s">
        <v>677</v>
      </c>
      <c r="J288" s="129">
        <v>192</v>
      </c>
      <c r="K288" s="100" t="s">
        <v>779</v>
      </c>
      <c r="L288" s="190" t="s">
        <v>80</v>
      </c>
      <c r="M288" s="191"/>
      <c r="Q288" s="1"/>
    </row>
    <row r="289" spans="2:17" ht="22.15" customHeight="1">
      <c r="B289" s="86" t="s">
        <v>66</v>
      </c>
      <c r="C289" s="13" t="s">
        <v>1250</v>
      </c>
      <c r="D289" s="177" t="s">
        <v>80</v>
      </c>
      <c r="E289" s="62" t="s">
        <v>45</v>
      </c>
      <c r="F289" s="87" t="s">
        <v>773</v>
      </c>
      <c r="G289" s="201" t="s">
        <v>1010</v>
      </c>
      <c r="H289" s="117" t="s">
        <v>1335</v>
      </c>
      <c r="I289" s="128" t="s">
        <v>713</v>
      </c>
      <c r="J289" s="128">
        <v>120</v>
      </c>
      <c r="K289" s="13" t="s">
        <v>779</v>
      </c>
      <c r="L289" s="195">
        <v>25</v>
      </c>
      <c r="M289" s="193"/>
      <c r="Q289" s="1"/>
    </row>
    <row r="290" spans="2:17" ht="22.15" customHeight="1">
      <c r="B290" s="218" t="s">
        <v>59</v>
      </c>
      <c r="C290" s="143" t="s">
        <v>1250</v>
      </c>
      <c r="D290" s="143" t="s">
        <v>1336</v>
      </c>
      <c r="E290" s="143" t="s">
        <v>263</v>
      </c>
      <c r="F290" s="177" t="s">
        <v>279</v>
      </c>
      <c r="G290" s="143" t="s">
        <v>269</v>
      </c>
      <c r="H290" s="201" t="s">
        <v>270</v>
      </c>
      <c r="I290" s="143" t="s">
        <v>738</v>
      </c>
      <c r="J290" s="143">
        <v>480</v>
      </c>
      <c r="K290" s="13" t="s">
        <v>779</v>
      </c>
      <c r="L290" s="195">
        <v>0.94</v>
      </c>
      <c r="M290" s="193"/>
      <c r="Q290" s="1"/>
    </row>
    <row r="291" spans="2:17" ht="22.15" customHeight="1">
      <c r="B291" s="218" t="s">
        <v>59</v>
      </c>
      <c r="C291" s="143" t="s">
        <v>1250</v>
      </c>
      <c r="D291" s="143" t="s">
        <v>1337</v>
      </c>
      <c r="E291" s="143" t="s">
        <v>263</v>
      </c>
      <c r="F291" s="177" t="s">
        <v>279</v>
      </c>
      <c r="G291" s="143" t="s">
        <v>280</v>
      </c>
      <c r="H291" s="201" t="s">
        <v>270</v>
      </c>
      <c r="I291" s="143" t="s">
        <v>65</v>
      </c>
      <c r="J291" s="143">
        <v>360</v>
      </c>
      <c r="K291" s="13" t="s">
        <v>779</v>
      </c>
      <c r="L291" s="142">
        <v>1.71</v>
      </c>
      <c r="M291" s="193"/>
      <c r="Q291" s="1"/>
    </row>
    <row r="292" spans="2:17" ht="22.15" customHeight="1">
      <c r="B292" s="218" t="s">
        <v>59</v>
      </c>
      <c r="C292" s="143" t="s">
        <v>1250</v>
      </c>
      <c r="D292" s="143" t="s">
        <v>1338</v>
      </c>
      <c r="E292" s="143" t="s">
        <v>263</v>
      </c>
      <c r="F292" s="177" t="s">
        <v>279</v>
      </c>
      <c r="G292" s="143" t="s">
        <v>280</v>
      </c>
      <c r="H292" s="201" t="s">
        <v>270</v>
      </c>
      <c r="I292" s="143" t="s">
        <v>1339</v>
      </c>
      <c r="J292" s="143">
        <v>320</v>
      </c>
      <c r="K292" s="13" t="s">
        <v>779</v>
      </c>
      <c r="L292" s="142">
        <v>1.7</v>
      </c>
      <c r="M292" s="193"/>
      <c r="Q292" s="1"/>
    </row>
    <row r="293" spans="2:17" ht="22.15" customHeight="1">
      <c r="B293" s="218" t="s">
        <v>59</v>
      </c>
      <c r="C293" s="143" t="s">
        <v>1250</v>
      </c>
      <c r="D293" s="143" t="s">
        <v>1340</v>
      </c>
      <c r="E293" s="143" t="s">
        <v>263</v>
      </c>
      <c r="F293" s="143" t="s">
        <v>138</v>
      </c>
      <c r="G293" s="143" t="s">
        <v>274</v>
      </c>
      <c r="H293" s="201" t="s">
        <v>270</v>
      </c>
      <c r="I293" s="143" t="s">
        <v>738</v>
      </c>
      <c r="J293" s="143">
        <v>400</v>
      </c>
      <c r="K293" s="13" t="s">
        <v>779</v>
      </c>
      <c r="L293" s="142">
        <v>2.4</v>
      </c>
      <c r="M293" s="193"/>
      <c r="Q293" s="1"/>
    </row>
    <row r="294" spans="2:17" ht="22.15" customHeight="1">
      <c r="B294" s="218" t="s">
        <v>59</v>
      </c>
      <c r="C294" s="143" t="s">
        <v>1250</v>
      </c>
      <c r="D294" s="143" t="s">
        <v>1341</v>
      </c>
      <c r="E294" s="143" t="s">
        <v>263</v>
      </c>
      <c r="F294" s="143" t="s">
        <v>138</v>
      </c>
      <c r="G294" s="143" t="s">
        <v>175</v>
      </c>
      <c r="H294" s="201" t="s">
        <v>270</v>
      </c>
      <c r="I294" s="143" t="s">
        <v>738</v>
      </c>
      <c r="J294" s="143">
        <v>360</v>
      </c>
      <c r="K294" s="13" t="s">
        <v>779</v>
      </c>
      <c r="L294" s="142">
        <v>2.4</v>
      </c>
      <c r="M294" s="193"/>
      <c r="Q294" s="1"/>
    </row>
    <row r="295" spans="2:17" ht="22.15" customHeight="1">
      <c r="B295" s="218" t="s">
        <v>59</v>
      </c>
      <c r="C295" s="143" t="s">
        <v>1250</v>
      </c>
      <c r="D295" s="143" t="s">
        <v>1342</v>
      </c>
      <c r="E295" s="143" t="s">
        <v>263</v>
      </c>
      <c r="F295" s="143" t="s">
        <v>138</v>
      </c>
      <c r="G295" s="143" t="s">
        <v>175</v>
      </c>
      <c r="H295" s="219" t="s">
        <v>276</v>
      </c>
      <c r="I295" s="143" t="s">
        <v>1343</v>
      </c>
      <c r="J295" s="143">
        <v>240</v>
      </c>
      <c r="K295" s="13" t="s">
        <v>779</v>
      </c>
      <c r="L295" s="142">
        <v>1.2</v>
      </c>
      <c r="M295" s="193"/>
      <c r="Q295" s="1"/>
    </row>
    <row r="296" spans="2:17" ht="22.15" customHeight="1">
      <c r="B296" s="218" t="s">
        <v>59</v>
      </c>
      <c r="C296" s="143" t="s">
        <v>1250</v>
      </c>
      <c r="D296" s="143" t="s">
        <v>1344</v>
      </c>
      <c r="E296" s="143" t="s">
        <v>263</v>
      </c>
      <c r="F296" s="177" t="s">
        <v>279</v>
      </c>
      <c r="G296" s="143" t="s">
        <v>1345</v>
      </c>
      <c r="H296" s="219" t="s">
        <v>1346</v>
      </c>
      <c r="I296" s="143" t="s">
        <v>1347</v>
      </c>
      <c r="J296" s="143">
        <v>12</v>
      </c>
      <c r="K296" s="13" t="s">
        <v>779</v>
      </c>
      <c r="L296" s="142">
        <v>9.5399999999999991</v>
      </c>
      <c r="M296" s="193"/>
      <c r="Q296" s="1"/>
    </row>
    <row r="297" spans="2:17" ht="22.15" customHeight="1">
      <c r="B297" s="218" t="s">
        <v>59</v>
      </c>
      <c r="C297" s="143" t="s">
        <v>1250</v>
      </c>
      <c r="D297" s="143" t="s">
        <v>1348</v>
      </c>
      <c r="E297" s="143" t="s">
        <v>263</v>
      </c>
      <c r="F297" s="62" t="s">
        <v>282</v>
      </c>
      <c r="G297" s="143" t="s">
        <v>283</v>
      </c>
      <c r="H297" s="219" t="s">
        <v>64</v>
      </c>
      <c r="I297" s="143" t="s">
        <v>738</v>
      </c>
      <c r="J297" s="143">
        <v>390</v>
      </c>
      <c r="K297" s="13" t="s">
        <v>779</v>
      </c>
      <c r="L297" s="142">
        <v>0.9</v>
      </c>
      <c r="M297" s="193"/>
      <c r="Q297" s="1"/>
    </row>
    <row r="298" spans="2:17" ht="22.15" customHeight="1">
      <c r="B298" s="218" t="s">
        <v>66</v>
      </c>
      <c r="C298" s="143" t="s">
        <v>1250</v>
      </c>
      <c r="D298" s="143" t="s">
        <v>1349</v>
      </c>
      <c r="E298" s="143" t="s">
        <v>263</v>
      </c>
      <c r="F298" s="143" t="s">
        <v>138</v>
      </c>
      <c r="G298" s="143" t="s">
        <v>1350</v>
      </c>
      <c r="H298" s="219" t="s">
        <v>1351</v>
      </c>
      <c r="I298" s="143" t="s">
        <v>1352</v>
      </c>
      <c r="J298" s="143">
        <v>2</v>
      </c>
      <c r="K298" s="13" t="s">
        <v>779</v>
      </c>
      <c r="L298" s="195">
        <v>42.5</v>
      </c>
      <c r="M298" s="193"/>
      <c r="Q298" s="1"/>
    </row>
    <row r="299" spans="2:17" ht="22.15" customHeight="1">
      <c r="B299" s="176" t="s">
        <v>66</v>
      </c>
      <c r="C299" s="13" t="s">
        <v>1250</v>
      </c>
      <c r="D299" s="13" t="s">
        <v>1349</v>
      </c>
      <c r="E299" s="13" t="s">
        <v>263</v>
      </c>
      <c r="F299" s="143" t="s">
        <v>138</v>
      </c>
      <c r="G299" s="13" t="s">
        <v>1350</v>
      </c>
      <c r="H299" s="14" t="s">
        <v>1353</v>
      </c>
      <c r="I299" s="282" t="s">
        <v>1354</v>
      </c>
      <c r="J299" s="13">
        <v>3</v>
      </c>
      <c r="K299" s="13" t="s">
        <v>779</v>
      </c>
      <c r="L299" s="195">
        <v>14.4</v>
      </c>
      <c r="M299" s="193"/>
      <c r="Q299" s="1"/>
    </row>
    <row r="300" spans="2:17" ht="22.15" customHeight="1">
      <c r="B300" s="218" t="s">
        <v>66</v>
      </c>
      <c r="C300" s="143" t="s">
        <v>1250</v>
      </c>
      <c r="D300" s="143" t="s">
        <v>1349</v>
      </c>
      <c r="E300" s="143" t="s">
        <v>263</v>
      </c>
      <c r="F300" s="143" t="s">
        <v>138</v>
      </c>
      <c r="G300" s="143" t="s">
        <v>140</v>
      </c>
      <c r="H300" s="219" t="s">
        <v>1355</v>
      </c>
      <c r="I300" s="143" t="s">
        <v>1356</v>
      </c>
      <c r="J300" s="143">
        <v>2</v>
      </c>
      <c r="K300" s="13" t="s">
        <v>779</v>
      </c>
      <c r="L300" s="195">
        <v>0.01</v>
      </c>
      <c r="M300" s="193"/>
      <c r="Q300" s="1"/>
    </row>
    <row r="301" spans="2:17" ht="22.15" customHeight="1">
      <c r="B301" s="218" t="s">
        <v>66</v>
      </c>
      <c r="C301" s="143" t="s">
        <v>1250</v>
      </c>
      <c r="D301" s="143" t="s">
        <v>1357</v>
      </c>
      <c r="E301" s="143" t="s">
        <v>263</v>
      </c>
      <c r="F301" s="87" t="s">
        <v>773</v>
      </c>
      <c r="G301" s="143" t="s">
        <v>1358</v>
      </c>
      <c r="H301" s="178" t="s">
        <v>712</v>
      </c>
      <c r="I301" s="87" t="s">
        <v>713</v>
      </c>
      <c r="J301" s="143">
        <v>45</v>
      </c>
      <c r="K301" s="143" t="s">
        <v>714</v>
      </c>
      <c r="L301" s="142">
        <v>25</v>
      </c>
      <c r="M301" s="193"/>
      <c r="Q301" s="1"/>
    </row>
    <row r="302" spans="2:17" ht="22.15" customHeight="1">
      <c r="B302" s="218" t="s">
        <v>59</v>
      </c>
      <c r="C302" s="143" t="s">
        <v>1250</v>
      </c>
      <c r="D302" s="143" t="s">
        <v>1359</v>
      </c>
      <c r="E302" s="143" t="s">
        <v>263</v>
      </c>
      <c r="F302" s="62" t="s">
        <v>282</v>
      </c>
      <c r="G302" s="143" t="s">
        <v>285</v>
      </c>
      <c r="H302" s="220" t="s">
        <v>64</v>
      </c>
      <c r="I302" s="143" t="s">
        <v>738</v>
      </c>
      <c r="J302" s="143">
        <v>210</v>
      </c>
      <c r="K302" s="13" t="s">
        <v>779</v>
      </c>
      <c r="L302" s="142">
        <v>0.7</v>
      </c>
      <c r="M302" s="193"/>
      <c r="Q302" s="1"/>
    </row>
    <row r="303" spans="2:17" ht="22.15" customHeight="1">
      <c r="B303" s="218" t="s">
        <v>59</v>
      </c>
      <c r="C303" s="143" t="s">
        <v>1250</v>
      </c>
      <c r="D303" s="143" t="s">
        <v>1359</v>
      </c>
      <c r="E303" s="143" t="s">
        <v>263</v>
      </c>
      <c r="F303" s="62" t="s">
        <v>282</v>
      </c>
      <c r="G303" s="143" t="s">
        <v>1360</v>
      </c>
      <c r="H303" s="220" t="s">
        <v>64</v>
      </c>
      <c r="I303" s="143" t="s">
        <v>738</v>
      </c>
      <c r="J303" s="143">
        <v>20</v>
      </c>
      <c r="K303" s="13" t="s">
        <v>779</v>
      </c>
      <c r="L303" s="195">
        <v>0.69</v>
      </c>
      <c r="M303" s="193"/>
      <c r="Q303" s="1"/>
    </row>
    <row r="304" spans="2:17" ht="22.15" customHeight="1">
      <c r="B304" s="218" t="s">
        <v>59</v>
      </c>
      <c r="C304" s="143" t="s">
        <v>1250</v>
      </c>
      <c r="D304" s="143" t="s">
        <v>1359</v>
      </c>
      <c r="E304" s="143" t="s">
        <v>263</v>
      </c>
      <c r="F304" s="62" t="s">
        <v>282</v>
      </c>
      <c r="G304" s="143" t="s">
        <v>269</v>
      </c>
      <c r="H304" s="220" t="s">
        <v>64</v>
      </c>
      <c r="I304" s="143" t="s">
        <v>738</v>
      </c>
      <c r="J304" s="143">
        <v>40</v>
      </c>
      <c r="K304" s="13" t="s">
        <v>779</v>
      </c>
      <c r="L304" s="142">
        <v>0.94</v>
      </c>
      <c r="M304" s="193"/>
      <c r="Q304" s="1"/>
    </row>
    <row r="305" spans="2:17" ht="22.15" customHeight="1">
      <c r="B305" s="218" t="s">
        <v>66</v>
      </c>
      <c r="C305" s="143" t="s">
        <v>1250</v>
      </c>
      <c r="D305" s="143" t="s">
        <v>1361</v>
      </c>
      <c r="E305" s="143" t="s">
        <v>263</v>
      </c>
      <c r="F305" s="143" t="s">
        <v>138</v>
      </c>
      <c r="G305" s="143" t="s">
        <v>1350</v>
      </c>
      <c r="H305" s="220" t="s">
        <v>1351</v>
      </c>
      <c r="I305" s="143" t="s">
        <v>1352</v>
      </c>
      <c r="J305" s="143">
        <v>4</v>
      </c>
      <c r="K305" s="13" t="s">
        <v>779</v>
      </c>
      <c r="L305" s="142">
        <v>42.5</v>
      </c>
      <c r="M305" s="193"/>
      <c r="Q305" s="1"/>
    </row>
    <row r="306" spans="2:17" ht="22.15" customHeight="1">
      <c r="B306" s="218" t="s">
        <v>66</v>
      </c>
      <c r="C306" s="143" t="s">
        <v>1250</v>
      </c>
      <c r="D306" s="143" t="s">
        <v>1362</v>
      </c>
      <c r="E306" s="143" t="s">
        <v>263</v>
      </c>
      <c r="F306" s="143" t="s">
        <v>138</v>
      </c>
      <c r="G306" s="143" t="s">
        <v>140</v>
      </c>
      <c r="H306" s="220" t="s">
        <v>1351</v>
      </c>
      <c r="I306" s="143" t="s">
        <v>1352</v>
      </c>
      <c r="J306" s="143">
        <v>5</v>
      </c>
      <c r="K306" s="13" t="s">
        <v>779</v>
      </c>
      <c r="L306" s="142">
        <v>42.5</v>
      </c>
      <c r="M306" s="193"/>
      <c r="Q306" s="1"/>
    </row>
    <row r="307" spans="2:17" ht="22.15" customHeight="1">
      <c r="B307" s="218" t="s">
        <v>59</v>
      </c>
      <c r="C307" s="143" t="s">
        <v>1250</v>
      </c>
      <c r="D307" s="143" t="s">
        <v>1363</v>
      </c>
      <c r="E307" s="143" t="s">
        <v>263</v>
      </c>
      <c r="F307" s="143" t="s">
        <v>279</v>
      </c>
      <c r="G307" s="143" t="s">
        <v>1056</v>
      </c>
      <c r="H307" s="220" t="s">
        <v>295</v>
      </c>
      <c r="I307" s="143" t="s">
        <v>279</v>
      </c>
      <c r="J307" s="143">
        <v>11</v>
      </c>
      <c r="K307" s="13" t="s">
        <v>779</v>
      </c>
      <c r="L307" s="142">
        <v>21.61</v>
      </c>
      <c r="M307" s="193"/>
      <c r="Q307" s="1"/>
    </row>
    <row r="308" spans="2:17" ht="22.15" customHeight="1">
      <c r="B308" s="218" t="s">
        <v>59</v>
      </c>
      <c r="C308" s="143" t="s">
        <v>1250</v>
      </c>
      <c r="D308" s="143" t="s">
        <v>1363</v>
      </c>
      <c r="E308" s="143" t="s">
        <v>263</v>
      </c>
      <c r="F308" s="143" t="s">
        <v>279</v>
      </c>
      <c r="G308" s="143" t="s">
        <v>1056</v>
      </c>
      <c r="H308" s="220" t="s">
        <v>294</v>
      </c>
      <c r="I308" s="143" t="s">
        <v>279</v>
      </c>
      <c r="J308" s="143">
        <v>10</v>
      </c>
      <c r="K308" s="13" t="s">
        <v>779</v>
      </c>
      <c r="L308" s="142">
        <v>16.3</v>
      </c>
      <c r="M308" s="193"/>
      <c r="Q308" s="1"/>
    </row>
    <row r="309" spans="2:17" ht="22.15" customHeight="1">
      <c r="B309" s="218" t="s">
        <v>59</v>
      </c>
      <c r="C309" s="143" t="s">
        <v>1250</v>
      </c>
      <c r="D309" s="143" t="s">
        <v>1363</v>
      </c>
      <c r="E309" s="143" t="s">
        <v>263</v>
      </c>
      <c r="F309" s="143" t="s">
        <v>279</v>
      </c>
      <c r="G309" s="143" t="s">
        <v>178</v>
      </c>
      <c r="H309" s="219" t="s">
        <v>1364</v>
      </c>
      <c r="I309" s="143" t="s">
        <v>1365</v>
      </c>
      <c r="J309" s="143">
        <v>2</v>
      </c>
      <c r="K309" s="13" t="s">
        <v>779</v>
      </c>
      <c r="L309" s="142">
        <v>21.8</v>
      </c>
      <c r="M309" s="193"/>
      <c r="Q309" s="1"/>
    </row>
    <row r="310" spans="2:17" ht="22.15" customHeight="1">
      <c r="B310" s="218" t="s">
        <v>66</v>
      </c>
      <c r="C310" s="143" t="s">
        <v>1250</v>
      </c>
      <c r="D310" s="143" t="s">
        <v>1363</v>
      </c>
      <c r="E310" s="143" t="s">
        <v>263</v>
      </c>
      <c r="F310" s="143" t="s">
        <v>279</v>
      </c>
      <c r="G310" s="143" t="s">
        <v>174</v>
      </c>
      <c r="H310" s="220" t="s">
        <v>1366</v>
      </c>
      <c r="I310" s="177" t="s">
        <v>279</v>
      </c>
      <c r="J310" s="143">
        <v>7</v>
      </c>
      <c r="K310" s="13" t="s">
        <v>779</v>
      </c>
      <c r="L310" s="142">
        <v>12.81</v>
      </c>
      <c r="M310" s="193"/>
      <c r="Q310" s="1"/>
    </row>
    <row r="311" spans="2:17" ht="22.15" customHeight="1">
      <c r="B311" s="218" t="s">
        <v>66</v>
      </c>
      <c r="C311" s="143" t="s">
        <v>1250</v>
      </c>
      <c r="D311" s="177" t="s">
        <v>80</v>
      </c>
      <c r="E311" s="143" t="s">
        <v>263</v>
      </c>
      <c r="F311" s="87" t="s">
        <v>773</v>
      </c>
      <c r="G311" s="143" t="s">
        <v>1367</v>
      </c>
      <c r="H311" s="178" t="s">
        <v>712</v>
      </c>
      <c r="I311" s="87" t="s">
        <v>713</v>
      </c>
      <c r="J311" s="143">
        <v>8</v>
      </c>
      <c r="K311" s="143" t="s">
        <v>714</v>
      </c>
      <c r="L311" s="142">
        <v>25</v>
      </c>
      <c r="M311" s="193"/>
      <c r="Q311" s="1"/>
    </row>
    <row r="312" spans="2:17" ht="22.15" customHeight="1">
      <c r="B312" s="218" t="s">
        <v>66</v>
      </c>
      <c r="C312" s="143" t="s">
        <v>1183</v>
      </c>
      <c r="D312" s="143" t="s">
        <v>1368</v>
      </c>
      <c r="E312" s="143" t="s">
        <v>263</v>
      </c>
      <c r="F312" s="87" t="s">
        <v>773</v>
      </c>
      <c r="G312" s="143" t="s">
        <v>1358</v>
      </c>
      <c r="H312" s="178" t="s">
        <v>712</v>
      </c>
      <c r="I312" s="87" t="s">
        <v>713</v>
      </c>
      <c r="J312" s="143">
        <v>36</v>
      </c>
      <c r="K312" s="143" t="s">
        <v>714</v>
      </c>
      <c r="L312" s="142">
        <v>25</v>
      </c>
      <c r="M312" s="193"/>
      <c r="Q312" s="1"/>
    </row>
    <row r="313" spans="2:17" ht="22.15" customHeight="1">
      <c r="B313" s="218" t="s">
        <v>66</v>
      </c>
      <c r="C313" s="143" t="s">
        <v>1183</v>
      </c>
      <c r="D313" s="143" t="s">
        <v>1369</v>
      </c>
      <c r="E313" s="143" t="s">
        <v>263</v>
      </c>
      <c r="F313" s="87" t="s">
        <v>773</v>
      </c>
      <c r="G313" s="143" t="s">
        <v>1370</v>
      </c>
      <c r="H313" s="178" t="s">
        <v>712</v>
      </c>
      <c r="I313" s="87" t="s">
        <v>1371</v>
      </c>
      <c r="J313" s="143">
        <v>69</v>
      </c>
      <c r="K313" s="143" t="s">
        <v>1372</v>
      </c>
      <c r="L313" s="142">
        <v>15</v>
      </c>
      <c r="M313" s="191" t="s">
        <v>1373</v>
      </c>
      <c r="Q313" s="1"/>
    </row>
    <row r="314" spans="2:17" ht="22.15" customHeight="1">
      <c r="B314" s="218" t="s">
        <v>59</v>
      </c>
      <c r="C314" s="143" t="s">
        <v>1374</v>
      </c>
      <c r="D314" s="143" t="s">
        <v>1375</v>
      </c>
      <c r="E314" s="143" t="s">
        <v>263</v>
      </c>
      <c r="F314" s="13" t="s">
        <v>1376</v>
      </c>
      <c r="G314" s="13" t="s">
        <v>1377</v>
      </c>
      <c r="H314" s="117" t="s">
        <v>1378</v>
      </c>
      <c r="I314" s="13" t="s">
        <v>1376</v>
      </c>
      <c r="J314" s="13">
        <v>1</v>
      </c>
      <c r="K314" s="13" t="s">
        <v>779</v>
      </c>
      <c r="L314" s="104">
        <v>46.91</v>
      </c>
      <c r="M314" s="193"/>
      <c r="Q314" s="1"/>
    </row>
    <row r="315" spans="2:17" ht="22.15" customHeight="1">
      <c r="B315" s="218" t="s">
        <v>59</v>
      </c>
      <c r="C315" s="143" t="s">
        <v>1374</v>
      </c>
      <c r="D315" s="143" t="s">
        <v>1379</v>
      </c>
      <c r="E315" s="143" t="s">
        <v>263</v>
      </c>
      <c r="F315" s="143" t="s">
        <v>1376</v>
      </c>
      <c r="G315" s="143" t="s">
        <v>1380</v>
      </c>
      <c r="H315" s="220" t="s">
        <v>1381</v>
      </c>
      <c r="I315" s="143" t="s">
        <v>1376</v>
      </c>
      <c r="J315" s="143">
        <v>5</v>
      </c>
      <c r="K315" s="13" t="s">
        <v>779</v>
      </c>
      <c r="L315" s="142">
        <v>14.31</v>
      </c>
      <c r="M315" s="193"/>
      <c r="Q315" s="1"/>
    </row>
    <row r="316" spans="2:17" ht="22.15" customHeight="1">
      <c r="B316" s="218" t="s">
        <v>59</v>
      </c>
      <c r="C316" s="143" t="s">
        <v>1374</v>
      </c>
      <c r="D316" s="143" t="s">
        <v>1382</v>
      </c>
      <c r="E316" s="143" t="s">
        <v>263</v>
      </c>
      <c r="F316" s="13" t="s">
        <v>1376</v>
      </c>
      <c r="G316" s="13" t="s">
        <v>1383</v>
      </c>
      <c r="H316" s="117" t="s">
        <v>1384</v>
      </c>
      <c r="I316" s="143" t="s">
        <v>282</v>
      </c>
      <c r="J316" s="100">
        <v>2</v>
      </c>
      <c r="K316" s="100" t="s">
        <v>779</v>
      </c>
      <c r="L316" s="106">
        <v>34.299999999999997</v>
      </c>
      <c r="M316" s="191" t="s">
        <v>1385</v>
      </c>
      <c r="Q316" s="1"/>
    </row>
    <row r="317" spans="2:17" ht="22.15" customHeight="1">
      <c r="B317" s="218" t="s">
        <v>59</v>
      </c>
      <c r="C317" s="143" t="s">
        <v>1374</v>
      </c>
      <c r="D317" s="143" t="s">
        <v>1382</v>
      </c>
      <c r="E317" s="143" t="s">
        <v>263</v>
      </c>
      <c r="F317" s="143" t="s">
        <v>1376</v>
      </c>
      <c r="G317" s="143" t="s">
        <v>202</v>
      </c>
      <c r="H317" s="220" t="s">
        <v>1384</v>
      </c>
      <c r="I317" s="143" t="s">
        <v>1376</v>
      </c>
      <c r="J317" s="143">
        <v>2</v>
      </c>
      <c r="K317" s="13" t="s">
        <v>779</v>
      </c>
      <c r="L317" s="142">
        <v>34.299999999999997</v>
      </c>
      <c r="M317" s="193"/>
      <c r="Q317" s="1"/>
    </row>
    <row r="318" spans="2:17" ht="22.15" customHeight="1">
      <c r="B318" s="218" t="s">
        <v>59</v>
      </c>
      <c r="C318" s="143" t="s">
        <v>1374</v>
      </c>
      <c r="D318" s="143" t="s">
        <v>1386</v>
      </c>
      <c r="E318" s="143" t="s">
        <v>263</v>
      </c>
      <c r="F318" s="177" t="s">
        <v>1376</v>
      </c>
      <c r="G318" s="143" t="s">
        <v>1377</v>
      </c>
      <c r="H318" s="220" t="s">
        <v>1387</v>
      </c>
      <c r="I318" s="143" t="s">
        <v>1376</v>
      </c>
      <c r="J318" s="143">
        <v>2</v>
      </c>
      <c r="K318" s="13" t="s">
        <v>779</v>
      </c>
      <c r="L318" s="142">
        <v>43.21</v>
      </c>
      <c r="M318" s="193"/>
      <c r="Q318" s="1"/>
    </row>
    <row r="319" spans="2:17" ht="22.15" customHeight="1">
      <c r="B319" s="218" t="s">
        <v>59</v>
      </c>
      <c r="C319" s="143" t="s">
        <v>1374</v>
      </c>
      <c r="D319" s="143" t="s">
        <v>1386</v>
      </c>
      <c r="E319" s="143" t="s">
        <v>263</v>
      </c>
      <c r="F319" s="177" t="s">
        <v>1376</v>
      </c>
      <c r="G319" s="143" t="s">
        <v>1377</v>
      </c>
      <c r="H319" s="220" t="s">
        <v>1388</v>
      </c>
      <c r="I319" s="143" t="s">
        <v>1376</v>
      </c>
      <c r="J319" s="143">
        <v>2</v>
      </c>
      <c r="K319" s="13" t="s">
        <v>779</v>
      </c>
      <c r="L319" s="142">
        <v>16.5</v>
      </c>
      <c r="M319" s="193"/>
      <c r="Q319" s="1"/>
    </row>
    <row r="320" spans="2:17" ht="22.15" customHeight="1">
      <c r="B320" s="218" t="s">
        <v>59</v>
      </c>
      <c r="C320" s="143" t="s">
        <v>1374</v>
      </c>
      <c r="D320" s="143" t="s">
        <v>1386</v>
      </c>
      <c r="E320" s="143" t="s">
        <v>263</v>
      </c>
      <c r="F320" s="177" t="s">
        <v>1376</v>
      </c>
      <c r="G320" s="143" t="s">
        <v>1377</v>
      </c>
      <c r="H320" s="220" t="s">
        <v>1389</v>
      </c>
      <c r="I320" s="143" t="s">
        <v>1376</v>
      </c>
      <c r="J320" s="143">
        <v>1</v>
      </c>
      <c r="K320" s="13" t="s">
        <v>779</v>
      </c>
      <c r="L320" s="195">
        <v>48.6</v>
      </c>
      <c r="M320" s="193"/>
      <c r="Q320" s="1"/>
    </row>
    <row r="321" spans="2:17" ht="22.15" customHeight="1">
      <c r="B321" s="218" t="s">
        <v>59</v>
      </c>
      <c r="C321" s="143" t="s">
        <v>1374</v>
      </c>
      <c r="D321" s="143" t="s">
        <v>1390</v>
      </c>
      <c r="E321" s="143" t="s">
        <v>263</v>
      </c>
      <c r="F321" s="177" t="s">
        <v>1376</v>
      </c>
      <c r="G321" s="143" t="s">
        <v>1383</v>
      </c>
      <c r="H321" s="220" t="s">
        <v>1391</v>
      </c>
      <c r="I321" s="143" t="s">
        <v>1376</v>
      </c>
      <c r="J321" s="143">
        <v>4</v>
      </c>
      <c r="K321" s="13" t="s">
        <v>779</v>
      </c>
      <c r="L321" s="142">
        <v>35.21</v>
      </c>
      <c r="M321" s="193"/>
      <c r="Q321" s="1"/>
    </row>
    <row r="322" spans="2:17" ht="22.15" customHeight="1">
      <c r="B322" s="218" t="s">
        <v>59</v>
      </c>
      <c r="C322" s="143" t="s">
        <v>1374</v>
      </c>
      <c r="D322" s="143" t="s">
        <v>1392</v>
      </c>
      <c r="E322" s="143" t="s">
        <v>263</v>
      </c>
      <c r="F322" s="143" t="s">
        <v>1376</v>
      </c>
      <c r="G322" s="143" t="s">
        <v>746</v>
      </c>
      <c r="H322" s="219" t="s">
        <v>1393</v>
      </c>
      <c r="I322" s="143" t="s">
        <v>1394</v>
      </c>
      <c r="J322" s="143">
        <v>1</v>
      </c>
      <c r="K322" s="13" t="s">
        <v>779</v>
      </c>
      <c r="L322" s="142">
        <v>15.5</v>
      </c>
      <c r="M322" s="193"/>
      <c r="Q322" s="1"/>
    </row>
    <row r="323" spans="2:17" ht="22.15" customHeight="1">
      <c r="B323" s="218" t="s">
        <v>59</v>
      </c>
      <c r="C323" s="143" t="s">
        <v>1374</v>
      </c>
      <c r="D323" s="143" t="s">
        <v>1392</v>
      </c>
      <c r="E323" s="143" t="s">
        <v>263</v>
      </c>
      <c r="F323" s="143" t="s">
        <v>1376</v>
      </c>
      <c r="G323" s="143" t="s">
        <v>746</v>
      </c>
      <c r="H323" s="219" t="s">
        <v>1393</v>
      </c>
      <c r="I323" s="143" t="s">
        <v>1394</v>
      </c>
      <c r="J323" s="143">
        <v>3</v>
      </c>
      <c r="K323" s="13" t="s">
        <v>779</v>
      </c>
      <c r="L323" s="142">
        <v>15.5</v>
      </c>
      <c r="M323" s="193"/>
      <c r="Q323" s="1"/>
    </row>
    <row r="324" spans="2:17" ht="22.15" customHeight="1">
      <c r="B324" s="218" t="s">
        <v>59</v>
      </c>
      <c r="C324" s="143" t="s">
        <v>1374</v>
      </c>
      <c r="D324" s="143" t="s">
        <v>1392</v>
      </c>
      <c r="E324" s="143" t="s">
        <v>263</v>
      </c>
      <c r="F324" s="143" t="s">
        <v>1376</v>
      </c>
      <c r="G324" s="143" t="s">
        <v>746</v>
      </c>
      <c r="H324" s="219" t="s">
        <v>1395</v>
      </c>
      <c r="I324" s="143" t="s">
        <v>1396</v>
      </c>
      <c r="J324" s="143">
        <v>4</v>
      </c>
      <c r="K324" s="13" t="s">
        <v>779</v>
      </c>
      <c r="L324" s="142">
        <v>14.4</v>
      </c>
      <c r="M324" s="193"/>
      <c r="Q324" s="1"/>
    </row>
    <row r="325" spans="2:17" ht="22.15" customHeight="1">
      <c r="B325" s="218" t="s">
        <v>59</v>
      </c>
      <c r="C325" s="143" t="s">
        <v>1374</v>
      </c>
      <c r="D325" s="143" t="s">
        <v>1392</v>
      </c>
      <c r="E325" s="143" t="s">
        <v>263</v>
      </c>
      <c r="F325" s="143" t="s">
        <v>1376</v>
      </c>
      <c r="G325" s="143" t="s">
        <v>746</v>
      </c>
      <c r="H325" s="219" t="s">
        <v>1393</v>
      </c>
      <c r="I325" s="143" t="s">
        <v>1394</v>
      </c>
      <c r="J325" s="143">
        <v>1</v>
      </c>
      <c r="K325" s="13" t="s">
        <v>779</v>
      </c>
      <c r="L325" s="142">
        <v>15.5</v>
      </c>
      <c r="M325" s="193"/>
      <c r="Q325" s="1"/>
    </row>
    <row r="326" spans="2:17" ht="22.15" customHeight="1">
      <c r="B326" s="218" t="s">
        <v>59</v>
      </c>
      <c r="C326" s="143" t="s">
        <v>1374</v>
      </c>
      <c r="D326" s="143" t="s">
        <v>1392</v>
      </c>
      <c r="E326" s="143" t="s">
        <v>263</v>
      </c>
      <c r="F326" s="143" t="s">
        <v>1376</v>
      </c>
      <c r="G326" s="143" t="s">
        <v>746</v>
      </c>
      <c r="H326" s="219" t="s">
        <v>1393</v>
      </c>
      <c r="I326" s="143" t="s">
        <v>1394</v>
      </c>
      <c r="J326" s="143">
        <v>3</v>
      </c>
      <c r="K326" s="13" t="s">
        <v>779</v>
      </c>
      <c r="L326" s="142">
        <v>15.5</v>
      </c>
      <c r="M326" s="193"/>
      <c r="Q326" s="1"/>
    </row>
    <row r="327" spans="2:17" ht="22.15" customHeight="1">
      <c r="B327" s="218" t="s">
        <v>59</v>
      </c>
      <c r="C327" s="143" t="s">
        <v>1374</v>
      </c>
      <c r="D327" s="143" t="s">
        <v>1392</v>
      </c>
      <c r="E327" s="143" t="s">
        <v>263</v>
      </c>
      <c r="F327" s="143" t="s">
        <v>1376</v>
      </c>
      <c r="G327" s="143" t="s">
        <v>746</v>
      </c>
      <c r="H327" s="219" t="s">
        <v>1395</v>
      </c>
      <c r="I327" s="143" t="s">
        <v>1396</v>
      </c>
      <c r="J327" s="143">
        <v>4</v>
      </c>
      <c r="K327" s="13" t="s">
        <v>779</v>
      </c>
      <c r="L327" s="142">
        <v>14.4</v>
      </c>
      <c r="M327" s="193"/>
      <c r="Q327" s="1"/>
    </row>
    <row r="328" spans="2:17" ht="22.15" customHeight="1">
      <c r="B328" s="218" t="s">
        <v>59</v>
      </c>
      <c r="C328" s="143" t="s">
        <v>1374</v>
      </c>
      <c r="D328" s="143" t="s">
        <v>1397</v>
      </c>
      <c r="E328" s="143" t="s">
        <v>263</v>
      </c>
      <c r="F328" s="143" t="s">
        <v>279</v>
      </c>
      <c r="G328" s="143" t="s">
        <v>1056</v>
      </c>
      <c r="H328" s="220" t="s">
        <v>295</v>
      </c>
      <c r="I328" s="177" t="s">
        <v>279</v>
      </c>
      <c r="J328" s="143">
        <v>6</v>
      </c>
      <c r="K328" s="13" t="s">
        <v>779</v>
      </c>
      <c r="L328" s="142">
        <v>21.61</v>
      </c>
      <c r="M328" s="193"/>
      <c r="Q328" s="1"/>
    </row>
    <row r="329" spans="2:17" ht="22.15" customHeight="1">
      <c r="B329" s="218" t="s">
        <v>59</v>
      </c>
      <c r="C329" s="143" t="s">
        <v>1374</v>
      </c>
      <c r="D329" s="143" t="s">
        <v>1397</v>
      </c>
      <c r="E329" s="143" t="s">
        <v>263</v>
      </c>
      <c r="F329" s="143" t="s">
        <v>279</v>
      </c>
      <c r="G329" s="143" t="s">
        <v>1056</v>
      </c>
      <c r="H329" s="220" t="s">
        <v>620</v>
      </c>
      <c r="I329" s="177" t="s">
        <v>279</v>
      </c>
      <c r="J329" s="143">
        <v>8</v>
      </c>
      <c r="K329" s="13" t="s">
        <v>779</v>
      </c>
      <c r="L329" s="142">
        <v>32.6</v>
      </c>
      <c r="M329" s="193"/>
      <c r="Q329" s="1"/>
    </row>
    <row r="330" spans="2:17" ht="22.15" customHeight="1">
      <c r="B330" s="218" t="s">
        <v>59</v>
      </c>
      <c r="C330" s="143" t="s">
        <v>1374</v>
      </c>
      <c r="D330" s="143" t="s">
        <v>1397</v>
      </c>
      <c r="E330" s="143" t="s">
        <v>263</v>
      </c>
      <c r="F330" s="143" t="s">
        <v>279</v>
      </c>
      <c r="G330" s="143" t="s">
        <v>280</v>
      </c>
      <c r="H330" s="220" t="s">
        <v>1398</v>
      </c>
      <c r="I330" s="143" t="s">
        <v>279</v>
      </c>
      <c r="J330" s="143">
        <v>2</v>
      </c>
      <c r="K330" s="13" t="s">
        <v>779</v>
      </c>
      <c r="L330" s="142">
        <v>12.81</v>
      </c>
      <c r="M330" s="193"/>
      <c r="Q330" s="1"/>
    </row>
    <row r="331" spans="2:17" ht="22.15" customHeight="1">
      <c r="B331" s="218" t="s">
        <v>59</v>
      </c>
      <c r="C331" s="143" t="s">
        <v>1374</v>
      </c>
      <c r="D331" s="143" t="s">
        <v>1399</v>
      </c>
      <c r="E331" s="143" t="s">
        <v>263</v>
      </c>
      <c r="F331" s="143" t="s">
        <v>282</v>
      </c>
      <c r="G331" s="143" t="s">
        <v>1380</v>
      </c>
      <c r="H331" s="220" t="s">
        <v>1381</v>
      </c>
      <c r="I331" s="143" t="s">
        <v>1376</v>
      </c>
      <c r="J331" s="143">
        <v>1</v>
      </c>
      <c r="K331" s="13" t="s">
        <v>779</v>
      </c>
      <c r="L331" s="142">
        <v>14.31</v>
      </c>
      <c r="M331" s="193"/>
      <c r="Q331" s="1"/>
    </row>
    <row r="332" spans="2:17" ht="22.15" customHeight="1">
      <c r="B332" s="218" t="s">
        <v>66</v>
      </c>
      <c r="C332" s="143" t="s">
        <v>1374</v>
      </c>
      <c r="D332" s="177" t="s">
        <v>80</v>
      </c>
      <c r="E332" s="143" t="s">
        <v>263</v>
      </c>
      <c r="F332" s="62" t="s">
        <v>68</v>
      </c>
      <c r="G332" s="143" t="s">
        <v>1400</v>
      </c>
      <c r="H332" s="178" t="s">
        <v>712</v>
      </c>
      <c r="I332" s="177" t="s">
        <v>713</v>
      </c>
      <c r="J332" s="143">
        <v>2</v>
      </c>
      <c r="K332" s="143" t="s">
        <v>714</v>
      </c>
      <c r="L332" s="142">
        <v>25</v>
      </c>
      <c r="M332" s="193"/>
      <c r="Q332" s="1"/>
    </row>
    <row r="333" spans="2:17" ht="22.15" customHeight="1">
      <c r="B333" s="218" t="s">
        <v>66</v>
      </c>
      <c r="C333" s="143" t="s">
        <v>1374</v>
      </c>
      <c r="D333" s="143" t="s">
        <v>1401</v>
      </c>
      <c r="E333" s="143" t="s">
        <v>263</v>
      </c>
      <c r="F333" s="143" t="s">
        <v>138</v>
      </c>
      <c r="G333" s="143" t="s">
        <v>140</v>
      </c>
      <c r="H333" s="220" t="s">
        <v>1351</v>
      </c>
      <c r="I333" s="143" t="s">
        <v>1352</v>
      </c>
      <c r="J333" s="143">
        <v>2</v>
      </c>
      <c r="K333" s="13" t="s">
        <v>779</v>
      </c>
      <c r="L333" s="142">
        <v>42.5</v>
      </c>
      <c r="M333" s="193"/>
      <c r="Q333" s="1"/>
    </row>
    <row r="334" spans="2:17" ht="22.15" customHeight="1">
      <c r="B334" s="218" t="s">
        <v>66</v>
      </c>
      <c r="C334" s="143" t="s">
        <v>1374</v>
      </c>
      <c r="D334" s="143" t="s">
        <v>1401</v>
      </c>
      <c r="E334" s="143" t="s">
        <v>263</v>
      </c>
      <c r="F334" s="143" t="s">
        <v>138</v>
      </c>
      <c r="G334" s="143" t="s">
        <v>140</v>
      </c>
      <c r="H334" s="220" t="s">
        <v>1353</v>
      </c>
      <c r="I334" s="143" t="s">
        <v>1354</v>
      </c>
      <c r="J334" s="143">
        <v>2</v>
      </c>
      <c r="K334" s="13" t="s">
        <v>779</v>
      </c>
      <c r="L334" s="142">
        <v>14.4</v>
      </c>
      <c r="M334" s="193"/>
      <c r="Q334" s="1"/>
    </row>
    <row r="335" spans="2:17" ht="22.15" customHeight="1">
      <c r="B335" s="218" t="s">
        <v>59</v>
      </c>
      <c r="C335" s="143" t="s">
        <v>1374</v>
      </c>
      <c r="D335" s="143" t="s">
        <v>1402</v>
      </c>
      <c r="E335" s="143" t="s">
        <v>263</v>
      </c>
      <c r="F335" s="143" t="s">
        <v>136</v>
      </c>
      <c r="G335" s="143" t="s">
        <v>200</v>
      </c>
      <c r="H335" s="220" t="s">
        <v>1403</v>
      </c>
      <c r="I335" s="143" t="s">
        <v>1143</v>
      </c>
      <c r="J335" s="143">
        <v>14</v>
      </c>
      <c r="K335" s="13" t="s">
        <v>779</v>
      </c>
      <c r="L335" s="142">
        <v>18.89</v>
      </c>
      <c r="M335" s="193"/>
      <c r="Q335" s="1"/>
    </row>
    <row r="336" spans="2:17" ht="22.15" customHeight="1">
      <c r="B336" s="218" t="s">
        <v>59</v>
      </c>
      <c r="C336" s="143" t="s">
        <v>1374</v>
      </c>
      <c r="D336" s="143" t="s">
        <v>1402</v>
      </c>
      <c r="E336" s="143" t="s">
        <v>263</v>
      </c>
      <c r="F336" s="143" t="s">
        <v>136</v>
      </c>
      <c r="G336" s="143" t="s">
        <v>200</v>
      </c>
      <c r="H336" s="220" t="s">
        <v>1404</v>
      </c>
      <c r="I336" s="143" t="s">
        <v>1144</v>
      </c>
      <c r="J336" s="143">
        <v>6</v>
      </c>
      <c r="K336" s="13" t="s">
        <v>779</v>
      </c>
      <c r="L336" s="142">
        <v>16.43</v>
      </c>
      <c r="M336" s="193"/>
      <c r="Q336" s="1"/>
    </row>
    <row r="337" spans="2:17" ht="22.15" customHeight="1">
      <c r="B337" s="218" t="s">
        <v>59</v>
      </c>
      <c r="C337" s="143" t="s">
        <v>1374</v>
      </c>
      <c r="D337" s="143" t="s">
        <v>1402</v>
      </c>
      <c r="E337" s="143" t="s">
        <v>263</v>
      </c>
      <c r="F337" s="143" t="s">
        <v>136</v>
      </c>
      <c r="G337" s="143" t="s">
        <v>200</v>
      </c>
      <c r="H337" s="220" t="s">
        <v>1405</v>
      </c>
      <c r="I337" s="143" t="s">
        <v>1406</v>
      </c>
      <c r="J337" s="143">
        <v>4</v>
      </c>
      <c r="K337" s="13" t="s">
        <v>779</v>
      </c>
      <c r="L337" s="142">
        <v>15.61</v>
      </c>
      <c r="M337" s="193"/>
      <c r="Q337" s="1"/>
    </row>
    <row r="338" spans="2:17" ht="22.15" customHeight="1">
      <c r="B338" s="218" t="s">
        <v>59</v>
      </c>
      <c r="C338" s="143" t="s">
        <v>1374</v>
      </c>
      <c r="D338" s="143" t="s">
        <v>1402</v>
      </c>
      <c r="E338" s="143" t="s">
        <v>263</v>
      </c>
      <c r="F338" s="143" t="s">
        <v>136</v>
      </c>
      <c r="G338" s="143" t="s">
        <v>200</v>
      </c>
      <c r="H338" s="220" t="s">
        <v>1407</v>
      </c>
      <c r="I338" s="143" t="s">
        <v>1408</v>
      </c>
      <c r="J338" s="143">
        <v>4</v>
      </c>
      <c r="K338" s="13" t="s">
        <v>779</v>
      </c>
      <c r="L338" s="142">
        <v>12.6</v>
      </c>
      <c r="M338" s="193"/>
      <c r="Q338" s="1"/>
    </row>
    <row r="339" spans="2:17" ht="22.15" customHeight="1">
      <c r="B339" s="218" t="s">
        <v>59</v>
      </c>
      <c r="C339" s="143" t="s">
        <v>1374</v>
      </c>
      <c r="D339" s="143" t="s">
        <v>1402</v>
      </c>
      <c r="E339" s="143" t="s">
        <v>263</v>
      </c>
      <c r="F339" s="143" t="s">
        <v>1409</v>
      </c>
      <c r="G339" s="143" t="s">
        <v>200</v>
      </c>
      <c r="H339" s="117" t="s">
        <v>1410</v>
      </c>
      <c r="I339" s="143" t="s">
        <v>1411</v>
      </c>
      <c r="J339" s="143">
        <v>4</v>
      </c>
      <c r="K339" s="13" t="s">
        <v>779</v>
      </c>
      <c r="L339" s="142">
        <v>9.4499999999999993</v>
      </c>
      <c r="M339" s="193"/>
      <c r="Q339" s="1"/>
    </row>
    <row r="340" spans="2:17" ht="22.15" customHeight="1">
      <c r="B340" s="218" t="s">
        <v>53</v>
      </c>
      <c r="C340" s="143" t="s">
        <v>1412</v>
      </c>
      <c r="D340" s="143" t="s">
        <v>1413</v>
      </c>
      <c r="E340" s="143" t="s">
        <v>263</v>
      </c>
      <c r="F340" s="100" t="s">
        <v>170</v>
      </c>
      <c r="G340" s="188" t="s">
        <v>195</v>
      </c>
      <c r="H340" s="197" t="s">
        <v>80</v>
      </c>
      <c r="I340" s="100" t="s">
        <v>1414</v>
      </c>
      <c r="J340" s="100">
        <v>6</v>
      </c>
      <c r="K340" s="100" t="s">
        <v>779</v>
      </c>
      <c r="L340" s="190" t="s">
        <v>80</v>
      </c>
      <c r="M340" s="191"/>
      <c r="Q340" s="1"/>
    </row>
    <row r="341" spans="2:17" ht="22.15" customHeight="1">
      <c r="B341" s="218" t="s">
        <v>53</v>
      </c>
      <c r="C341" s="143" t="s">
        <v>1412</v>
      </c>
      <c r="D341" s="143" t="s">
        <v>1413</v>
      </c>
      <c r="E341" s="143" t="s">
        <v>263</v>
      </c>
      <c r="F341" s="100" t="s">
        <v>1415</v>
      </c>
      <c r="G341" s="188" t="s">
        <v>195</v>
      </c>
      <c r="H341" s="197" t="s">
        <v>80</v>
      </c>
      <c r="I341" s="100" t="s">
        <v>1416</v>
      </c>
      <c r="J341" s="100">
        <v>5</v>
      </c>
      <c r="K341" s="100" t="s">
        <v>779</v>
      </c>
      <c r="L341" s="190" t="s">
        <v>80</v>
      </c>
      <c r="M341" s="191"/>
      <c r="Q341" s="1"/>
    </row>
    <row r="342" spans="2:17" ht="22.15" customHeight="1">
      <c r="B342" s="218" t="s">
        <v>53</v>
      </c>
      <c r="C342" s="143" t="s">
        <v>1412</v>
      </c>
      <c r="D342" s="143" t="s">
        <v>1413</v>
      </c>
      <c r="E342" s="143" t="s">
        <v>263</v>
      </c>
      <c r="F342" s="100" t="s">
        <v>170</v>
      </c>
      <c r="G342" s="188" t="s">
        <v>195</v>
      </c>
      <c r="H342" s="197" t="s">
        <v>80</v>
      </c>
      <c r="I342" s="100" t="s">
        <v>1417</v>
      </c>
      <c r="J342" s="100">
        <v>7</v>
      </c>
      <c r="K342" s="100" t="s">
        <v>779</v>
      </c>
      <c r="L342" s="190" t="s">
        <v>80</v>
      </c>
      <c r="M342" s="191"/>
      <c r="Q342" s="1"/>
    </row>
    <row r="343" spans="2:17" ht="22.15" customHeight="1">
      <c r="B343" s="218" t="s">
        <v>53</v>
      </c>
      <c r="C343" s="143" t="s">
        <v>1412</v>
      </c>
      <c r="D343" s="143" t="s">
        <v>1413</v>
      </c>
      <c r="E343" s="143" t="s">
        <v>263</v>
      </c>
      <c r="F343" s="100" t="s">
        <v>1415</v>
      </c>
      <c r="G343" s="188" t="s">
        <v>195</v>
      </c>
      <c r="H343" s="197" t="s">
        <v>80</v>
      </c>
      <c r="I343" s="100" t="s">
        <v>1418</v>
      </c>
      <c r="J343" s="100">
        <v>2</v>
      </c>
      <c r="K343" s="100" t="s">
        <v>779</v>
      </c>
      <c r="L343" s="190" t="s">
        <v>80</v>
      </c>
      <c r="M343" s="191"/>
      <c r="Q343" s="1"/>
    </row>
    <row r="344" spans="2:17" ht="22.15" customHeight="1">
      <c r="B344" s="218" t="s">
        <v>53</v>
      </c>
      <c r="C344" s="143" t="s">
        <v>1412</v>
      </c>
      <c r="D344" s="143" t="s">
        <v>1413</v>
      </c>
      <c r="E344" s="143" t="s">
        <v>263</v>
      </c>
      <c r="F344" s="100" t="s">
        <v>1415</v>
      </c>
      <c r="G344" s="188" t="s">
        <v>195</v>
      </c>
      <c r="H344" s="197" t="s">
        <v>80</v>
      </c>
      <c r="I344" s="100" t="s">
        <v>1419</v>
      </c>
      <c r="J344" s="100">
        <v>3</v>
      </c>
      <c r="K344" s="100" t="s">
        <v>779</v>
      </c>
      <c r="L344" s="190" t="s">
        <v>80</v>
      </c>
      <c r="M344" s="191"/>
      <c r="Q344" s="1"/>
    </row>
    <row r="345" spans="2:17" ht="22.15" customHeight="1">
      <c r="B345" s="218" t="s">
        <v>53</v>
      </c>
      <c r="C345" s="143" t="s">
        <v>1412</v>
      </c>
      <c r="D345" s="143" t="s">
        <v>1413</v>
      </c>
      <c r="E345" s="143" t="s">
        <v>263</v>
      </c>
      <c r="F345" s="100" t="s">
        <v>1415</v>
      </c>
      <c r="G345" s="188" t="s">
        <v>242</v>
      </c>
      <c r="H345" s="197" t="s">
        <v>80</v>
      </c>
      <c r="I345" s="100" t="s">
        <v>1420</v>
      </c>
      <c r="J345" s="100">
        <v>2</v>
      </c>
      <c r="K345" s="100" t="s">
        <v>779</v>
      </c>
      <c r="L345" s="190" t="s">
        <v>80</v>
      </c>
      <c r="M345" s="191"/>
      <c r="Q345" s="1"/>
    </row>
    <row r="346" spans="2:17" ht="22.15" customHeight="1">
      <c r="B346" s="218" t="s">
        <v>53</v>
      </c>
      <c r="C346" s="143" t="s">
        <v>1412</v>
      </c>
      <c r="D346" s="143" t="s">
        <v>1413</v>
      </c>
      <c r="E346" s="143" t="s">
        <v>263</v>
      </c>
      <c r="F346" s="100" t="s">
        <v>1415</v>
      </c>
      <c r="G346" s="188" t="s">
        <v>195</v>
      </c>
      <c r="H346" s="197" t="s">
        <v>80</v>
      </c>
      <c r="I346" s="100" t="s">
        <v>1421</v>
      </c>
      <c r="J346" s="100">
        <v>3</v>
      </c>
      <c r="K346" s="100" t="s">
        <v>779</v>
      </c>
      <c r="L346" s="190" t="s">
        <v>80</v>
      </c>
      <c r="M346" s="191"/>
      <c r="Q346" s="1"/>
    </row>
    <row r="347" spans="2:17" ht="22.15" customHeight="1">
      <c r="B347" s="218" t="s">
        <v>53</v>
      </c>
      <c r="C347" s="143" t="s">
        <v>1412</v>
      </c>
      <c r="D347" s="143" t="s">
        <v>1413</v>
      </c>
      <c r="E347" s="143" t="s">
        <v>263</v>
      </c>
      <c r="F347" s="100" t="s">
        <v>1415</v>
      </c>
      <c r="G347" s="188" t="s">
        <v>195</v>
      </c>
      <c r="H347" s="197" t="s">
        <v>80</v>
      </c>
      <c r="I347" s="100" t="s">
        <v>1422</v>
      </c>
      <c r="J347" s="100">
        <v>1</v>
      </c>
      <c r="K347" s="100" t="s">
        <v>779</v>
      </c>
      <c r="L347" s="190" t="s">
        <v>80</v>
      </c>
      <c r="M347" s="191"/>
      <c r="Q347" s="1"/>
    </row>
    <row r="348" spans="2:17" ht="22.15" customHeight="1">
      <c r="B348" s="176" t="s">
        <v>650</v>
      </c>
      <c r="C348" s="13" t="s">
        <v>1423</v>
      </c>
      <c r="D348" s="13" t="s">
        <v>1424</v>
      </c>
      <c r="E348" s="13" t="s">
        <v>263</v>
      </c>
      <c r="F348" s="143" t="s">
        <v>1376</v>
      </c>
      <c r="G348" s="177" t="s">
        <v>285</v>
      </c>
      <c r="H348" s="178" t="s">
        <v>64</v>
      </c>
      <c r="I348" s="13" t="s">
        <v>65</v>
      </c>
      <c r="J348" s="13">
        <v>15</v>
      </c>
      <c r="K348" s="13" t="s">
        <v>779</v>
      </c>
      <c r="L348" s="195" t="s">
        <v>1425</v>
      </c>
      <c r="M348" s="193"/>
      <c r="Q348" s="1"/>
    </row>
    <row r="349" spans="2:17" ht="22.15" customHeight="1">
      <c r="B349" s="176" t="s">
        <v>650</v>
      </c>
      <c r="C349" s="13" t="s">
        <v>1423</v>
      </c>
      <c r="D349" s="13" t="s">
        <v>1426</v>
      </c>
      <c r="E349" s="13" t="s">
        <v>263</v>
      </c>
      <c r="F349" s="143" t="s">
        <v>1376</v>
      </c>
      <c r="G349" s="177" t="s">
        <v>283</v>
      </c>
      <c r="H349" s="178" t="s">
        <v>64</v>
      </c>
      <c r="I349" s="13" t="s">
        <v>65</v>
      </c>
      <c r="J349" s="13">
        <v>64</v>
      </c>
      <c r="K349" s="13" t="s">
        <v>779</v>
      </c>
      <c r="L349" s="195" t="s">
        <v>1427</v>
      </c>
      <c r="M349" s="193"/>
      <c r="Q349" s="1"/>
    </row>
    <row r="350" spans="2:17" ht="22.15" customHeight="1">
      <c r="B350" s="176" t="s">
        <v>650</v>
      </c>
      <c r="C350" s="13" t="s">
        <v>1423</v>
      </c>
      <c r="D350" s="13" t="s">
        <v>1428</v>
      </c>
      <c r="E350" s="13" t="s">
        <v>263</v>
      </c>
      <c r="F350" s="143" t="s">
        <v>1104</v>
      </c>
      <c r="G350" s="177" t="s">
        <v>269</v>
      </c>
      <c r="H350" s="178" t="s">
        <v>64</v>
      </c>
      <c r="I350" s="13" t="s">
        <v>65</v>
      </c>
      <c r="J350" s="13">
        <v>537</v>
      </c>
      <c r="K350" s="13" t="s">
        <v>779</v>
      </c>
      <c r="L350" s="195">
        <v>0.94</v>
      </c>
      <c r="M350" s="193"/>
      <c r="Q350" s="1"/>
    </row>
    <row r="351" spans="2:17" ht="22.15" customHeight="1">
      <c r="B351" s="176" t="s">
        <v>650</v>
      </c>
      <c r="C351" s="13" t="s">
        <v>1423</v>
      </c>
      <c r="D351" s="13" t="s">
        <v>1429</v>
      </c>
      <c r="E351" s="13" t="s">
        <v>263</v>
      </c>
      <c r="F351" s="13" t="s">
        <v>279</v>
      </c>
      <c r="G351" s="177" t="s">
        <v>280</v>
      </c>
      <c r="H351" s="178" t="s">
        <v>64</v>
      </c>
      <c r="I351" s="13" t="s">
        <v>65</v>
      </c>
      <c r="J351" s="13">
        <v>53</v>
      </c>
      <c r="K351" s="13" t="s">
        <v>779</v>
      </c>
      <c r="L351" s="195">
        <v>1.71</v>
      </c>
      <c r="M351" s="193"/>
      <c r="Q351" s="1"/>
    </row>
    <row r="352" spans="2:17" ht="22.15" customHeight="1">
      <c r="B352" s="176" t="s">
        <v>650</v>
      </c>
      <c r="C352" s="13" t="s">
        <v>1423</v>
      </c>
      <c r="D352" s="13" t="s">
        <v>1430</v>
      </c>
      <c r="E352" s="13" t="s">
        <v>263</v>
      </c>
      <c r="F352" s="143" t="s">
        <v>1104</v>
      </c>
      <c r="G352" s="177" t="s">
        <v>274</v>
      </c>
      <c r="H352" s="178" t="s">
        <v>64</v>
      </c>
      <c r="I352" s="13" t="s">
        <v>65</v>
      </c>
      <c r="J352" s="13">
        <v>333</v>
      </c>
      <c r="K352" s="13" t="s">
        <v>779</v>
      </c>
      <c r="L352" s="195" t="s">
        <v>1431</v>
      </c>
      <c r="M352" s="193"/>
      <c r="Q352" s="1"/>
    </row>
    <row r="353" spans="2:17" ht="22.15" customHeight="1">
      <c r="B353" s="176" t="s">
        <v>650</v>
      </c>
      <c r="C353" s="13" t="s">
        <v>1423</v>
      </c>
      <c r="D353" s="13" t="s">
        <v>1429</v>
      </c>
      <c r="E353" s="13" t="s">
        <v>263</v>
      </c>
      <c r="F353" s="143" t="s">
        <v>138</v>
      </c>
      <c r="G353" s="177" t="s">
        <v>274</v>
      </c>
      <c r="H353" s="178" t="s">
        <v>276</v>
      </c>
      <c r="I353" s="13" t="s">
        <v>277</v>
      </c>
      <c r="J353" s="13">
        <v>494</v>
      </c>
      <c r="K353" s="13" t="s">
        <v>779</v>
      </c>
      <c r="L353" s="195" t="s">
        <v>1432</v>
      </c>
      <c r="M353" s="193"/>
      <c r="Q353" s="1"/>
    </row>
    <row r="354" spans="2:17" ht="22.15" customHeight="1">
      <c r="B354" s="176" t="s">
        <v>1433</v>
      </c>
      <c r="C354" s="13" t="s">
        <v>1423</v>
      </c>
      <c r="D354" s="222" t="s">
        <v>1434</v>
      </c>
      <c r="E354" s="13" t="s">
        <v>263</v>
      </c>
      <c r="F354" s="62" t="s">
        <v>68</v>
      </c>
      <c r="G354" s="13" t="s">
        <v>1435</v>
      </c>
      <c r="H354" s="117" t="s">
        <v>1335</v>
      </c>
      <c r="I354" s="216" t="s">
        <v>713</v>
      </c>
      <c r="J354" s="13">
        <v>41</v>
      </c>
      <c r="K354" s="143" t="s">
        <v>714</v>
      </c>
      <c r="L354" s="195">
        <v>25</v>
      </c>
      <c r="M354" s="193"/>
      <c r="Q354" s="1"/>
    </row>
    <row r="355" spans="2:17" ht="22.15" customHeight="1">
      <c r="B355" s="176" t="s">
        <v>1433</v>
      </c>
      <c r="C355" s="13" t="s">
        <v>1423</v>
      </c>
      <c r="D355" s="222" t="s">
        <v>1434</v>
      </c>
      <c r="E355" s="13" t="s">
        <v>263</v>
      </c>
      <c r="F355" s="62" t="s">
        <v>68</v>
      </c>
      <c r="G355" s="13" t="s">
        <v>1436</v>
      </c>
      <c r="H355" s="117" t="s">
        <v>1335</v>
      </c>
      <c r="I355" s="216" t="s">
        <v>713</v>
      </c>
      <c r="J355" s="13">
        <v>59</v>
      </c>
      <c r="K355" s="13" t="s">
        <v>779</v>
      </c>
      <c r="L355" s="195">
        <v>25</v>
      </c>
      <c r="M355" s="193"/>
      <c r="Q355" s="1"/>
    </row>
    <row r="356" spans="2:17" ht="22.15" customHeight="1">
      <c r="B356" s="176" t="s">
        <v>1433</v>
      </c>
      <c r="C356" s="13" t="s">
        <v>1423</v>
      </c>
      <c r="D356" s="222" t="s">
        <v>1434</v>
      </c>
      <c r="E356" s="13" t="s">
        <v>263</v>
      </c>
      <c r="F356" s="62" t="s">
        <v>68</v>
      </c>
      <c r="G356" s="13" t="s">
        <v>1437</v>
      </c>
      <c r="H356" s="117" t="s">
        <v>1335</v>
      </c>
      <c r="I356" s="216" t="s">
        <v>713</v>
      </c>
      <c r="J356" s="13">
        <v>23</v>
      </c>
      <c r="K356" s="13" t="s">
        <v>779</v>
      </c>
      <c r="L356" s="195">
        <v>25</v>
      </c>
      <c r="M356" s="193"/>
      <c r="Q356" s="1"/>
    </row>
    <row r="357" spans="2:17" ht="22.15" customHeight="1">
      <c r="B357" s="176" t="s">
        <v>1433</v>
      </c>
      <c r="C357" s="13" t="s">
        <v>1423</v>
      </c>
      <c r="D357" s="222" t="s">
        <v>1434</v>
      </c>
      <c r="E357" s="13" t="s">
        <v>263</v>
      </c>
      <c r="F357" s="62" t="s">
        <v>68</v>
      </c>
      <c r="G357" s="13" t="s">
        <v>104</v>
      </c>
      <c r="H357" s="117" t="s">
        <v>1335</v>
      </c>
      <c r="I357" s="216" t="s">
        <v>713</v>
      </c>
      <c r="J357" s="13">
        <v>50</v>
      </c>
      <c r="K357" s="13" t="s">
        <v>779</v>
      </c>
      <c r="L357" s="195">
        <v>25</v>
      </c>
      <c r="M357" s="193"/>
      <c r="Q357" s="1"/>
    </row>
    <row r="358" spans="2:17" ht="22.15" customHeight="1">
      <c r="B358" s="176" t="s">
        <v>1433</v>
      </c>
      <c r="C358" s="13" t="s">
        <v>1423</v>
      </c>
      <c r="D358" s="222" t="s">
        <v>1434</v>
      </c>
      <c r="E358" s="13" t="s">
        <v>263</v>
      </c>
      <c r="F358" s="62" t="s">
        <v>68</v>
      </c>
      <c r="G358" s="13" t="s">
        <v>1438</v>
      </c>
      <c r="H358" s="117" t="s">
        <v>1335</v>
      </c>
      <c r="I358" s="216" t="s">
        <v>713</v>
      </c>
      <c r="J358" s="13">
        <v>2</v>
      </c>
      <c r="K358" s="13" t="s">
        <v>779</v>
      </c>
      <c r="L358" s="195">
        <v>25</v>
      </c>
      <c r="M358" s="193"/>
      <c r="Q358" s="1"/>
    </row>
    <row r="359" spans="2:17" ht="22.15" customHeight="1">
      <c r="B359" s="176" t="s">
        <v>1433</v>
      </c>
      <c r="C359" s="13" t="s">
        <v>1423</v>
      </c>
      <c r="D359" s="222" t="s">
        <v>1434</v>
      </c>
      <c r="E359" s="13" t="s">
        <v>263</v>
      </c>
      <c r="F359" s="62" t="s">
        <v>68</v>
      </c>
      <c r="G359" s="13" t="s">
        <v>1439</v>
      </c>
      <c r="H359" s="117" t="s">
        <v>1335</v>
      </c>
      <c r="I359" s="216" t="s">
        <v>713</v>
      </c>
      <c r="J359" s="13">
        <v>23</v>
      </c>
      <c r="K359" s="13" t="s">
        <v>779</v>
      </c>
      <c r="L359" s="195">
        <v>25</v>
      </c>
      <c r="M359" s="193"/>
      <c r="Q359" s="1"/>
    </row>
    <row r="360" spans="2:17" ht="22.15" customHeight="1">
      <c r="B360" s="221" t="s">
        <v>1440</v>
      </c>
      <c r="C360" s="62" t="s">
        <v>1441</v>
      </c>
      <c r="D360" s="216" t="s">
        <v>1442</v>
      </c>
      <c r="E360" s="62" t="s">
        <v>1443</v>
      </c>
      <c r="F360" s="216" t="s">
        <v>1444</v>
      </c>
      <c r="G360" s="222" t="s">
        <v>1360</v>
      </c>
      <c r="H360" s="178" t="s">
        <v>1445</v>
      </c>
      <c r="I360" s="177" t="s">
        <v>1446</v>
      </c>
      <c r="J360" s="216">
        <v>12</v>
      </c>
      <c r="K360" s="13" t="s">
        <v>779</v>
      </c>
      <c r="L360" s="195">
        <v>2.37</v>
      </c>
      <c r="M360" s="223" t="s">
        <v>1447</v>
      </c>
      <c r="Q360" s="1"/>
    </row>
    <row r="361" spans="2:17" ht="22.15" customHeight="1">
      <c r="B361" s="224" t="s">
        <v>59</v>
      </c>
      <c r="C361" s="62" t="s">
        <v>1441</v>
      </c>
      <c r="D361" s="216" t="s">
        <v>1448</v>
      </c>
      <c r="E361" s="62" t="s">
        <v>90</v>
      </c>
      <c r="F361" s="216" t="s">
        <v>1444</v>
      </c>
      <c r="G361" s="222" t="s">
        <v>1360</v>
      </c>
      <c r="H361" s="178" t="s">
        <v>1449</v>
      </c>
      <c r="I361" s="177" t="s">
        <v>1450</v>
      </c>
      <c r="J361" s="216">
        <v>6</v>
      </c>
      <c r="K361" s="13" t="s">
        <v>779</v>
      </c>
      <c r="L361" s="195">
        <v>1.9</v>
      </c>
      <c r="M361" s="223" t="s">
        <v>1451</v>
      </c>
      <c r="Q361" s="1"/>
    </row>
    <row r="362" spans="2:17" ht="22.15" customHeight="1">
      <c r="B362" s="224" t="s">
        <v>59</v>
      </c>
      <c r="C362" s="62" t="s">
        <v>1441</v>
      </c>
      <c r="D362" s="216" t="s">
        <v>1452</v>
      </c>
      <c r="E362" s="62" t="s">
        <v>90</v>
      </c>
      <c r="F362" s="216" t="s">
        <v>1444</v>
      </c>
      <c r="G362" s="222" t="s">
        <v>1360</v>
      </c>
      <c r="H362" s="178" t="s">
        <v>1453</v>
      </c>
      <c r="I362" s="177" t="s">
        <v>1450</v>
      </c>
      <c r="J362" s="216">
        <v>6</v>
      </c>
      <c r="K362" s="13" t="s">
        <v>779</v>
      </c>
      <c r="L362" s="195">
        <v>2.91</v>
      </c>
      <c r="M362" s="223" t="s">
        <v>1451</v>
      </c>
      <c r="Q362" s="1"/>
    </row>
    <row r="363" spans="2:17" ht="22.15" customHeight="1">
      <c r="B363" s="224" t="s">
        <v>59</v>
      </c>
      <c r="C363" s="62" t="s">
        <v>1441</v>
      </c>
      <c r="D363" s="216" t="s">
        <v>1454</v>
      </c>
      <c r="E363" s="62" t="s">
        <v>90</v>
      </c>
      <c r="F363" s="216" t="s">
        <v>1444</v>
      </c>
      <c r="G363" s="222" t="s">
        <v>1455</v>
      </c>
      <c r="H363" s="216" t="s">
        <v>1456</v>
      </c>
      <c r="I363" s="177" t="s">
        <v>1450</v>
      </c>
      <c r="J363" s="216" t="s">
        <v>1457</v>
      </c>
      <c r="K363" s="13" t="s">
        <v>779</v>
      </c>
      <c r="L363" s="195">
        <v>3.3</v>
      </c>
      <c r="M363" s="223" t="s">
        <v>1451</v>
      </c>
      <c r="Q363" s="1"/>
    </row>
    <row r="364" spans="2:17" ht="22.15" customHeight="1">
      <c r="B364" s="224" t="s">
        <v>59</v>
      </c>
      <c r="C364" s="62" t="s">
        <v>1441</v>
      </c>
      <c r="D364" s="216" t="s">
        <v>1458</v>
      </c>
      <c r="E364" s="62" t="s">
        <v>90</v>
      </c>
      <c r="F364" s="216" t="s">
        <v>1459</v>
      </c>
      <c r="G364" s="222" t="s">
        <v>1360</v>
      </c>
      <c r="H364" s="178" t="s">
        <v>1460</v>
      </c>
      <c r="I364" s="177" t="s">
        <v>1450</v>
      </c>
      <c r="J364" s="216">
        <v>1</v>
      </c>
      <c r="K364" s="13" t="s">
        <v>779</v>
      </c>
      <c r="L364" s="195">
        <v>1.06</v>
      </c>
      <c r="M364" s="223" t="s">
        <v>1461</v>
      </c>
      <c r="Q364" s="1"/>
    </row>
    <row r="365" spans="2:17" ht="22.15" customHeight="1">
      <c r="B365" s="224" t="s">
        <v>59</v>
      </c>
      <c r="C365" s="62" t="s">
        <v>1441</v>
      </c>
      <c r="D365" s="216" t="s">
        <v>1462</v>
      </c>
      <c r="E365" s="62" t="s">
        <v>90</v>
      </c>
      <c r="F365" s="216" t="s">
        <v>1459</v>
      </c>
      <c r="G365" s="222" t="s">
        <v>1455</v>
      </c>
      <c r="H365" s="178" t="s">
        <v>1463</v>
      </c>
      <c r="I365" s="177" t="s">
        <v>1450</v>
      </c>
      <c r="J365" s="216">
        <v>1</v>
      </c>
      <c r="K365" s="13" t="s">
        <v>779</v>
      </c>
      <c r="L365" s="195">
        <v>1.5</v>
      </c>
      <c r="M365" s="223" t="s">
        <v>1461</v>
      </c>
      <c r="Q365" s="1"/>
    </row>
    <row r="366" spans="2:17" ht="22.15" customHeight="1">
      <c r="B366" s="224" t="s">
        <v>59</v>
      </c>
      <c r="C366" s="62" t="s">
        <v>1441</v>
      </c>
      <c r="D366" s="216" t="s">
        <v>1464</v>
      </c>
      <c r="E366" s="62" t="s">
        <v>90</v>
      </c>
      <c r="F366" s="216" t="s">
        <v>236</v>
      </c>
      <c r="G366" s="222" t="s">
        <v>1360</v>
      </c>
      <c r="H366" s="216" t="s">
        <v>1465</v>
      </c>
      <c r="I366" s="177" t="s">
        <v>1466</v>
      </c>
      <c r="J366" s="216" t="s">
        <v>1467</v>
      </c>
      <c r="K366" s="13" t="s">
        <v>779</v>
      </c>
      <c r="L366" s="195">
        <v>4.29</v>
      </c>
      <c r="M366" s="223" t="s">
        <v>1468</v>
      </c>
      <c r="Q366" s="1"/>
    </row>
    <row r="367" spans="2:17" ht="22.15" customHeight="1">
      <c r="B367" s="224" t="s">
        <v>59</v>
      </c>
      <c r="C367" s="62" t="s">
        <v>1441</v>
      </c>
      <c r="D367" s="216" t="s">
        <v>1442</v>
      </c>
      <c r="E367" s="62" t="s">
        <v>90</v>
      </c>
      <c r="F367" s="216" t="s">
        <v>236</v>
      </c>
      <c r="G367" s="222" t="s">
        <v>1360</v>
      </c>
      <c r="H367" s="216" t="s">
        <v>1469</v>
      </c>
      <c r="I367" s="177" t="s">
        <v>1470</v>
      </c>
      <c r="J367" s="216" t="s">
        <v>1471</v>
      </c>
      <c r="K367" s="13" t="s">
        <v>779</v>
      </c>
      <c r="L367" s="195">
        <v>2.86</v>
      </c>
      <c r="M367" s="223" t="s">
        <v>1468</v>
      </c>
      <c r="Q367" s="1"/>
    </row>
    <row r="368" spans="2:17" ht="22.15" customHeight="1">
      <c r="B368" s="224" t="s">
        <v>59</v>
      </c>
      <c r="C368" s="62" t="s">
        <v>1441</v>
      </c>
      <c r="D368" s="216" t="s">
        <v>1472</v>
      </c>
      <c r="E368" s="62" t="s">
        <v>90</v>
      </c>
      <c r="F368" s="216" t="s">
        <v>236</v>
      </c>
      <c r="G368" s="222" t="s">
        <v>1473</v>
      </c>
      <c r="H368" s="216" t="s">
        <v>1474</v>
      </c>
      <c r="I368" s="177" t="s">
        <v>1475</v>
      </c>
      <c r="J368" s="216" t="s">
        <v>1476</v>
      </c>
      <c r="K368" s="13" t="s">
        <v>779</v>
      </c>
      <c r="L368" s="195">
        <v>1.73</v>
      </c>
      <c r="M368" s="223" t="s">
        <v>1468</v>
      </c>
      <c r="Q368" s="1"/>
    </row>
    <row r="369" spans="2:17" ht="22.15" customHeight="1">
      <c r="B369" s="224" t="s">
        <v>59</v>
      </c>
      <c r="C369" s="62" t="s">
        <v>1441</v>
      </c>
      <c r="D369" s="216" t="s">
        <v>1472</v>
      </c>
      <c r="E369" s="62" t="s">
        <v>90</v>
      </c>
      <c r="F369" s="216" t="s">
        <v>236</v>
      </c>
      <c r="G369" s="222" t="s">
        <v>1473</v>
      </c>
      <c r="H369" s="216" t="s">
        <v>1477</v>
      </c>
      <c r="I369" s="177" t="s">
        <v>1478</v>
      </c>
      <c r="J369" s="216" t="s">
        <v>1479</v>
      </c>
      <c r="K369" s="13" t="s">
        <v>779</v>
      </c>
      <c r="L369" s="195">
        <v>0.88</v>
      </c>
      <c r="M369" s="223" t="s">
        <v>1468</v>
      </c>
      <c r="Q369" s="1"/>
    </row>
    <row r="370" spans="2:17" ht="22.15" customHeight="1">
      <c r="B370" s="224" t="s">
        <v>59</v>
      </c>
      <c r="C370" s="62" t="s">
        <v>1441</v>
      </c>
      <c r="D370" s="216" t="s">
        <v>1480</v>
      </c>
      <c r="E370" s="62" t="s">
        <v>90</v>
      </c>
      <c r="F370" s="216" t="s">
        <v>236</v>
      </c>
      <c r="G370" s="222" t="s">
        <v>1360</v>
      </c>
      <c r="H370" s="216" t="s">
        <v>1481</v>
      </c>
      <c r="I370" s="177" t="s">
        <v>1466</v>
      </c>
      <c r="J370" s="216" t="s">
        <v>1482</v>
      </c>
      <c r="K370" s="13" t="s">
        <v>779</v>
      </c>
      <c r="L370" s="195">
        <v>7.66</v>
      </c>
      <c r="M370" s="223" t="s">
        <v>1468</v>
      </c>
      <c r="Q370" s="1"/>
    </row>
    <row r="371" spans="2:17" ht="22.15" customHeight="1">
      <c r="B371" s="224" t="s">
        <v>59</v>
      </c>
      <c r="C371" s="62" t="s">
        <v>1441</v>
      </c>
      <c r="D371" s="177" t="s">
        <v>80</v>
      </c>
      <c r="E371" s="62" t="s">
        <v>90</v>
      </c>
      <c r="F371" s="216" t="s">
        <v>236</v>
      </c>
      <c r="G371" s="222" t="s">
        <v>1360</v>
      </c>
      <c r="H371" s="216" t="s">
        <v>1483</v>
      </c>
      <c r="I371" s="177" t="s">
        <v>1466</v>
      </c>
      <c r="J371" s="216" t="s">
        <v>1484</v>
      </c>
      <c r="K371" s="13" t="s">
        <v>779</v>
      </c>
      <c r="L371" s="195">
        <v>4.79</v>
      </c>
      <c r="M371" s="223" t="s">
        <v>1468</v>
      </c>
      <c r="Q371" s="1"/>
    </row>
    <row r="372" spans="2:17" ht="22.15" customHeight="1">
      <c r="B372" s="224" t="s">
        <v>59</v>
      </c>
      <c r="C372" s="62" t="s">
        <v>1441</v>
      </c>
      <c r="D372" s="216" t="s">
        <v>1464</v>
      </c>
      <c r="E372" s="62" t="s">
        <v>90</v>
      </c>
      <c r="F372" s="216" t="s">
        <v>236</v>
      </c>
      <c r="G372" s="222" t="s">
        <v>1360</v>
      </c>
      <c r="H372" s="216" t="s">
        <v>1465</v>
      </c>
      <c r="I372" s="177" t="s">
        <v>1466</v>
      </c>
      <c r="J372" s="216" t="s">
        <v>1485</v>
      </c>
      <c r="K372" s="13" t="s">
        <v>779</v>
      </c>
      <c r="L372" s="195">
        <v>4.29</v>
      </c>
      <c r="M372" s="223" t="s">
        <v>1468</v>
      </c>
      <c r="Q372" s="1"/>
    </row>
    <row r="373" spans="2:17" ht="22.15" customHeight="1">
      <c r="B373" s="224" t="s">
        <v>59</v>
      </c>
      <c r="C373" s="62" t="s">
        <v>1441</v>
      </c>
      <c r="D373" s="216" t="s">
        <v>1486</v>
      </c>
      <c r="E373" s="62" t="s">
        <v>90</v>
      </c>
      <c r="F373" s="216" t="s">
        <v>236</v>
      </c>
      <c r="G373" s="222" t="s">
        <v>1360</v>
      </c>
      <c r="H373" s="216" t="s">
        <v>1487</v>
      </c>
      <c r="I373" s="177" t="s">
        <v>1466</v>
      </c>
      <c r="J373" s="216">
        <v>4</v>
      </c>
      <c r="K373" s="13" t="s">
        <v>779</v>
      </c>
      <c r="L373" s="195">
        <v>5.66</v>
      </c>
      <c r="M373" s="223" t="s">
        <v>1468</v>
      </c>
      <c r="Q373" s="1"/>
    </row>
    <row r="374" spans="2:17" ht="22.15" customHeight="1">
      <c r="B374" s="224" t="s">
        <v>59</v>
      </c>
      <c r="C374" s="62" t="s">
        <v>1441</v>
      </c>
      <c r="D374" s="216" t="s">
        <v>1488</v>
      </c>
      <c r="E374" s="62" t="s">
        <v>90</v>
      </c>
      <c r="F374" s="216" t="s">
        <v>236</v>
      </c>
      <c r="G374" s="222" t="s">
        <v>1360</v>
      </c>
      <c r="H374" s="178" t="s">
        <v>1489</v>
      </c>
      <c r="I374" s="177" t="s">
        <v>1490</v>
      </c>
      <c r="J374" s="216">
        <v>10</v>
      </c>
      <c r="K374" s="13" t="s">
        <v>779</v>
      </c>
      <c r="L374" s="195">
        <v>4.95</v>
      </c>
      <c r="M374" s="223" t="s">
        <v>1468</v>
      </c>
      <c r="Q374" s="1"/>
    </row>
    <row r="375" spans="2:17" ht="22.15" customHeight="1">
      <c r="B375" s="224" t="s">
        <v>59</v>
      </c>
      <c r="C375" s="62" t="s">
        <v>1441</v>
      </c>
      <c r="D375" s="216" t="s">
        <v>1491</v>
      </c>
      <c r="E375" s="62" t="s">
        <v>90</v>
      </c>
      <c r="F375" s="216" t="s">
        <v>236</v>
      </c>
      <c r="G375" s="222" t="s">
        <v>1455</v>
      </c>
      <c r="H375" s="178" t="s">
        <v>1492</v>
      </c>
      <c r="I375" s="177" t="s">
        <v>1490</v>
      </c>
      <c r="J375" s="216">
        <v>1</v>
      </c>
      <c r="K375" s="13" t="s">
        <v>779</v>
      </c>
      <c r="L375" s="195">
        <v>6.58</v>
      </c>
      <c r="M375" s="223" t="s">
        <v>1468</v>
      </c>
      <c r="Q375" s="1"/>
    </row>
    <row r="376" spans="2:17" ht="22.15" customHeight="1">
      <c r="B376" s="224" t="s">
        <v>59</v>
      </c>
      <c r="C376" s="62" t="s">
        <v>1441</v>
      </c>
      <c r="D376" s="216" t="s">
        <v>1493</v>
      </c>
      <c r="E376" s="62" t="s">
        <v>90</v>
      </c>
      <c r="F376" s="216" t="s">
        <v>236</v>
      </c>
      <c r="G376" s="222" t="s">
        <v>283</v>
      </c>
      <c r="H376" s="178" t="s">
        <v>1492</v>
      </c>
      <c r="I376" s="177" t="s">
        <v>1490</v>
      </c>
      <c r="J376" s="216">
        <v>1</v>
      </c>
      <c r="K376" s="13" t="s">
        <v>779</v>
      </c>
      <c r="L376" s="195">
        <v>7.31</v>
      </c>
      <c r="M376" s="223" t="s">
        <v>1468</v>
      </c>
      <c r="Q376" s="1"/>
    </row>
    <row r="377" spans="2:17" ht="22.15" customHeight="1">
      <c r="B377" s="224" t="s">
        <v>59</v>
      </c>
      <c r="C377" s="62" t="s">
        <v>1441</v>
      </c>
      <c r="D377" s="216" t="s">
        <v>1491</v>
      </c>
      <c r="E377" s="62" t="s">
        <v>90</v>
      </c>
      <c r="F377" s="216" t="s">
        <v>236</v>
      </c>
      <c r="G377" s="222" t="s">
        <v>1455</v>
      </c>
      <c r="H377" s="178" t="s">
        <v>1494</v>
      </c>
      <c r="I377" s="177" t="s">
        <v>1490</v>
      </c>
      <c r="J377" s="216">
        <v>4</v>
      </c>
      <c r="K377" s="13" t="s">
        <v>779</v>
      </c>
      <c r="L377" s="195">
        <v>6.58</v>
      </c>
      <c r="M377" s="223" t="s">
        <v>1468</v>
      </c>
      <c r="Q377" s="1"/>
    </row>
    <row r="378" spans="2:17" ht="22.15" customHeight="1">
      <c r="B378" s="224" t="s">
        <v>59</v>
      </c>
      <c r="C378" s="62" t="s">
        <v>1441</v>
      </c>
      <c r="D378" s="216" t="s">
        <v>1493</v>
      </c>
      <c r="E378" s="62" t="s">
        <v>90</v>
      </c>
      <c r="F378" s="216" t="s">
        <v>236</v>
      </c>
      <c r="G378" s="222" t="s">
        <v>283</v>
      </c>
      <c r="H378" s="178" t="s">
        <v>1495</v>
      </c>
      <c r="I378" s="177" t="s">
        <v>1490</v>
      </c>
      <c r="J378" s="216">
        <v>2</v>
      </c>
      <c r="K378" s="13" t="s">
        <v>779</v>
      </c>
      <c r="L378" s="195">
        <v>7.31</v>
      </c>
      <c r="M378" s="223" t="s">
        <v>1468</v>
      </c>
    </row>
    <row r="379" spans="2:17" ht="22.15" customHeight="1">
      <c r="B379" s="224" t="s">
        <v>59</v>
      </c>
      <c r="C379" s="62" t="s">
        <v>1441</v>
      </c>
      <c r="D379" s="216" t="s">
        <v>1496</v>
      </c>
      <c r="E379" s="62" t="s">
        <v>90</v>
      </c>
      <c r="F379" s="216" t="s">
        <v>236</v>
      </c>
      <c r="G379" s="222" t="s">
        <v>1360</v>
      </c>
      <c r="H379" s="178" t="s">
        <v>1497</v>
      </c>
      <c r="I379" s="177" t="s">
        <v>1490</v>
      </c>
      <c r="J379" s="216">
        <v>4</v>
      </c>
      <c r="K379" s="13" t="s">
        <v>779</v>
      </c>
      <c r="L379" s="195">
        <v>3.81</v>
      </c>
      <c r="M379" s="223" t="s">
        <v>1468</v>
      </c>
    </row>
    <row r="380" spans="2:17" ht="22.15" customHeight="1">
      <c r="B380" s="224" t="s">
        <v>59</v>
      </c>
      <c r="C380" s="62" t="s">
        <v>1441</v>
      </c>
      <c r="D380" s="216" t="s">
        <v>1496</v>
      </c>
      <c r="E380" s="62" t="s">
        <v>90</v>
      </c>
      <c r="F380" s="216" t="s">
        <v>236</v>
      </c>
      <c r="G380" s="222" t="s">
        <v>1360</v>
      </c>
      <c r="H380" s="178" t="s">
        <v>1498</v>
      </c>
      <c r="I380" s="177" t="s">
        <v>1490</v>
      </c>
      <c r="J380" s="216">
        <v>2</v>
      </c>
      <c r="K380" s="13" t="s">
        <v>779</v>
      </c>
      <c r="L380" s="195">
        <v>3.81</v>
      </c>
      <c r="M380" s="223" t="s">
        <v>1468</v>
      </c>
    </row>
    <row r="381" spans="2:17" ht="22.15" customHeight="1">
      <c r="B381" s="224" t="s">
        <v>7</v>
      </c>
      <c r="C381" s="62" t="s">
        <v>1441</v>
      </c>
      <c r="D381" s="222" t="s">
        <v>1434</v>
      </c>
      <c r="E381" s="62" t="s">
        <v>90</v>
      </c>
      <c r="F381" s="222" t="s">
        <v>252</v>
      </c>
      <c r="G381" s="222" t="s">
        <v>1048</v>
      </c>
      <c r="H381" s="178" t="s">
        <v>1499</v>
      </c>
      <c r="I381" s="177" t="s">
        <v>1500</v>
      </c>
      <c r="J381" s="216" t="s">
        <v>1485</v>
      </c>
      <c r="K381" s="13" t="s">
        <v>779</v>
      </c>
      <c r="L381" s="195">
        <v>202.4</v>
      </c>
      <c r="M381" s="226" t="s">
        <v>252</v>
      </c>
    </row>
    <row r="382" spans="2:17" ht="22.15" customHeight="1">
      <c r="B382" s="224" t="s">
        <v>59</v>
      </c>
      <c r="C382" s="62" t="s">
        <v>1441</v>
      </c>
      <c r="D382" s="216" t="s">
        <v>1452</v>
      </c>
      <c r="E382" s="62" t="s">
        <v>90</v>
      </c>
      <c r="F382" s="216" t="s">
        <v>1444</v>
      </c>
      <c r="G382" s="222" t="s">
        <v>1360</v>
      </c>
      <c r="H382" s="178" t="s">
        <v>1501</v>
      </c>
      <c r="I382" s="222" t="s">
        <v>1450</v>
      </c>
      <c r="J382" s="216">
        <v>3</v>
      </c>
      <c r="K382" s="13" t="s">
        <v>779</v>
      </c>
      <c r="L382" s="195">
        <v>2.12</v>
      </c>
      <c r="M382" s="223" t="s">
        <v>1502</v>
      </c>
    </row>
    <row r="383" spans="2:17" ht="22.15" customHeight="1">
      <c r="B383" s="224" t="s">
        <v>59</v>
      </c>
      <c r="C383" s="62" t="s">
        <v>1441</v>
      </c>
      <c r="D383" s="216" t="s">
        <v>1503</v>
      </c>
      <c r="E383" s="62" t="s">
        <v>90</v>
      </c>
      <c r="F383" s="216" t="s">
        <v>1444</v>
      </c>
      <c r="G383" s="222" t="s">
        <v>1360</v>
      </c>
      <c r="H383" s="178" t="s">
        <v>1504</v>
      </c>
      <c r="I383" s="222" t="s">
        <v>1450</v>
      </c>
      <c r="J383" s="216">
        <v>4</v>
      </c>
      <c r="K383" s="13" t="s">
        <v>779</v>
      </c>
      <c r="L383" s="195">
        <v>4.3099999999999996</v>
      </c>
      <c r="M383" s="223" t="s">
        <v>1505</v>
      </c>
    </row>
    <row r="384" spans="2:17" ht="22.15" customHeight="1">
      <c r="B384" s="224" t="s">
        <v>59</v>
      </c>
      <c r="C384" s="62" t="s">
        <v>1441</v>
      </c>
      <c r="D384" s="216" t="s">
        <v>1503</v>
      </c>
      <c r="E384" s="62" t="s">
        <v>90</v>
      </c>
      <c r="F384" s="216" t="s">
        <v>1444</v>
      </c>
      <c r="G384" s="222" t="s">
        <v>1360</v>
      </c>
      <c r="H384" s="178" t="s">
        <v>1506</v>
      </c>
      <c r="I384" s="222" t="s">
        <v>1450</v>
      </c>
      <c r="J384" s="216">
        <v>6</v>
      </c>
      <c r="K384" s="13" t="s">
        <v>779</v>
      </c>
      <c r="L384" s="195">
        <v>4</v>
      </c>
      <c r="M384" s="223" t="s">
        <v>1505</v>
      </c>
    </row>
    <row r="385" spans="2:15" ht="22.15" customHeight="1">
      <c r="B385" s="221" t="s">
        <v>59</v>
      </c>
      <c r="C385" s="62" t="s">
        <v>1441</v>
      </c>
      <c r="D385" s="216" t="s">
        <v>1452</v>
      </c>
      <c r="E385" s="62" t="s">
        <v>90</v>
      </c>
      <c r="F385" s="216" t="s">
        <v>1444</v>
      </c>
      <c r="G385" s="222" t="s">
        <v>1360</v>
      </c>
      <c r="H385" s="178" t="s">
        <v>1507</v>
      </c>
      <c r="I385" s="222" t="s">
        <v>1450</v>
      </c>
      <c r="J385" s="216">
        <v>25</v>
      </c>
      <c r="K385" s="13" t="s">
        <v>779</v>
      </c>
      <c r="L385" s="195">
        <v>1.71</v>
      </c>
      <c r="M385" s="223" t="s">
        <v>1508</v>
      </c>
    </row>
    <row r="386" spans="2:15" ht="22.15" customHeight="1">
      <c r="B386" s="221" t="s">
        <v>1440</v>
      </c>
      <c r="C386" s="62" t="s">
        <v>1441</v>
      </c>
      <c r="D386" s="216" t="s">
        <v>1503</v>
      </c>
      <c r="E386" s="62" t="s">
        <v>90</v>
      </c>
      <c r="F386" s="216" t="s">
        <v>1444</v>
      </c>
      <c r="G386" s="222" t="s">
        <v>1360</v>
      </c>
      <c r="H386" s="178" t="s">
        <v>1509</v>
      </c>
      <c r="I386" s="222" t="s">
        <v>1450</v>
      </c>
      <c r="J386" s="216">
        <v>4</v>
      </c>
      <c r="K386" s="13" t="s">
        <v>779</v>
      </c>
      <c r="L386" s="195">
        <v>3.71</v>
      </c>
      <c r="M386" s="223" t="s">
        <v>1505</v>
      </c>
    </row>
    <row r="387" spans="2:15" ht="22.15" customHeight="1">
      <c r="B387" s="221" t="s">
        <v>59</v>
      </c>
      <c r="C387" s="62" t="s">
        <v>1441</v>
      </c>
      <c r="D387" s="216" t="s">
        <v>1454</v>
      </c>
      <c r="E387" s="62" t="s">
        <v>90</v>
      </c>
      <c r="F387" s="216" t="s">
        <v>1444</v>
      </c>
      <c r="G387" s="222" t="s">
        <v>1455</v>
      </c>
      <c r="H387" s="178" t="s">
        <v>1510</v>
      </c>
      <c r="I387" s="222" t="s">
        <v>1450</v>
      </c>
      <c r="J387" s="216">
        <v>12</v>
      </c>
      <c r="K387" s="13" t="s">
        <v>779</v>
      </c>
      <c r="L387" s="195" t="s">
        <v>1511</v>
      </c>
      <c r="M387" s="223" t="s">
        <v>1508</v>
      </c>
    </row>
    <row r="388" spans="2:15" ht="22.15" customHeight="1">
      <c r="B388" s="221" t="s">
        <v>1440</v>
      </c>
      <c r="C388" s="62" t="s">
        <v>1441</v>
      </c>
      <c r="D388" s="216" t="s">
        <v>1512</v>
      </c>
      <c r="E388" s="62" t="s">
        <v>90</v>
      </c>
      <c r="F388" s="216" t="s">
        <v>1444</v>
      </c>
      <c r="G388" s="222" t="s">
        <v>1360</v>
      </c>
      <c r="H388" s="178" t="s">
        <v>1513</v>
      </c>
      <c r="I388" s="222" t="s">
        <v>1450</v>
      </c>
      <c r="J388" s="216">
        <v>2</v>
      </c>
      <c r="K388" s="13" t="s">
        <v>779</v>
      </c>
      <c r="L388" s="195">
        <v>3.76</v>
      </c>
      <c r="M388" s="223" t="s">
        <v>1505</v>
      </c>
    </row>
    <row r="389" spans="2:15" ht="22.15" customHeight="1">
      <c r="B389" s="221" t="s">
        <v>1440</v>
      </c>
      <c r="C389" s="62" t="s">
        <v>1441</v>
      </c>
      <c r="D389" s="216" t="s">
        <v>1514</v>
      </c>
      <c r="E389" s="62" t="s">
        <v>90</v>
      </c>
      <c r="F389" s="216" t="s">
        <v>1444</v>
      </c>
      <c r="G389" s="222" t="s">
        <v>1360</v>
      </c>
      <c r="H389" s="178" t="s">
        <v>1515</v>
      </c>
      <c r="I389" s="222" t="s">
        <v>1450</v>
      </c>
      <c r="J389" s="216">
        <v>2</v>
      </c>
      <c r="K389" s="13" t="s">
        <v>779</v>
      </c>
      <c r="L389" s="195">
        <v>2.6</v>
      </c>
      <c r="M389" s="251" t="s">
        <v>1516</v>
      </c>
    </row>
    <row r="390" spans="2:15" ht="22.15" customHeight="1">
      <c r="B390" s="221" t="s">
        <v>1440</v>
      </c>
      <c r="C390" s="62" t="s">
        <v>1441</v>
      </c>
      <c r="D390" s="216" t="s">
        <v>1514</v>
      </c>
      <c r="E390" s="62" t="s">
        <v>90</v>
      </c>
      <c r="F390" s="216" t="s">
        <v>1444</v>
      </c>
      <c r="G390" s="222" t="s">
        <v>1360</v>
      </c>
      <c r="H390" s="178" t="s">
        <v>1517</v>
      </c>
      <c r="I390" s="222" t="s">
        <v>1450</v>
      </c>
      <c r="J390" s="216">
        <v>4</v>
      </c>
      <c r="K390" s="13" t="s">
        <v>779</v>
      </c>
      <c r="L390" s="195">
        <v>3.78</v>
      </c>
      <c r="M390" s="251" t="s">
        <v>1518</v>
      </c>
      <c r="N390" s="227"/>
      <c r="O390" s="228"/>
    </row>
    <row r="391" spans="2:15" ht="22.15" customHeight="1">
      <c r="B391" s="221" t="s">
        <v>1440</v>
      </c>
      <c r="C391" s="62" t="s">
        <v>1441</v>
      </c>
      <c r="D391" s="216" t="s">
        <v>1514</v>
      </c>
      <c r="E391" s="62" t="s">
        <v>90</v>
      </c>
      <c r="F391" s="216" t="s">
        <v>1444</v>
      </c>
      <c r="G391" s="222" t="s">
        <v>1360</v>
      </c>
      <c r="H391" s="178" t="s">
        <v>1519</v>
      </c>
      <c r="I391" s="222" t="s">
        <v>1450</v>
      </c>
      <c r="J391" s="216">
        <v>2</v>
      </c>
      <c r="K391" s="13" t="s">
        <v>779</v>
      </c>
      <c r="L391" s="195">
        <v>1.88</v>
      </c>
      <c r="M391" s="251" t="s">
        <v>1502</v>
      </c>
      <c r="N391" s="227"/>
      <c r="O391" s="228"/>
    </row>
    <row r="392" spans="2:15" ht="22.15" customHeight="1">
      <c r="B392" s="221" t="s">
        <v>1440</v>
      </c>
      <c r="C392" s="62" t="s">
        <v>1441</v>
      </c>
      <c r="D392" s="216" t="s">
        <v>1520</v>
      </c>
      <c r="E392" s="62" t="s">
        <v>90</v>
      </c>
      <c r="F392" s="216" t="s">
        <v>1444</v>
      </c>
      <c r="G392" s="222" t="s">
        <v>1360</v>
      </c>
      <c r="H392" s="178" t="s">
        <v>1521</v>
      </c>
      <c r="I392" s="222" t="s">
        <v>1450</v>
      </c>
      <c r="J392" s="216">
        <v>20</v>
      </c>
      <c r="K392" s="13" t="s">
        <v>779</v>
      </c>
      <c r="L392" s="195">
        <v>1.72</v>
      </c>
      <c r="M392" s="223" t="s">
        <v>1516</v>
      </c>
      <c r="N392" s="227"/>
      <c r="O392" s="228"/>
    </row>
    <row r="393" spans="2:15" ht="22.15" customHeight="1">
      <c r="B393" s="224" t="s">
        <v>59</v>
      </c>
      <c r="C393" s="62" t="s">
        <v>1441</v>
      </c>
      <c r="D393" s="216" t="s">
        <v>1522</v>
      </c>
      <c r="E393" s="62" t="s">
        <v>90</v>
      </c>
      <c r="F393" s="222" t="s">
        <v>1523</v>
      </c>
      <c r="G393" s="222" t="s">
        <v>1455</v>
      </c>
      <c r="H393" s="178" t="s">
        <v>1524</v>
      </c>
      <c r="I393" s="222" t="s">
        <v>1450</v>
      </c>
      <c r="J393" s="216">
        <v>6</v>
      </c>
      <c r="K393" s="13" t="s">
        <v>779</v>
      </c>
      <c r="L393" s="195">
        <v>1.42</v>
      </c>
      <c r="M393" s="226" t="s">
        <v>1525</v>
      </c>
      <c r="N393" s="227"/>
      <c r="O393" s="228"/>
    </row>
    <row r="394" spans="2:15" ht="22.15" customHeight="1">
      <c r="B394" s="224" t="s">
        <v>59</v>
      </c>
      <c r="C394" s="62" t="s">
        <v>1441</v>
      </c>
      <c r="D394" s="216" t="s">
        <v>1526</v>
      </c>
      <c r="E394" s="62" t="s">
        <v>90</v>
      </c>
      <c r="F394" s="222" t="s">
        <v>1523</v>
      </c>
      <c r="G394" s="222" t="s">
        <v>1360</v>
      </c>
      <c r="H394" s="178" t="s">
        <v>1527</v>
      </c>
      <c r="I394" s="222" t="s">
        <v>1450</v>
      </c>
      <c r="J394" s="216">
        <v>8</v>
      </c>
      <c r="K394" s="13" t="s">
        <v>779</v>
      </c>
      <c r="L394" s="195">
        <v>1.67</v>
      </c>
      <c r="M394" s="226" t="s">
        <v>1528</v>
      </c>
      <c r="N394" s="227"/>
      <c r="O394" s="228"/>
    </row>
    <row r="395" spans="2:15" ht="22.15" customHeight="1">
      <c r="B395" s="224" t="s">
        <v>59</v>
      </c>
      <c r="C395" s="62" t="s">
        <v>1441</v>
      </c>
      <c r="D395" s="216" t="s">
        <v>1529</v>
      </c>
      <c r="E395" s="62" t="s">
        <v>90</v>
      </c>
      <c r="F395" s="222" t="s">
        <v>1523</v>
      </c>
      <c r="G395" s="222" t="s">
        <v>1360</v>
      </c>
      <c r="H395" s="178" t="s">
        <v>1530</v>
      </c>
      <c r="I395" s="222" t="s">
        <v>1450</v>
      </c>
      <c r="J395" s="216">
        <v>4</v>
      </c>
      <c r="K395" s="13" t="s">
        <v>779</v>
      </c>
      <c r="L395" s="195">
        <v>1.84</v>
      </c>
      <c r="M395" s="226" t="s">
        <v>1531</v>
      </c>
      <c r="N395" s="227"/>
      <c r="O395" s="228"/>
    </row>
    <row r="396" spans="2:15" ht="22.15" customHeight="1">
      <c r="B396" s="224" t="s">
        <v>59</v>
      </c>
      <c r="C396" s="62" t="s">
        <v>1441</v>
      </c>
      <c r="D396" s="216" t="s">
        <v>1529</v>
      </c>
      <c r="E396" s="62" t="s">
        <v>90</v>
      </c>
      <c r="F396" s="222" t="s">
        <v>1523</v>
      </c>
      <c r="G396" s="222" t="s">
        <v>1360</v>
      </c>
      <c r="H396" s="178" t="s">
        <v>1532</v>
      </c>
      <c r="I396" s="222" t="s">
        <v>1450</v>
      </c>
      <c r="J396" s="216">
        <v>4</v>
      </c>
      <c r="K396" s="13" t="s">
        <v>779</v>
      </c>
      <c r="L396" s="195">
        <v>1.84</v>
      </c>
      <c r="M396" s="226" t="s">
        <v>1531</v>
      </c>
      <c r="N396" s="227"/>
      <c r="O396" s="228"/>
    </row>
    <row r="397" spans="2:15" ht="22.15" customHeight="1">
      <c r="B397" s="224" t="s">
        <v>59</v>
      </c>
      <c r="C397" s="62" t="s">
        <v>1441</v>
      </c>
      <c r="D397" s="216" t="s">
        <v>1533</v>
      </c>
      <c r="E397" s="62" t="s">
        <v>90</v>
      </c>
      <c r="F397" s="222" t="s">
        <v>1523</v>
      </c>
      <c r="G397" s="222" t="s">
        <v>1455</v>
      </c>
      <c r="H397" s="178" t="s">
        <v>1534</v>
      </c>
      <c r="I397" s="222" t="s">
        <v>1450</v>
      </c>
      <c r="J397" s="216">
        <v>7</v>
      </c>
      <c r="K397" s="13" t="s">
        <v>779</v>
      </c>
      <c r="L397" s="195">
        <v>1.56</v>
      </c>
      <c r="M397" s="226" t="s">
        <v>1535</v>
      </c>
      <c r="N397" s="227"/>
      <c r="O397" s="228"/>
    </row>
    <row r="398" spans="2:15" ht="22.15" customHeight="1">
      <c r="B398" s="224" t="s">
        <v>59</v>
      </c>
      <c r="C398" s="62" t="s">
        <v>1441</v>
      </c>
      <c r="D398" s="216" t="s">
        <v>1533</v>
      </c>
      <c r="E398" s="62" t="s">
        <v>90</v>
      </c>
      <c r="F398" s="222" t="s">
        <v>1523</v>
      </c>
      <c r="G398" s="222" t="s">
        <v>1455</v>
      </c>
      <c r="H398" s="178" t="s">
        <v>1536</v>
      </c>
      <c r="I398" s="222" t="s">
        <v>1450</v>
      </c>
      <c r="J398" s="216">
        <v>7</v>
      </c>
      <c r="K398" s="13" t="s">
        <v>779</v>
      </c>
      <c r="L398" s="195">
        <v>1.56</v>
      </c>
      <c r="M398" s="226" t="s">
        <v>1535</v>
      </c>
      <c r="N398" s="227"/>
      <c r="O398" s="228"/>
    </row>
    <row r="399" spans="2:15" ht="22.15" customHeight="1">
      <c r="B399" s="224" t="s">
        <v>53</v>
      </c>
      <c r="C399" s="62" t="s">
        <v>1441</v>
      </c>
      <c r="D399" s="222" t="s">
        <v>1434</v>
      </c>
      <c r="E399" s="62" t="s">
        <v>90</v>
      </c>
      <c r="F399" s="222" t="s">
        <v>252</v>
      </c>
      <c r="G399" s="222" t="s">
        <v>178</v>
      </c>
      <c r="H399" s="178" t="s">
        <v>1537</v>
      </c>
      <c r="I399" s="222" t="s">
        <v>1538</v>
      </c>
      <c r="J399" s="216" t="s">
        <v>1539</v>
      </c>
      <c r="K399" s="13" t="s">
        <v>779</v>
      </c>
      <c r="L399" s="195">
        <v>60.91</v>
      </c>
      <c r="M399" s="226" t="s">
        <v>1540</v>
      </c>
      <c r="N399" s="227"/>
      <c r="O399" s="228"/>
    </row>
    <row r="400" spans="2:15" ht="22.15" customHeight="1">
      <c r="B400" s="224" t="s">
        <v>53</v>
      </c>
      <c r="C400" s="62" t="s">
        <v>1441</v>
      </c>
      <c r="D400" s="222" t="s">
        <v>1434</v>
      </c>
      <c r="E400" s="62" t="s">
        <v>90</v>
      </c>
      <c r="F400" s="222" t="s">
        <v>252</v>
      </c>
      <c r="G400" s="222" t="s">
        <v>178</v>
      </c>
      <c r="H400" s="178" t="s">
        <v>1541</v>
      </c>
      <c r="I400" s="222" t="s">
        <v>1538</v>
      </c>
      <c r="J400" s="216" t="s">
        <v>1471</v>
      </c>
      <c r="K400" s="13" t="s">
        <v>779</v>
      </c>
      <c r="L400" s="195">
        <v>60.91</v>
      </c>
      <c r="M400" s="226" t="s">
        <v>1542</v>
      </c>
      <c r="N400" s="227"/>
      <c r="O400" s="228"/>
    </row>
    <row r="401" spans="2:15" ht="22.15" customHeight="1">
      <c r="B401" s="224" t="s">
        <v>53</v>
      </c>
      <c r="C401" s="62" t="s">
        <v>1441</v>
      </c>
      <c r="D401" s="222" t="s">
        <v>1434</v>
      </c>
      <c r="E401" s="62" t="s">
        <v>90</v>
      </c>
      <c r="F401" s="222" t="s">
        <v>252</v>
      </c>
      <c r="G401" s="222" t="s">
        <v>178</v>
      </c>
      <c r="H401" s="178" t="s">
        <v>1543</v>
      </c>
      <c r="I401" s="222" t="s">
        <v>1538</v>
      </c>
      <c r="J401" s="216" t="s">
        <v>1471</v>
      </c>
      <c r="K401" s="13" t="s">
        <v>779</v>
      </c>
      <c r="L401" s="195">
        <v>50.5</v>
      </c>
      <c r="M401" s="226" t="s">
        <v>1544</v>
      </c>
      <c r="N401" s="227"/>
      <c r="O401" s="228"/>
    </row>
    <row r="402" spans="2:15" ht="22.15" customHeight="1">
      <c r="B402" s="224" t="s">
        <v>53</v>
      </c>
      <c r="C402" s="62" t="s">
        <v>1441</v>
      </c>
      <c r="D402" s="222" t="s">
        <v>1434</v>
      </c>
      <c r="E402" s="62" t="s">
        <v>90</v>
      </c>
      <c r="F402" s="222" t="s">
        <v>252</v>
      </c>
      <c r="G402" s="222" t="s">
        <v>178</v>
      </c>
      <c r="H402" s="178" t="s">
        <v>1545</v>
      </c>
      <c r="I402" s="222" t="s">
        <v>1538</v>
      </c>
      <c r="J402" s="216" t="s">
        <v>1539</v>
      </c>
      <c r="K402" s="13" t="s">
        <v>779</v>
      </c>
      <c r="L402" s="195">
        <v>50.5</v>
      </c>
      <c r="M402" s="226" t="s">
        <v>1546</v>
      </c>
      <c r="N402" s="227"/>
      <c r="O402" s="228"/>
    </row>
    <row r="403" spans="2:15" ht="22.15" customHeight="1">
      <c r="B403" s="224" t="s">
        <v>59</v>
      </c>
      <c r="C403" s="62" t="s">
        <v>1441</v>
      </c>
      <c r="D403" s="216" t="s">
        <v>1547</v>
      </c>
      <c r="E403" s="62" t="s">
        <v>90</v>
      </c>
      <c r="F403" s="216" t="s">
        <v>145</v>
      </c>
      <c r="G403" s="222" t="s">
        <v>171</v>
      </c>
      <c r="H403" s="178" t="s">
        <v>1548</v>
      </c>
      <c r="I403" s="177" t="s">
        <v>1549</v>
      </c>
      <c r="J403" s="216">
        <v>12</v>
      </c>
      <c r="K403" s="13" t="s">
        <v>779</v>
      </c>
      <c r="L403" s="195">
        <v>16.23</v>
      </c>
      <c r="M403" s="223" t="s">
        <v>1550</v>
      </c>
      <c r="N403" s="227"/>
      <c r="O403" s="228"/>
    </row>
    <row r="404" spans="2:15" ht="22.15" customHeight="1">
      <c r="B404" s="224" t="s">
        <v>59</v>
      </c>
      <c r="C404" s="62" t="s">
        <v>1441</v>
      </c>
      <c r="D404" s="216" t="s">
        <v>1547</v>
      </c>
      <c r="E404" s="62" t="s">
        <v>90</v>
      </c>
      <c r="F404" s="216" t="s">
        <v>145</v>
      </c>
      <c r="G404" s="222" t="s">
        <v>171</v>
      </c>
      <c r="H404" s="178">
        <v>40.6905</v>
      </c>
      <c r="I404" s="177" t="s">
        <v>1551</v>
      </c>
      <c r="J404" s="216">
        <v>23</v>
      </c>
      <c r="K404" s="13" t="s">
        <v>779</v>
      </c>
      <c r="L404" s="195">
        <v>14.95</v>
      </c>
      <c r="M404" s="223" t="s">
        <v>1552</v>
      </c>
      <c r="N404" s="227"/>
      <c r="O404" s="228"/>
    </row>
    <row r="405" spans="2:15" ht="22.15" customHeight="1">
      <c r="B405" s="224" t="s">
        <v>59</v>
      </c>
      <c r="C405" s="62" t="s">
        <v>1441</v>
      </c>
      <c r="D405" s="216" t="s">
        <v>1547</v>
      </c>
      <c r="E405" s="62" t="s">
        <v>90</v>
      </c>
      <c r="F405" s="216" t="s">
        <v>145</v>
      </c>
      <c r="G405" s="222" t="s">
        <v>171</v>
      </c>
      <c r="H405" s="178">
        <v>40.690899999999999</v>
      </c>
      <c r="I405" s="177" t="s">
        <v>1553</v>
      </c>
      <c r="J405" s="216">
        <v>49</v>
      </c>
      <c r="K405" s="13" t="s">
        <v>779</v>
      </c>
      <c r="L405" s="195">
        <v>10.23</v>
      </c>
      <c r="M405" s="223" t="s">
        <v>1554</v>
      </c>
      <c r="N405" s="227"/>
      <c r="O405" s="228"/>
    </row>
    <row r="406" spans="2:15" ht="22.15" customHeight="1">
      <c r="B406" s="224" t="s">
        <v>59</v>
      </c>
      <c r="C406" s="62" t="s">
        <v>1441</v>
      </c>
      <c r="D406" s="216" t="s">
        <v>1547</v>
      </c>
      <c r="E406" s="62" t="s">
        <v>90</v>
      </c>
      <c r="F406" s="216" t="s">
        <v>145</v>
      </c>
      <c r="G406" s="222" t="s">
        <v>171</v>
      </c>
      <c r="H406" s="178" t="s">
        <v>1555</v>
      </c>
      <c r="I406" s="177" t="s">
        <v>1556</v>
      </c>
      <c r="J406" s="216">
        <v>17</v>
      </c>
      <c r="K406" s="13" t="s">
        <v>779</v>
      </c>
      <c r="L406" s="195">
        <v>9.39</v>
      </c>
      <c r="M406" s="223" t="s">
        <v>1557</v>
      </c>
      <c r="N406" s="227"/>
      <c r="O406" s="228"/>
    </row>
    <row r="407" spans="2:15" ht="22.15" customHeight="1">
      <c r="B407" s="224" t="s">
        <v>59</v>
      </c>
      <c r="C407" s="62" t="s">
        <v>1441</v>
      </c>
      <c r="D407" s="216" t="s">
        <v>1547</v>
      </c>
      <c r="E407" s="62" t="s">
        <v>90</v>
      </c>
      <c r="F407" s="216" t="s">
        <v>147</v>
      </c>
      <c r="G407" s="222" t="s">
        <v>1360</v>
      </c>
      <c r="H407" s="216" t="s">
        <v>1558</v>
      </c>
      <c r="I407" s="216" t="s">
        <v>147</v>
      </c>
      <c r="J407" s="216">
        <v>12</v>
      </c>
      <c r="K407" s="13" t="s">
        <v>779</v>
      </c>
      <c r="L407" s="195">
        <v>0.99</v>
      </c>
      <c r="M407" s="223" t="s">
        <v>1559</v>
      </c>
      <c r="N407" s="227"/>
      <c r="O407" s="228"/>
    </row>
    <row r="408" spans="2:15" ht="22.15" customHeight="1">
      <c r="B408" s="224" t="s">
        <v>59</v>
      </c>
      <c r="C408" s="62" t="s">
        <v>1441</v>
      </c>
      <c r="D408" s="216" t="s">
        <v>1547</v>
      </c>
      <c r="E408" s="62" t="s">
        <v>90</v>
      </c>
      <c r="F408" s="216" t="s">
        <v>147</v>
      </c>
      <c r="G408" s="222" t="s">
        <v>1360</v>
      </c>
      <c r="H408" s="216">
        <v>40.502800000000001</v>
      </c>
      <c r="I408" s="216" t="s">
        <v>147</v>
      </c>
      <c r="J408" s="216">
        <v>18</v>
      </c>
      <c r="K408" s="13" t="s">
        <v>779</v>
      </c>
      <c r="L408" s="195">
        <v>0.85</v>
      </c>
      <c r="M408" s="223" t="s">
        <v>1560</v>
      </c>
      <c r="N408" s="227"/>
      <c r="O408" s="228"/>
    </row>
    <row r="409" spans="2:15" ht="22.15" customHeight="1">
      <c r="B409" s="224" t="s">
        <v>59</v>
      </c>
      <c r="C409" s="62" t="s">
        <v>1441</v>
      </c>
      <c r="D409" s="216" t="s">
        <v>1547</v>
      </c>
      <c r="E409" s="62" t="s">
        <v>90</v>
      </c>
      <c r="F409" s="216" t="s">
        <v>147</v>
      </c>
      <c r="G409" s="222" t="s">
        <v>1360</v>
      </c>
      <c r="H409" s="216" t="s">
        <v>1561</v>
      </c>
      <c r="I409" s="216" t="s">
        <v>147</v>
      </c>
      <c r="J409" s="216">
        <v>13</v>
      </c>
      <c r="K409" s="13" t="s">
        <v>779</v>
      </c>
      <c r="L409" s="195">
        <v>0.92</v>
      </c>
      <c r="M409" s="223" t="s">
        <v>1562</v>
      </c>
      <c r="N409" s="227"/>
      <c r="O409" s="228"/>
    </row>
    <row r="410" spans="2:15" ht="22.15" customHeight="1">
      <c r="B410" s="224" t="s">
        <v>59</v>
      </c>
      <c r="C410" s="62" t="s">
        <v>1441</v>
      </c>
      <c r="D410" s="216" t="s">
        <v>1547</v>
      </c>
      <c r="E410" s="62" t="s">
        <v>90</v>
      </c>
      <c r="F410" s="216" t="s">
        <v>147</v>
      </c>
      <c r="G410" s="222" t="s">
        <v>1360</v>
      </c>
      <c r="H410" s="216" t="s">
        <v>1563</v>
      </c>
      <c r="I410" s="216" t="s">
        <v>147</v>
      </c>
      <c r="J410" s="216">
        <v>1</v>
      </c>
      <c r="K410" s="13" t="s">
        <v>779</v>
      </c>
      <c r="L410" s="195">
        <v>2.02</v>
      </c>
      <c r="M410" s="223" t="s">
        <v>1564</v>
      </c>
      <c r="N410" s="227"/>
      <c r="O410" s="228"/>
    </row>
    <row r="411" spans="2:15" ht="22.15" customHeight="1">
      <c r="B411" s="224" t="s">
        <v>59</v>
      </c>
      <c r="C411" s="62" t="s">
        <v>1441</v>
      </c>
      <c r="D411" s="216" t="s">
        <v>1547</v>
      </c>
      <c r="E411" s="62" t="s">
        <v>90</v>
      </c>
      <c r="F411" s="216" t="s">
        <v>147</v>
      </c>
      <c r="G411" s="222" t="s">
        <v>1360</v>
      </c>
      <c r="H411" s="216">
        <v>40.503599999999999</v>
      </c>
      <c r="I411" s="216" t="s">
        <v>147</v>
      </c>
      <c r="J411" s="216">
        <v>63</v>
      </c>
      <c r="K411" s="13" t="s">
        <v>779</v>
      </c>
      <c r="L411" s="195">
        <v>1.72</v>
      </c>
      <c r="M411" s="223" t="s">
        <v>1565</v>
      </c>
      <c r="N411" s="227"/>
      <c r="O411" s="228"/>
    </row>
    <row r="412" spans="2:15" ht="22.15" customHeight="1">
      <c r="B412" s="224" t="s">
        <v>59</v>
      </c>
      <c r="C412" s="62" t="s">
        <v>1441</v>
      </c>
      <c r="D412" s="216" t="s">
        <v>1547</v>
      </c>
      <c r="E412" s="62" t="s">
        <v>90</v>
      </c>
      <c r="F412" s="216" t="s">
        <v>147</v>
      </c>
      <c r="G412" s="222" t="s">
        <v>1360</v>
      </c>
      <c r="H412" s="216">
        <v>40.503700000000002</v>
      </c>
      <c r="I412" s="216" t="s">
        <v>147</v>
      </c>
      <c r="J412" s="216">
        <v>11</v>
      </c>
      <c r="K412" s="13" t="s">
        <v>779</v>
      </c>
      <c r="L412" s="195">
        <v>1.87</v>
      </c>
      <c r="M412" s="223" t="s">
        <v>1566</v>
      </c>
      <c r="N412" s="227"/>
      <c r="O412" s="228"/>
    </row>
    <row r="413" spans="2:15" ht="22.15" customHeight="1">
      <c r="B413" s="224" t="s">
        <v>59</v>
      </c>
      <c r="C413" s="62" t="s">
        <v>1441</v>
      </c>
      <c r="D413" s="216" t="s">
        <v>1547</v>
      </c>
      <c r="E413" s="62" t="s">
        <v>90</v>
      </c>
      <c r="F413" s="216" t="s">
        <v>147</v>
      </c>
      <c r="G413" s="222" t="s">
        <v>1455</v>
      </c>
      <c r="H413" s="216" t="s">
        <v>1567</v>
      </c>
      <c r="I413" s="216" t="s">
        <v>147</v>
      </c>
      <c r="J413" s="216">
        <v>4</v>
      </c>
      <c r="K413" s="13" t="s">
        <v>779</v>
      </c>
      <c r="L413" s="195">
        <v>2.4500000000000002</v>
      </c>
      <c r="M413" s="223" t="s">
        <v>1568</v>
      </c>
      <c r="N413" s="227"/>
      <c r="O413" s="228"/>
    </row>
    <row r="414" spans="2:15" ht="22.15" customHeight="1">
      <c r="B414" s="224" t="s">
        <v>59</v>
      </c>
      <c r="C414" s="62" t="s">
        <v>1441</v>
      </c>
      <c r="D414" s="216" t="s">
        <v>1547</v>
      </c>
      <c r="E414" s="62" t="s">
        <v>90</v>
      </c>
      <c r="F414" s="216" t="s">
        <v>147</v>
      </c>
      <c r="G414" s="222" t="s">
        <v>1455</v>
      </c>
      <c r="H414" s="216">
        <v>40.506700000000002</v>
      </c>
      <c r="I414" s="216" t="s">
        <v>147</v>
      </c>
      <c r="J414" s="216">
        <v>47</v>
      </c>
      <c r="K414" s="13" t="s">
        <v>779</v>
      </c>
      <c r="L414" s="195">
        <v>2</v>
      </c>
      <c r="M414" s="223" t="s">
        <v>1569</v>
      </c>
      <c r="N414" s="229"/>
      <c r="O414" s="229"/>
    </row>
    <row r="415" spans="2:15" ht="22.15" customHeight="1">
      <c r="B415" s="224" t="s">
        <v>59</v>
      </c>
      <c r="C415" s="62" t="s">
        <v>1441</v>
      </c>
      <c r="D415" s="216" t="s">
        <v>1570</v>
      </c>
      <c r="E415" s="62" t="s">
        <v>90</v>
      </c>
      <c r="F415" s="216" t="s">
        <v>147</v>
      </c>
      <c r="G415" s="222" t="s">
        <v>1455</v>
      </c>
      <c r="H415" s="216">
        <v>40.506799999999998</v>
      </c>
      <c r="I415" s="216" t="s">
        <v>147</v>
      </c>
      <c r="J415" s="216">
        <v>40</v>
      </c>
      <c r="K415" s="13" t="s">
        <v>779</v>
      </c>
      <c r="L415" s="195">
        <v>2.23</v>
      </c>
      <c r="M415" s="223" t="s">
        <v>1571</v>
      </c>
      <c r="N415" s="229"/>
      <c r="O415" s="229"/>
    </row>
    <row r="416" spans="2:15" ht="22.15" customHeight="1">
      <c r="B416" s="224" t="s">
        <v>59</v>
      </c>
      <c r="C416" s="62" t="s">
        <v>1441</v>
      </c>
      <c r="D416" s="216" t="s">
        <v>1572</v>
      </c>
      <c r="E416" s="62" t="s">
        <v>90</v>
      </c>
      <c r="F416" s="216" t="s">
        <v>147</v>
      </c>
      <c r="G416" s="222" t="s">
        <v>1455</v>
      </c>
      <c r="H416" s="216" t="s">
        <v>1573</v>
      </c>
      <c r="I416" s="216" t="s">
        <v>147</v>
      </c>
      <c r="J416" s="216" t="s">
        <v>1574</v>
      </c>
      <c r="K416" s="13" t="s">
        <v>779</v>
      </c>
      <c r="L416" s="195">
        <v>2</v>
      </c>
      <c r="M416" s="223" t="s">
        <v>1569</v>
      </c>
      <c r="N416" s="229"/>
      <c r="O416" s="229"/>
    </row>
    <row r="417" spans="2:15" ht="22.15" customHeight="1">
      <c r="B417" s="224" t="s">
        <v>59</v>
      </c>
      <c r="C417" s="62" t="s">
        <v>1441</v>
      </c>
      <c r="D417" s="216" t="s">
        <v>1575</v>
      </c>
      <c r="E417" s="62" t="s">
        <v>90</v>
      </c>
      <c r="F417" s="222" t="s">
        <v>1523</v>
      </c>
      <c r="G417" s="222" t="s">
        <v>1360</v>
      </c>
      <c r="H417" s="178" t="s">
        <v>1576</v>
      </c>
      <c r="I417" s="222" t="s">
        <v>1450</v>
      </c>
      <c r="J417" s="216">
        <v>300</v>
      </c>
      <c r="K417" s="13" t="s">
        <v>779</v>
      </c>
      <c r="L417" s="195">
        <v>0.72</v>
      </c>
      <c r="M417" s="226" t="s">
        <v>1577</v>
      </c>
      <c r="N417" s="229"/>
      <c r="O417" s="229"/>
    </row>
    <row r="418" spans="2:15" ht="22.15" customHeight="1">
      <c r="B418" s="224" t="s">
        <v>59</v>
      </c>
      <c r="C418" s="62" t="s">
        <v>1441</v>
      </c>
      <c r="D418" s="216" t="s">
        <v>1578</v>
      </c>
      <c r="E418" s="62" t="s">
        <v>90</v>
      </c>
      <c r="F418" s="222" t="s">
        <v>1523</v>
      </c>
      <c r="G418" s="222" t="s">
        <v>1360</v>
      </c>
      <c r="H418" s="178" t="s">
        <v>1579</v>
      </c>
      <c r="I418" s="222" t="s">
        <v>1450</v>
      </c>
      <c r="J418" s="216">
        <v>100</v>
      </c>
      <c r="K418" s="13" t="s">
        <v>779</v>
      </c>
      <c r="L418" s="195">
        <v>0.55000000000000004</v>
      </c>
      <c r="M418" s="226" t="s">
        <v>1580</v>
      </c>
      <c r="N418" s="230"/>
      <c r="O418" s="230"/>
    </row>
    <row r="419" spans="2:15" ht="22.15" customHeight="1">
      <c r="B419" s="224" t="s">
        <v>59</v>
      </c>
      <c r="C419" s="62" t="s">
        <v>1441</v>
      </c>
      <c r="D419" s="216" t="s">
        <v>1462</v>
      </c>
      <c r="E419" s="62" t="s">
        <v>90</v>
      </c>
      <c r="F419" s="222" t="s">
        <v>1523</v>
      </c>
      <c r="G419" s="222" t="s">
        <v>1455</v>
      </c>
      <c r="H419" s="178" t="s">
        <v>1581</v>
      </c>
      <c r="I419" s="222" t="s">
        <v>1450</v>
      </c>
      <c r="J419" s="216">
        <v>30</v>
      </c>
      <c r="K419" s="13" t="s">
        <v>779</v>
      </c>
      <c r="L419" s="195">
        <v>0.94</v>
      </c>
      <c r="M419" s="226" t="s">
        <v>1582</v>
      </c>
      <c r="N419" s="230"/>
      <c r="O419" s="230"/>
    </row>
    <row r="420" spans="2:15" ht="22.15" customHeight="1">
      <c r="B420" s="224" t="s">
        <v>59</v>
      </c>
      <c r="C420" s="62" t="s">
        <v>1441</v>
      </c>
      <c r="D420" s="216" t="s">
        <v>1583</v>
      </c>
      <c r="E420" s="62" t="s">
        <v>90</v>
      </c>
      <c r="F420" s="222" t="s">
        <v>1523</v>
      </c>
      <c r="G420" s="222" t="s">
        <v>1455</v>
      </c>
      <c r="H420" s="178" t="s">
        <v>1584</v>
      </c>
      <c r="I420" s="222" t="s">
        <v>1450</v>
      </c>
      <c r="J420" s="216">
        <v>200</v>
      </c>
      <c r="K420" s="13" t="s">
        <v>779</v>
      </c>
      <c r="L420" s="195">
        <v>0.89</v>
      </c>
      <c r="M420" s="226" t="s">
        <v>1585</v>
      </c>
      <c r="N420" s="230"/>
      <c r="O420" s="230"/>
    </row>
    <row r="421" spans="2:15" ht="22.15" customHeight="1">
      <c r="B421" s="224" t="s">
        <v>59</v>
      </c>
      <c r="C421" s="62" t="s">
        <v>1441</v>
      </c>
      <c r="D421" s="216" t="s">
        <v>1586</v>
      </c>
      <c r="E421" s="62" t="s">
        <v>90</v>
      </c>
      <c r="F421" s="222" t="s">
        <v>1523</v>
      </c>
      <c r="G421" s="222" t="s">
        <v>1360</v>
      </c>
      <c r="H421" s="178" t="s">
        <v>1587</v>
      </c>
      <c r="I421" s="222" t="s">
        <v>1450</v>
      </c>
      <c r="J421" s="216">
        <v>235</v>
      </c>
      <c r="K421" s="13" t="s">
        <v>779</v>
      </c>
      <c r="L421" s="195">
        <v>0.53</v>
      </c>
      <c r="M421" s="226" t="s">
        <v>1588</v>
      </c>
      <c r="N421" s="230"/>
      <c r="O421" s="230"/>
    </row>
    <row r="422" spans="2:15" ht="22.15" customHeight="1">
      <c r="B422" s="224" t="s">
        <v>59</v>
      </c>
      <c r="C422" s="62" t="s">
        <v>1441</v>
      </c>
      <c r="D422" s="216" t="s">
        <v>1589</v>
      </c>
      <c r="E422" s="62" t="s">
        <v>90</v>
      </c>
      <c r="F422" s="222" t="s">
        <v>1523</v>
      </c>
      <c r="G422" s="222" t="s">
        <v>1360</v>
      </c>
      <c r="H422" s="178" t="s">
        <v>1590</v>
      </c>
      <c r="I422" s="222" t="s">
        <v>1450</v>
      </c>
      <c r="J422" s="216">
        <v>180</v>
      </c>
      <c r="K422" s="13" t="s">
        <v>779</v>
      </c>
      <c r="L422" s="195">
        <v>0.7</v>
      </c>
      <c r="M422" s="226" t="s">
        <v>1577</v>
      </c>
      <c r="N422" s="230"/>
      <c r="O422" s="230"/>
    </row>
    <row r="423" spans="2:15" ht="22.15" customHeight="1">
      <c r="B423" s="224" t="s">
        <v>59</v>
      </c>
      <c r="C423" s="62" t="s">
        <v>1441</v>
      </c>
      <c r="D423" s="216" t="s">
        <v>1458</v>
      </c>
      <c r="E423" s="62" t="s">
        <v>90</v>
      </c>
      <c r="F423" s="216" t="s">
        <v>1591</v>
      </c>
      <c r="G423" s="222" t="s">
        <v>1360</v>
      </c>
      <c r="H423" s="178" t="s">
        <v>1592</v>
      </c>
      <c r="I423" s="222" t="s">
        <v>1450</v>
      </c>
      <c r="J423" s="216">
        <v>27</v>
      </c>
      <c r="K423" s="13" t="s">
        <v>779</v>
      </c>
      <c r="L423" s="195">
        <v>1.3</v>
      </c>
      <c r="M423" s="223" t="s">
        <v>1593</v>
      </c>
      <c r="N423" s="230"/>
      <c r="O423" s="230"/>
    </row>
    <row r="424" spans="2:15" ht="22.15" customHeight="1">
      <c r="B424" s="224" t="s">
        <v>59</v>
      </c>
      <c r="C424" s="62" t="s">
        <v>1441</v>
      </c>
      <c r="D424" s="216" t="s">
        <v>1462</v>
      </c>
      <c r="E424" s="62" t="s">
        <v>90</v>
      </c>
      <c r="F424" s="216" t="s">
        <v>1591</v>
      </c>
      <c r="G424" s="222" t="s">
        <v>1455</v>
      </c>
      <c r="H424" s="178" t="s">
        <v>1594</v>
      </c>
      <c r="I424" s="222" t="s">
        <v>1450</v>
      </c>
      <c r="J424" s="216">
        <v>27</v>
      </c>
      <c r="K424" s="13" t="s">
        <v>779</v>
      </c>
      <c r="L424" s="195">
        <v>1.88</v>
      </c>
      <c r="M424" s="223" t="s">
        <v>1595</v>
      </c>
      <c r="N424" s="230"/>
      <c r="O424" s="230"/>
    </row>
    <row r="425" spans="2:15" ht="22.15" customHeight="1">
      <c r="B425" s="224" t="s">
        <v>59</v>
      </c>
      <c r="C425" s="62" t="s">
        <v>1441</v>
      </c>
      <c r="D425" s="216" t="s">
        <v>1596</v>
      </c>
      <c r="E425" s="62" t="s">
        <v>90</v>
      </c>
      <c r="F425" s="195" t="s">
        <v>1459</v>
      </c>
      <c r="G425" s="222" t="s">
        <v>1360</v>
      </c>
      <c r="H425" s="216" t="s">
        <v>1597</v>
      </c>
      <c r="I425" s="222" t="s">
        <v>1450</v>
      </c>
      <c r="J425" s="216" t="s">
        <v>1598</v>
      </c>
      <c r="K425" s="13" t="s">
        <v>779</v>
      </c>
      <c r="L425" s="195">
        <v>1.1299999999999999</v>
      </c>
      <c r="M425" s="223" t="s">
        <v>1599</v>
      </c>
      <c r="N425" s="230"/>
      <c r="O425" s="230"/>
    </row>
    <row r="426" spans="2:15" ht="22.15" customHeight="1">
      <c r="B426" s="224" t="s">
        <v>59</v>
      </c>
      <c r="C426" s="62" t="s">
        <v>1441</v>
      </c>
      <c r="D426" s="216" t="s">
        <v>1600</v>
      </c>
      <c r="E426" s="62" t="s">
        <v>90</v>
      </c>
      <c r="F426" s="222" t="s">
        <v>1523</v>
      </c>
      <c r="G426" s="222" t="s">
        <v>1455</v>
      </c>
      <c r="H426" s="178" t="s">
        <v>1601</v>
      </c>
      <c r="I426" s="222" t="s">
        <v>1450</v>
      </c>
      <c r="J426" s="216">
        <v>4</v>
      </c>
      <c r="K426" s="13" t="s">
        <v>779</v>
      </c>
      <c r="L426" s="195">
        <v>3.22</v>
      </c>
      <c r="M426" s="193" t="s">
        <v>1602</v>
      </c>
      <c r="N426" s="230"/>
      <c r="O426" s="230"/>
    </row>
    <row r="427" spans="2:15" ht="22.15" customHeight="1">
      <c r="B427" s="224" t="s">
        <v>59</v>
      </c>
      <c r="C427" s="62" t="s">
        <v>1441</v>
      </c>
      <c r="D427" s="216" t="s">
        <v>1600</v>
      </c>
      <c r="E427" s="62" t="s">
        <v>90</v>
      </c>
      <c r="F427" s="222" t="s">
        <v>1523</v>
      </c>
      <c r="G427" s="222" t="s">
        <v>1455</v>
      </c>
      <c r="H427" s="178" t="s">
        <v>1603</v>
      </c>
      <c r="I427" s="222" t="s">
        <v>1450</v>
      </c>
      <c r="J427" s="216">
        <v>3</v>
      </c>
      <c r="K427" s="13" t="s">
        <v>779</v>
      </c>
      <c r="L427" s="195">
        <v>3.22</v>
      </c>
      <c r="M427" s="193" t="s">
        <v>1602</v>
      </c>
      <c r="N427" s="230"/>
      <c r="O427" s="230"/>
    </row>
    <row r="428" spans="2:15" ht="22.15" customHeight="1">
      <c r="B428" s="224" t="s">
        <v>59</v>
      </c>
      <c r="C428" s="62" t="s">
        <v>1441</v>
      </c>
      <c r="D428" s="216" t="s">
        <v>1604</v>
      </c>
      <c r="E428" s="62" t="s">
        <v>90</v>
      </c>
      <c r="F428" s="222" t="s">
        <v>1523</v>
      </c>
      <c r="G428" s="222" t="s">
        <v>1455</v>
      </c>
      <c r="H428" s="178" t="s">
        <v>1605</v>
      </c>
      <c r="I428" s="222" t="s">
        <v>1450</v>
      </c>
      <c r="J428" s="216">
        <v>6</v>
      </c>
      <c r="K428" s="13" t="s">
        <v>779</v>
      </c>
      <c r="L428" s="195">
        <v>2.89</v>
      </c>
      <c r="M428" s="193" t="s">
        <v>1606</v>
      </c>
      <c r="N428" s="227"/>
      <c r="O428" s="227"/>
    </row>
    <row r="429" spans="2:15" ht="22.15" customHeight="1">
      <c r="B429" s="224" t="s">
        <v>59</v>
      </c>
      <c r="C429" s="62" t="s">
        <v>1441</v>
      </c>
      <c r="D429" s="216" t="s">
        <v>1526</v>
      </c>
      <c r="E429" s="62" t="s">
        <v>90</v>
      </c>
      <c r="F429" s="222" t="s">
        <v>1523</v>
      </c>
      <c r="G429" s="222" t="s">
        <v>1360</v>
      </c>
      <c r="H429" s="178" t="s">
        <v>1607</v>
      </c>
      <c r="I429" s="222" t="s">
        <v>1450</v>
      </c>
      <c r="J429" s="216">
        <v>5</v>
      </c>
      <c r="K429" s="13" t="s">
        <v>779</v>
      </c>
      <c r="L429" s="195">
        <v>1.96</v>
      </c>
      <c r="M429" s="193" t="s">
        <v>1608</v>
      </c>
      <c r="N429" s="227"/>
      <c r="O429" s="227"/>
    </row>
    <row r="430" spans="2:15" ht="22.15" customHeight="1">
      <c r="B430" s="224" t="s">
        <v>59</v>
      </c>
      <c r="C430" s="62" t="s">
        <v>1441</v>
      </c>
      <c r="D430" s="216" t="s">
        <v>1526</v>
      </c>
      <c r="E430" s="62" t="s">
        <v>90</v>
      </c>
      <c r="F430" s="222" t="s">
        <v>1523</v>
      </c>
      <c r="G430" s="222" t="s">
        <v>1360</v>
      </c>
      <c r="H430" s="178" t="s">
        <v>1609</v>
      </c>
      <c r="I430" s="222" t="s">
        <v>1450</v>
      </c>
      <c r="J430" s="216">
        <v>5</v>
      </c>
      <c r="K430" s="13" t="s">
        <v>779</v>
      </c>
      <c r="L430" s="195">
        <v>1.96</v>
      </c>
      <c r="M430" s="193" t="s">
        <v>1608</v>
      </c>
      <c r="N430" s="227"/>
      <c r="O430" s="227"/>
    </row>
    <row r="431" spans="2:15" ht="22.15" customHeight="1">
      <c r="B431" s="224" t="s">
        <v>59</v>
      </c>
      <c r="C431" s="62" t="s">
        <v>1441</v>
      </c>
      <c r="D431" s="216" t="s">
        <v>1512</v>
      </c>
      <c r="E431" s="62" t="s">
        <v>90</v>
      </c>
      <c r="F431" s="222" t="s">
        <v>1523</v>
      </c>
      <c r="G431" s="222" t="s">
        <v>1360</v>
      </c>
      <c r="H431" s="178" t="s">
        <v>1610</v>
      </c>
      <c r="I431" s="222" t="s">
        <v>1450</v>
      </c>
      <c r="J431" s="216">
        <v>6</v>
      </c>
      <c r="K431" s="13" t="s">
        <v>779</v>
      </c>
      <c r="L431" s="195">
        <v>1.76</v>
      </c>
      <c r="M431" s="193" t="s">
        <v>1611</v>
      </c>
      <c r="N431" s="227"/>
      <c r="O431" s="227"/>
    </row>
    <row r="432" spans="2:15" ht="22.15" customHeight="1">
      <c r="B432" s="224" t="s">
        <v>59</v>
      </c>
      <c r="C432" s="62" t="s">
        <v>1441</v>
      </c>
      <c r="D432" s="216" t="s">
        <v>1448</v>
      </c>
      <c r="E432" s="62" t="s">
        <v>90</v>
      </c>
      <c r="F432" s="222" t="s">
        <v>1523</v>
      </c>
      <c r="G432" s="222" t="s">
        <v>1360</v>
      </c>
      <c r="H432" s="178" t="s">
        <v>1612</v>
      </c>
      <c r="I432" s="222" t="s">
        <v>1450</v>
      </c>
      <c r="J432" s="216">
        <v>6</v>
      </c>
      <c r="K432" s="13" t="s">
        <v>779</v>
      </c>
      <c r="L432" s="195">
        <v>1.81</v>
      </c>
      <c r="M432" s="193" t="s">
        <v>1611</v>
      </c>
      <c r="N432" s="227"/>
      <c r="O432" s="227"/>
    </row>
    <row r="433" spans="2:15" ht="22.15" customHeight="1">
      <c r="B433" s="224" t="s">
        <v>59</v>
      </c>
      <c r="C433" s="62" t="s">
        <v>1441</v>
      </c>
      <c r="D433" s="216" t="s">
        <v>1448</v>
      </c>
      <c r="E433" s="62" t="s">
        <v>90</v>
      </c>
      <c r="F433" s="222" t="s">
        <v>1523</v>
      </c>
      <c r="G433" s="222" t="s">
        <v>1360</v>
      </c>
      <c r="H433" s="178" t="s">
        <v>1613</v>
      </c>
      <c r="I433" s="222" t="s">
        <v>1450</v>
      </c>
      <c r="J433" s="216">
        <v>4</v>
      </c>
      <c r="K433" s="13" t="s">
        <v>779</v>
      </c>
      <c r="L433" s="195">
        <v>2.06</v>
      </c>
      <c r="M433" s="193" t="s">
        <v>1608</v>
      </c>
      <c r="N433" s="227"/>
      <c r="O433" s="227"/>
    </row>
    <row r="434" spans="2:15" ht="22.15" customHeight="1">
      <c r="B434" s="224" t="s">
        <v>59</v>
      </c>
      <c r="C434" s="62" t="s">
        <v>1441</v>
      </c>
      <c r="D434" s="216" t="s">
        <v>1600</v>
      </c>
      <c r="E434" s="62" t="s">
        <v>90</v>
      </c>
      <c r="F434" s="222" t="s">
        <v>1523</v>
      </c>
      <c r="G434" s="222" t="s">
        <v>1455</v>
      </c>
      <c r="H434" s="178" t="s">
        <v>1614</v>
      </c>
      <c r="I434" s="222" t="s">
        <v>1450</v>
      </c>
      <c r="J434" s="216">
        <v>5</v>
      </c>
      <c r="K434" s="13" t="s">
        <v>779</v>
      </c>
      <c r="L434" s="195">
        <v>3.36</v>
      </c>
      <c r="M434" s="193" t="s">
        <v>1602</v>
      </c>
      <c r="N434" s="227"/>
      <c r="O434" s="227"/>
    </row>
    <row r="435" spans="2:15" ht="22.15" customHeight="1">
      <c r="B435" s="224" t="s">
        <v>59</v>
      </c>
      <c r="C435" s="62" t="s">
        <v>1441</v>
      </c>
      <c r="D435" s="216" t="s">
        <v>1604</v>
      </c>
      <c r="E435" s="62" t="s">
        <v>90</v>
      </c>
      <c r="F435" s="222" t="s">
        <v>1523</v>
      </c>
      <c r="G435" s="222" t="s">
        <v>1455</v>
      </c>
      <c r="H435" s="178" t="s">
        <v>1615</v>
      </c>
      <c r="I435" s="222" t="s">
        <v>1450</v>
      </c>
      <c r="J435" s="216">
        <v>5</v>
      </c>
      <c r="K435" s="13" t="s">
        <v>779</v>
      </c>
      <c r="L435" s="195">
        <v>3.36</v>
      </c>
      <c r="M435" s="193" t="s">
        <v>1602</v>
      </c>
      <c r="N435" s="227"/>
      <c r="O435" s="227"/>
    </row>
    <row r="436" spans="2:15" ht="22.15" customHeight="1">
      <c r="B436" s="224" t="s">
        <v>59</v>
      </c>
      <c r="C436" s="62" t="s">
        <v>1441</v>
      </c>
      <c r="D436" s="216" t="s">
        <v>1604</v>
      </c>
      <c r="E436" s="62" t="s">
        <v>90</v>
      </c>
      <c r="F436" s="222" t="s">
        <v>1523</v>
      </c>
      <c r="G436" s="222" t="s">
        <v>1455</v>
      </c>
      <c r="H436" s="178" t="s">
        <v>1616</v>
      </c>
      <c r="I436" s="222" t="s">
        <v>1450</v>
      </c>
      <c r="J436" s="216">
        <v>7</v>
      </c>
      <c r="K436" s="13" t="s">
        <v>779</v>
      </c>
      <c r="L436" s="195">
        <v>2.95</v>
      </c>
      <c r="M436" s="193" t="s">
        <v>1617</v>
      </c>
      <c r="N436" s="227"/>
      <c r="O436" s="227"/>
    </row>
    <row r="437" spans="2:15" ht="22.15" customHeight="1">
      <c r="B437" s="224" t="s">
        <v>59</v>
      </c>
      <c r="C437" s="62" t="s">
        <v>1441</v>
      </c>
      <c r="D437" s="216" t="s">
        <v>1547</v>
      </c>
      <c r="E437" s="62" t="s">
        <v>90</v>
      </c>
      <c r="F437" s="216" t="s">
        <v>145</v>
      </c>
      <c r="G437" s="222" t="s">
        <v>171</v>
      </c>
      <c r="H437" s="178" t="s">
        <v>1618</v>
      </c>
      <c r="I437" s="222" t="s">
        <v>1619</v>
      </c>
      <c r="J437" s="216">
        <v>5</v>
      </c>
      <c r="K437" s="13" t="s">
        <v>779</v>
      </c>
      <c r="L437" s="195">
        <v>10.3</v>
      </c>
      <c r="M437" s="193" t="s">
        <v>1620</v>
      </c>
      <c r="N437" s="227"/>
      <c r="O437" s="227"/>
    </row>
    <row r="438" spans="2:15" ht="22.15" customHeight="1">
      <c r="B438" s="232" t="s">
        <v>53</v>
      </c>
      <c r="C438" s="62" t="s">
        <v>1441</v>
      </c>
      <c r="D438" s="216" t="s">
        <v>1621</v>
      </c>
      <c r="E438" s="62" t="s">
        <v>90</v>
      </c>
      <c r="F438" s="62" t="s">
        <v>1523</v>
      </c>
      <c r="G438" s="62" t="s">
        <v>244</v>
      </c>
      <c r="H438" s="178" t="s">
        <v>1622</v>
      </c>
      <c r="I438" s="62" t="s">
        <v>1619</v>
      </c>
      <c r="J438" s="216">
        <v>12</v>
      </c>
      <c r="K438" s="13" t="s">
        <v>779</v>
      </c>
      <c r="L438" s="195">
        <v>2.97</v>
      </c>
      <c r="M438" s="193" t="s">
        <v>1623</v>
      </c>
      <c r="N438" s="227"/>
      <c r="O438" s="227"/>
    </row>
    <row r="439" spans="2:15" ht="22.15" customHeight="1">
      <c r="B439" s="224" t="s">
        <v>53</v>
      </c>
      <c r="C439" s="62" t="s">
        <v>1441</v>
      </c>
      <c r="D439" s="216" t="s">
        <v>1621</v>
      </c>
      <c r="E439" s="62" t="s">
        <v>90</v>
      </c>
      <c r="F439" s="62" t="s">
        <v>1523</v>
      </c>
      <c r="G439" s="62" t="s">
        <v>244</v>
      </c>
      <c r="H439" s="178" t="s">
        <v>1584</v>
      </c>
      <c r="I439" s="62" t="s">
        <v>1619</v>
      </c>
      <c r="J439" s="216">
        <v>28</v>
      </c>
      <c r="K439" s="13" t="s">
        <v>779</v>
      </c>
      <c r="L439" s="195">
        <v>4.74</v>
      </c>
      <c r="M439" s="193" t="s">
        <v>1623</v>
      </c>
      <c r="N439" s="227"/>
      <c r="O439" s="227"/>
    </row>
    <row r="440" spans="2:15" ht="22.15" customHeight="1">
      <c r="B440" s="224" t="s">
        <v>53</v>
      </c>
      <c r="C440" s="62" t="s">
        <v>1441</v>
      </c>
      <c r="D440" s="216" t="s">
        <v>1621</v>
      </c>
      <c r="E440" s="62" t="s">
        <v>90</v>
      </c>
      <c r="F440" s="62" t="s">
        <v>1523</v>
      </c>
      <c r="G440" s="62" t="s">
        <v>244</v>
      </c>
      <c r="H440" s="178" t="s">
        <v>1624</v>
      </c>
      <c r="I440" s="62" t="s">
        <v>1619</v>
      </c>
      <c r="J440" s="216">
        <v>40</v>
      </c>
      <c r="K440" s="13" t="s">
        <v>779</v>
      </c>
      <c r="L440" s="195">
        <v>4.59</v>
      </c>
      <c r="M440" s="193" t="s">
        <v>1623</v>
      </c>
      <c r="N440" s="227"/>
      <c r="O440" s="227"/>
    </row>
    <row r="441" spans="2:15" ht="22.15" customHeight="1">
      <c r="B441" s="232" t="s">
        <v>53</v>
      </c>
      <c r="C441" s="62" t="s">
        <v>1441</v>
      </c>
      <c r="D441" s="216" t="s">
        <v>1625</v>
      </c>
      <c r="E441" s="62" t="s">
        <v>90</v>
      </c>
      <c r="F441" s="62" t="s">
        <v>1523</v>
      </c>
      <c r="G441" s="62" t="s">
        <v>244</v>
      </c>
      <c r="H441" s="178" t="s">
        <v>1626</v>
      </c>
      <c r="I441" s="62" t="s">
        <v>1627</v>
      </c>
      <c r="J441" s="216">
        <v>250</v>
      </c>
      <c r="K441" s="13" t="s">
        <v>779</v>
      </c>
      <c r="L441" s="195">
        <v>2.59</v>
      </c>
      <c r="M441" s="193" t="s">
        <v>1628</v>
      </c>
      <c r="N441" s="227"/>
      <c r="O441" s="227"/>
    </row>
    <row r="442" spans="2:15" ht="22.15" customHeight="1">
      <c r="B442" s="224" t="s">
        <v>59</v>
      </c>
      <c r="C442" s="62" t="s">
        <v>1441</v>
      </c>
      <c r="D442" s="216" t="s">
        <v>1629</v>
      </c>
      <c r="E442" s="62" t="s">
        <v>90</v>
      </c>
      <c r="F442" s="62" t="s">
        <v>1523</v>
      </c>
      <c r="G442" s="222" t="s">
        <v>1455</v>
      </c>
      <c r="H442" s="178" t="s">
        <v>1630</v>
      </c>
      <c r="I442" s="222" t="s">
        <v>1450</v>
      </c>
      <c r="J442" s="216">
        <v>110</v>
      </c>
      <c r="K442" s="13" t="s">
        <v>779</v>
      </c>
      <c r="L442" s="195">
        <v>1.82</v>
      </c>
      <c r="M442" s="193" t="s">
        <v>1631</v>
      </c>
      <c r="N442" s="227"/>
      <c r="O442" s="227"/>
    </row>
    <row r="443" spans="2:15" ht="22.15" customHeight="1">
      <c r="B443" s="224" t="s">
        <v>59</v>
      </c>
      <c r="C443" s="62" t="s">
        <v>1441</v>
      </c>
      <c r="D443" s="216" t="s">
        <v>1632</v>
      </c>
      <c r="E443" s="62" t="s">
        <v>90</v>
      </c>
      <c r="F443" s="62" t="s">
        <v>1523</v>
      </c>
      <c r="G443" s="222" t="s">
        <v>1360</v>
      </c>
      <c r="H443" s="178" t="s">
        <v>1633</v>
      </c>
      <c r="I443" s="222" t="s">
        <v>1450</v>
      </c>
      <c r="J443" s="216">
        <v>139</v>
      </c>
      <c r="K443" s="13" t="s">
        <v>779</v>
      </c>
      <c r="L443" s="195">
        <v>1.32</v>
      </c>
      <c r="M443" s="226" t="s">
        <v>1634</v>
      </c>
      <c r="N443" s="227"/>
      <c r="O443" s="227"/>
    </row>
    <row r="444" spans="2:15" ht="22.15" customHeight="1">
      <c r="B444" s="224" t="s">
        <v>59</v>
      </c>
      <c r="C444" s="62" t="s">
        <v>1441</v>
      </c>
      <c r="D444" s="216" t="s">
        <v>1529</v>
      </c>
      <c r="E444" s="62" t="s">
        <v>90</v>
      </c>
      <c r="F444" s="62" t="s">
        <v>1523</v>
      </c>
      <c r="G444" s="222" t="s">
        <v>1360</v>
      </c>
      <c r="H444" s="178" t="s">
        <v>1635</v>
      </c>
      <c r="I444" s="222" t="s">
        <v>1450</v>
      </c>
      <c r="J444" s="216">
        <v>33</v>
      </c>
      <c r="K444" s="13" t="s">
        <v>779</v>
      </c>
      <c r="L444" s="195">
        <v>1.46</v>
      </c>
      <c r="M444" s="226" t="s">
        <v>1636</v>
      </c>
      <c r="N444" s="227"/>
      <c r="O444" s="227"/>
    </row>
    <row r="445" spans="2:15" ht="22.15" customHeight="1">
      <c r="B445" s="224" t="s">
        <v>59</v>
      </c>
      <c r="C445" s="62" t="s">
        <v>1441</v>
      </c>
      <c r="D445" s="216" t="s">
        <v>1464</v>
      </c>
      <c r="E445" s="62" t="s">
        <v>90</v>
      </c>
      <c r="F445" s="62" t="s">
        <v>1523</v>
      </c>
      <c r="G445" s="222" t="s">
        <v>1360</v>
      </c>
      <c r="H445" s="178" t="s">
        <v>1637</v>
      </c>
      <c r="I445" s="222" t="s">
        <v>1450</v>
      </c>
      <c r="J445" s="216">
        <v>32</v>
      </c>
      <c r="K445" s="13" t="s">
        <v>779</v>
      </c>
      <c r="L445" s="195">
        <v>1.46</v>
      </c>
      <c r="M445" s="226" t="s">
        <v>1636</v>
      </c>
      <c r="N445" s="227"/>
      <c r="O445" s="227"/>
    </row>
    <row r="446" spans="2:15" ht="22.15" customHeight="1">
      <c r="B446" s="224" t="s">
        <v>59</v>
      </c>
      <c r="C446" s="62" t="s">
        <v>1441</v>
      </c>
      <c r="D446" s="216" t="s">
        <v>1533</v>
      </c>
      <c r="E446" s="62" t="s">
        <v>90</v>
      </c>
      <c r="F446" s="62" t="s">
        <v>1523</v>
      </c>
      <c r="G446" s="222" t="s">
        <v>1455</v>
      </c>
      <c r="H446" s="178" t="s">
        <v>1638</v>
      </c>
      <c r="I446" s="222" t="s">
        <v>1450</v>
      </c>
      <c r="J446" s="216">
        <v>38</v>
      </c>
      <c r="K446" s="13" t="s">
        <v>779</v>
      </c>
      <c r="L446" s="195">
        <v>2.0299999999999998</v>
      </c>
      <c r="M446" s="226" t="s">
        <v>1639</v>
      </c>
      <c r="N446" s="227"/>
      <c r="O446" s="227"/>
    </row>
    <row r="447" spans="2:15" ht="22.15" customHeight="1">
      <c r="B447" s="224" t="s">
        <v>59</v>
      </c>
      <c r="C447" s="62" t="s">
        <v>1441</v>
      </c>
      <c r="D447" s="216" t="s">
        <v>1640</v>
      </c>
      <c r="E447" s="62" t="s">
        <v>90</v>
      </c>
      <c r="F447" s="62" t="s">
        <v>1523</v>
      </c>
      <c r="G447" s="222" t="s">
        <v>1455</v>
      </c>
      <c r="H447" s="178" t="s">
        <v>1641</v>
      </c>
      <c r="I447" s="222" t="s">
        <v>1450</v>
      </c>
      <c r="J447" s="216">
        <v>38</v>
      </c>
      <c r="K447" s="13" t="s">
        <v>779</v>
      </c>
      <c r="L447" s="195">
        <v>2.0299999999999998</v>
      </c>
      <c r="M447" s="226" t="s">
        <v>1639</v>
      </c>
      <c r="N447" s="227"/>
      <c r="O447" s="227"/>
    </row>
    <row r="448" spans="2:15" ht="22.15" customHeight="1">
      <c r="B448" s="224" t="s">
        <v>59</v>
      </c>
      <c r="C448" s="62" t="s">
        <v>1441</v>
      </c>
      <c r="D448" s="216" t="s">
        <v>1578</v>
      </c>
      <c r="E448" s="62" t="s">
        <v>90</v>
      </c>
      <c r="F448" s="62" t="s">
        <v>1523</v>
      </c>
      <c r="G448" s="222" t="s">
        <v>1360</v>
      </c>
      <c r="H448" s="178" t="s">
        <v>1642</v>
      </c>
      <c r="I448" s="222" t="s">
        <v>1450</v>
      </c>
      <c r="J448" s="216">
        <v>30</v>
      </c>
      <c r="K448" s="13" t="s">
        <v>779</v>
      </c>
      <c r="L448" s="195">
        <v>1.17</v>
      </c>
      <c r="M448" s="226" t="s">
        <v>1643</v>
      </c>
      <c r="N448" s="227"/>
      <c r="O448" s="227"/>
    </row>
    <row r="449" spans="2:15" ht="22.15" customHeight="1">
      <c r="B449" s="224" t="s">
        <v>59</v>
      </c>
      <c r="C449" s="62" t="s">
        <v>1441</v>
      </c>
      <c r="D449" s="216" t="s">
        <v>1578</v>
      </c>
      <c r="E449" s="62" t="s">
        <v>90</v>
      </c>
      <c r="F449" s="62" t="s">
        <v>1523</v>
      </c>
      <c r="G449" s="222" t="s">
        <v>1360</v>
      </c>
      <c r="H449" s="178" t="s">
        <v>1644</v>
      </c>
      <c r="I449" s="222" t="s">
        <v>1450</v>
      </c>
      <c r="J449" s="216">
        <v>12</v>
      </c>
      <c r="K449" s="13" t="s">
        <v>779</v>
      </c>
      <c r="L449" s="195">
        <v>1.33</v>
      </c>
      <c r="M449" s="226" t="s">
        <v>1645</v>
      </c>
      <c r="N449" s="227"/>
      <c r="O449" s="227"/>
    </row>
    <row r="450" spans="2:15" ht="22.15" customHeight="1">
      <c r="B450" s="224" t="s">
        <v>59</v>
      </c>
      <c r="C450" s="62" t="s">
        <v>1441</v>
      </c>
      <c r="D450" s="216" t="s">
        <v>1646</v>
      </c>
      <c r="E450" s="62" t="s">
        <v>90</v>
      </c>
      <c r="F450" s="62" t="s">
        <v>1523</v>
      </c>
      <c r="G450" s="222" t="s">
        <v>1455</v>
      </c>
      <c r="H450" s="178" t="s">
        <v>1647</v>
      </c>
      <c r="I450" s="222" t="s">
        <v>1450</v>
      </c>
      <c r="J450" s="216">
        <v>18</v>
      </c>
      <c r="K450" s="13" t="s">
        <v>779</v>
      </c>
      <c r="L450" s="195">
        <v>2.14</v>
      </c>
      <c r="M450" s="226" t="s">
        <v>1648</v>
      </c>
      <c r="N450" s="227"/>
      <c r="O450" s="228"/>
    </row>
    <row r="451" spans="2:15" ht="22.15" customHeight="1">
      <c r="B451" s="224" t="s">
        <v>59</v>
      </c>
      <c r="C451" s="62" t="s">
        <v>1441</v>
      </c>
      <c r="D451" s="216" t="s">
        <v>1646</v>
      </c>
      <c r="E451" s="62" t="s">
        <v>90</v>
      </c>
      <c r="F451" s="62" t="s">
        <v>1523</v>
      </c>
      <c r="G451" s="222" t="s">
        <v>1455</v>
      </c>
      <c r="H451" s="178" t="s">
        <v>1649</v>
      </c>
      <c r="I451" s="222" t="s">
        <v>1450</v>
      </c>
      <c r="J451" s="216">
        <v>15</v>
      </c>
      <c r="K451" s="13" t="s">
        <v>779</v>
      </c>
      <c r="L451" s="195">
        <v>2.14</v>
      </c>
      <c r="M451" s="226" t="s">
        <v>1648</v>
      </c>
      <c r="N451" s="233"/>
      <c r="O451" s="234"/>
    </row>
    <row r="452" spans="2:15" ht="22.15" customHeight="1">
      <c r="B452" s="224" t="s">
        <v>59</v>
      </c>
      <c r="C452" s="62" t="s">
        <v>1441</v>
      </c>
      <c r="D452" s="216" t="s">
        <v>1650</v>
      </c>
      <c r="E452" s="62" t="s">
        <v>90</v>
      </c>
      <c r="F452" s="62" t="s">
        <v>1523</v>
      </c>
      <c r="G452" s="222" t="s">
        <v>1455</v>
      </c>
      <c r="H452" s="178" t="s">
        <v>1651</v>
      </c>
      <c r="I452" s="222" t="s">
        <v>1450</v>
      </c>
      <c r="J452" s="216">
        <v>70</v>
      </c>
      <c r="K452" s="13" t="s">
        <v>779</v>
      </c>
      <c r="L452" s="195">
        <v>1.88</v>
      </c>
      <c r="M452" s="226" t="s">
        <v>1652</v>
      </c>
      <c r="N452" s="233"/>
      <c r="O452" s="234"/>
    </row>
    <row r="453" spans="2:15" ht="22.15" customHeight="1">
      <c r="B453" s="224" t="s">
        <v>59</v>
      </c>
      <c r="C453" s="62" t="s">
        <v>1441</v>
      </c>
      <c r="D453" s="216" t="s">
        <v>1653</v>
      </c>
      <c r="E453" s="62" t="s">
        <v>90</v>
      </c>
      <c r="F453" s="62" t="s">
        <v>1523</v>
      </c>
      <c r="G453" s="222" t="s">
        <v>1360</v>
      </c>
      <c r="H453" s="178" t="s">
        <v>1654</v>
      </c>
      <c r="I453" s="222" t="s">
        <v>1450</v>
      </c>
      <c r="J453" s="216">
        <v>207</v>
      </c>
      <c r="K453" s="13" t="s">
        <v>779</v>
      </c>
      <c r="L453" s="195">
        <v>1.05</v>
      </c>
      <c r="M453" s="226" t="s">
        <v>1655</v>
      </c>
      <c r="N453" s="233"/>
      <c r="O453" s="234"/>
    </row>
    <row r="454" spans="2:15" ht="22.15" customHeight="1">
      <c r="B454" s="224" t="s">
        <v>59</v>
      </c>
      <c r="C454" s="62" t="s">
        <v>1441</v>
      </c>
      <c r="D454" s="216" t="s">
        <v>1656</v>
      </c>
      <c r="E454" s="62" t="s">
        <v>90</v>
      </c>
      <c r="F454" s="62" t="s">
        <v>1523</v>
      </c>
      <c r="G454" s="222" t="s">
        <v>1360</v>
      </c>
      <c r="H454" s="178" t="s">
        <v>1657</v>
      </c>
      <c r="I454" s="222" t="s">
        <v>1450</v>
      </c>
      <c r="J454" s="216">
        <v>27</v>
      </c>
      <c r="K454" s="13" t="s">
        <v>779</v>
      </c>
      <c r="L454" s="195">
        <v>1.18</v>
      </c>
      <c r="M454" s="226" t="s">
        <v>1658</v>
      </c>
      <c r="N454" s="233"/>
      <c r="O454" s="234"/>
    </row>
    <row r="455" spans="2:15" ht="22.15" customHeight="1">
      <c r="B455" s="224" t="s">
        <v>59</v>
      </c>
      <c r="C455" s="62" t="s">
        <v>1441</v>
      </c>
      <c r="D455" s="216" t="s">
        <v>1586</v>
      </c>
      <c r="E455" s="62" t="s">
        <v>90</v>
      </c>
      <c r="F455" s="62" t="s">
        <v>1523</v>
      </c>
      <c r="G455" s="222" t="s">
        <v>1360</v>
      </c>
      <c r="H455" s="178" t="s">
        <v>1659</v>
      </c>
      <c r="I455" s="222" t="s">
        <v>1450</v>
      </c>
      <c r="J455" s="216">
        <v>22</v>
      </c>
      <c r="K455" s="13" t="s">
        <v>779</v>
      </c>
      <c r="L455" s="195">
        <v>1.18</v>
      </c>
      <c r="M455" s="226" t="s">
        <v>1658</v>
      </c>
      <c r="N455" s="227"/>
      <c r="O455" s="228"/>
    </row>
    <row r="456" spans="2:15" ht="22.15" customHeight="1">
      <c r="B456" s="224" t="s">
        <v>59</v>
      </c>
      <c r="C456" s="62" t="s">
        <v>1441</v>
      </c>
      <c r="D456" s="216" t="s">
        <v>1660</v>
      </c>
      <c r="E456" s="62" t="s">
        <v>90</v>
      </c>
      <c r="F456" s="62" t="s">
        <v>1523</v>
      </c>
      <c r="G456" s="222" t="s">
        <v>1455</v>
      </c>
      <c r="H456" s="178" t="s">
        <v>1661</v>
      </c>
      <c r="I456" s="222" t="s">
        <v>1450</v>
      </c>
      <c r="J456" s="216">
        <v>120</v>
      </c>
      <c r="K456" s="13" t="s">
        <v>779</v>
      </c>
      <c r="L456" s="195">
        <v>1.43</v>
      </c>
      <c r="M456" s="226" t="s">
        <v>1662</v>
      </c>
      <c r="N456" s="227"/>
      <c r="O456" s="228"/>
    </row>
    <row r="457" spans="2:15" ht="22.15" customHeight="1">
      <c r="B457" s="224" t="s">
        <v>59</v>
      </c>
      <c r="C457" s="62" t="s">
        <v>1441</v>
      </c>
      <c r="D457" s="216" t="s">
        <v>1640</v>
      </c>
      <c r="E457" s="62" t="s">
        <v>90</v>
      </c>
      <c r="F457" s="62" t="s">
        <v>1523</v>
      </c>
      <c r="G457" s="222" t="s">
        <v>1455</v>
      </c>
      <c r="H457" s="178" t="s">
        <v>1663</v>
      </c>
      <c r="I457" s="222" t="s">
        <v>1450</v>
      </c>
      <c r="J457" s="216">
        <v>39</v>
      </c>
      <c r="K457" s="13" t="s">
        <v>779</v>
      </c>
      <c r="L457" s="195">
        <v>1.61</v>
      </c>
      <c r="M457" s="226" t="s">
        <v>1664</v>
      </c>
      <c r="N457" s="227"/>
      <c r="O457" s="228"/>
    </row>
    <row r="458" spans="2:15" ht="22.15" customHeight="1">
      <c r="B458" s="224" t="s">
        <v>59</v>
      </c>
      <c r="C458" s="62" t="s">
        <v>1441</v>
      </c>
      <c r="D458" s="216" t="s">
        <v>1640</v>
      </c>
      <c r="E458" s="62" t="s">
        <v>90</v>
      </c>
      <c r="F458" s="62" t="s">
        <v>1523</v>
      </c>
      <c r="G458" s="222" t="s">
        <v>1455</v>
      </c>
      <c r="H458" s="178" t="s">
        <v>1665</v>
      </c>
      <c r="I458" s="222" t="s">
        <v>1450</v>
      </c>
      <c r="J458" s="216">
        <v>30</v>
      </c>
      <c r="K458" s="13" t="s">
        <v>779</v>
      </c>
      <c r="L458" s="195">
        <v>1.61</v>
      </c>
      <c r="M458" s="226" t="s">
        <v>1664</v>
      </c>
      <c r="N458" s="227"/>
      <c r="O458" s="228"/>
    </row>
    <row r="459" spans="2:15" ht="22.15" customHeight="1">
      <c r="B459" s="224" t="s">
        <v>59</v>
      </c>
      <c r="C459" s="62" t="s">
        <v>1441</v>
      </c>
      <c r="D459" s="216" t="s">
        <v>1666</v>
      </c>
      <c r="E459" s="62" t="s">
        <v>90</v>
      </c>
      <c r="F459" s="62" t="s">
        <v>1523</v>
      </c>
      <c r="G459" s="235" t="s">
        <v>1360</v>
      </c>
      <c r="H459" s="172" t="s">
        <v>1667</v>
      </c>
      <c r="I459" s="235" t="s">
        <v>1450</v>
      </c>
      <c r="J459" s="236">
        <v>80</v>
      </c>
      <c r="K459" s="131" t="s">
        <v>779</v>
      </c>
      <c r="L459" s="204">
        <v>1.04</v>
      </c>
      <c r="M459" s="226" t="s">
        <v>1668</v>
      </c>
      <c r="N459" s="227"/>
      <c r="O459" s="228"/>
    </row>
    <row r="460" spans="2:15" ht="22.15" customHeight="1">
      <c r="B460" s="224" t="s">
        <v>59</v>
      </c>
      <c r="C460" s="62" t="s">
        <v>1441</v>
      </c>
      <c r="D460" s="216" t="s">
        <v>1666</v>
      </c>
      <c r="E460" s="62" t="s">
        <v>90</v>
      </c>
      <c r="F460" s="62" t="s">
        <v>1523</v>
      </c>
      <c r="G460" s="235" t="s">
        <v>1360</v>
      </c>
      <c r="H460" s="172" t="s">
        <v>1669</v>
      </c>
      <c r="I460" s="222" t="s">
        <v>1450</v>
      </c>
      <c r="J460" s="236">
        <v>4</v>
      </c>
      <c r="K460" s="131" t="s">
        <v>779</v>
      </c>
      <c r="L460" s="204">
        <v>1.17</v>
      </c>
      <c r="M460" s="226" t="s">
        <v>1670</v>
      </c>
      <c r="N460" s="227"/>
      <c r="O460" s="228"/>
    </row>
    <row r="461" spans="2:15" ht="22.15" customHeight="1">
      <c r="B461" s="224" t="s">
        <v>59</v>
      </c>
      <c r="C461" s="62" t="s">
        <v>1441</v>
      </c>
      <c r="D461" s="216" t="s">
        <v>1671</v>
      </c>
      <c r="E461" s="62" t="s">
        <v>90</v>
      </c>
      <c r="F461" s="222" t="s">
        <v>1523</v>
      </c>
      <c r="G461" s="222" t="s">
        <v>1360</v>
      </c>
      <c r="H461" s="178" t="s">
        <v>1672</v>
      </c>
      <c r="I461" s="222" t="s">
        <v>1450</v>
      </c>
      <c r="J461" s="216">
        <v>28</v>
      </c>
      <c r="K461" s="13" t="s">
        <v>779</v>
      </c>
      <c r="L461" s="195">
        <v>0.91</v>
      </c>
      <c r="M461" s="226" t="s">
        <v>1673</v>
      </c>
      <c r="N461" s="227"/>
      <c r="O461" s="228"/>
    </row>
    <row r="462" spans="2:15" ht="22.15" customHeight="1">
      <c r="B462" s="224" t="s">
        <v>59</v>
      </c>
      <c r="C462" s="62" t="s">
        <v>1441</v>
      </c>
      <c r="D462" s="216" t="s">
        <v>1671</v>
      </c>
      <c r="E462" s="62" t="s">
        <v>90</v>
      </c>
      <c r="F462" s="222" t="s">
        <v>1523</v>
      </c>
      <c r="G462" s="222" t="s">
        <v>1360</v>
      </c>
      <c r="H462" s="178" t="s">
        <v>1674</v>
      </c>
      <c r="I462" s="222" t="s">
        <v>1450</v>
      </c>
      <c r="J462" s="216">
        <v>12</v>
      </c>
      <c r="K462" s="13" t="s">
        <v>779</v>
      </c>
      <c r="L462" s="195">
        <v>1.04</v>
      </c>
      <c r="M462" s="226" t="s">
        <v>1675</v>
      </c>
      <c r="N462" s="227"/>
      <c r="O462" s="228"/>
    </row>
    <row r="463" spans="2:15" ht="22.15" customHeight="1">
      <c r="B463" s="224" t="s">
        <v>59</v>
      </c>
      <c r="C463" s="62" t="s">
        <v>1441</v>
      </c>
      <c r="D463" s="216" t="s">
        <v>1646</v>
      </c>
      <c r="E463" s="62" t="s">
        <v>90</v>
      </c>
      <c r="F463" s="222" t="s">
        <v>1523</v>
      </c>
      <c r="G463" s="222" t="s">
        <v>1455</v>
      </c>
      <c r="H463" s="178" t="s">
        <v>1676</v>
      </c>
      <c r="I463" s="222" t="s">
        <v>1450</v>
      </c>
      <c r="J463" s="216">
        <v>35</v>
      </c>
      <c r="K463" s="13" t="s">
        <v>779</v>
      </c>
      <c r="L463" s="195">
        <v>1.45</v>
      </c>
      <c r="M463" s="226" t="s">
        <v>1677</v>
      </c>
      <c r="N463" s="227"/>
      <c r="O463" s="228"/>
    </row>
    <row r="464" spans="2:15" ht="22.15" customHeight="1">
      <c r="B464" s="224" t="s">
        <v>59</v>
      </c>
      <c r="C464" s="62" t="s">
        <v>1441</v>
      </c>
      <c r="D464" s="216" t="s">
        <v>1650</v>
      </c>
      <c r="E464" s="62" t="s">
        <v>90</v>
      </c>
      <c r="F464" s="222" t="s">
        <v>1523</v>
      </c>
      <c r="G464" s="222" t="s">
        <v>1455</v>
      </c>
      <c r="H464" s="178" t="s">
        <v>1678</v>
      </c>
      <c r="I464" s="222" t="s">
        <v>1450</v>
      </c>
      <c r="J464" s="216">
        <v>10</v>
      </c>
      <c r="K464" s="13" t="s">
        <v>779</v>
      </c>
      <c r="L464" s="195">
        <v>1.66</v>
      </c>
      <c r="M464" s="226" t="s">
        <v>1679</v>
      </c>
      <c r="N464" s="227"/>
      <c r="O464" s="228"/>
    </row>
    <row r="465" spans="2:15" ht="22.15" customHeight="1">
      <c r="B465" s="224" t="s">
        <v>59</v>
      </c>
      <c r="C465" s="62" t="s">
        <v>1441</v>
      </c>
      <c r="D465" s="216" t="s">
        <v>1650</v>
      </c>
      <c r="E465" s="62" t="s">
        <v>90</v>
      </c>
      <c r="F465" s="222" t="s">
        <v>1523</v>
      </c>
      <c r="G465" s="222" t="s">
        <v>1455</v>
      </c>
      <c r="H465" s="178" t="s">
        <v>1680</v>
      </c>
      <c r="I465" s="222" t="s">
        <v>1450</v>
      </c>
      <c r="J465" s="216">
        <v>10</v>
      </c>
      <c r="K465" s="13" t="s">
        <v>779</v>
      </c>
      <c r="L465" s="195">
        <v>1.66</v>
      </c>
      <c r="M465" s="226" t="s">
        <v>1679</v>
      </c>
      <c r="N465" s="227"/>
      <c r="O465" s="228"/>
    </row>
    <row r="466" spans="2:15" ht="22.15" customHeight="1">
      <c r="B466" s="224" t="s">
        <v>53</v>
      </c>
      <c r="C466" s="62" t="s">
        <v>1441</v>
      </c>
      <c r="D466" s="216" t="s">
        <v>1681</v>
      </c>
      <c r="E466" s="62" t="s">
        <v>90</v>
      </c>
      <c r="F466" s="222" t="s">
        <v>1682</v>
      </c>
      <c r="G466" s="62" t="s">
        <v>244</v>
      </c>
      <c r="H466" s="216" t="s">
        <v>1683</v>
      </c>
      <c r="I466" s="177" t="s">
        <v>1684</v>
      </c>
      <c r="J466" s="216">
        <v>1</v>
      </c>
      <c r="K466" s="13" t="s">
        <v>779</v>
      </c>
      <c r="L466" s="195">
        <v>46.21</v>
      </c>
      <c r="M466" s="193"/>
      <c r="N466" s="227"/>
      <c r="O466" s="228"/>
    </row>
    <row r="467" spans="2:15" ht="22.15" customHeight="1">
      <c r="B467" s="224" t="s">
        <v>53</v>
      </c>
      <c r="C467" s="62" t="s">
        <v>1441</v>
      </c>
      <c r="D467" s="216" t="s">
        <v>1681</v>
      </c>
      <c r="E467" s="62" t="s">
        <v>90</v>
      </c>
      <c r="F467" s="222" t="s">
        <v>1682</v>
      </c>
      <c r="G467" s="62" t="s">
        <v>244</v>
      </c>
      <c r="H467" s="216" t="s">
        <v>1685</v>
      </c>
      <c r="I467" s="177" t="s">
        <v>1684</v>
      </c>
      <c r="J467" s="216">
        <v>1</v>
      </c>
      <c r="K467" s="13" t="s">
        <v>779</v>
      </c>
      <c r="L467" s="195">
        <v>46.21</v>
      </c>
      <c r="M467" s="193"/>
      <c r="N467" s="227"/>
      <c r="O467" s="228"/>
    </row>
    <row r="468" spans="2:15" ht="22.15" customHeight="1">
      <c r="B468" s="224" t="s">
        <v>53</v>
      </c>
      <c r="C468" s="62" t="s">
        <v>1441</v>
      </c>
      <c r="D468" s="216" t="s">
        <v>1686</v>
      </c>
      <c r="E468" s="62" t="s">
        <v>90</v>
      </c>
      <c r="F468" s="222" t="s">
        <v>1682</v>
      </c>
      <c r="G468" s="62" t="s">
        <v>244</v>
      </c>
      <c r="H468" s="178" t="s">
        <v>1687</v>
      </c>
      <c r="I468" s="177" t="s">
        <v>1684</v>
      </c>
      <c r="J468" s="216">
        <v>5</v>
      </c>
      <c r="K468" s="13" t="s">
        <v>779</v>
      </c>
      <c r="L468" s="195">
        <v>27</v>
      </c>
      <c r="M468" s="193"/>
      <c r="N468" s="227"/>
      <c r="O468" s="228"/>
    </row>
    <row r="469" spans="2:15" ht="22.15" customHeight="1">
      <c r="B469" s="224" t="s">
        <v>53</v>
      </c>
      <c r="C469" s="62" t="s">
        <v>1441</v>
      </c>
      <c r="D469" s="216" t="s">
        <v>1681</v>
      </c>
      <c r="E469" s="62" t="s">
        <v>90</v>
      </c>
      <c r="F469" s="222" t="s">
        <v>1682</v>
      </c>
      <c r="G469" s="62" t="s">
        <v>244</v>
      </c>
      <c r="H469" s="178" t="s">
        <v>1688</v>
      </c>
      <c r="I469" s="177" t="s">
        <v>1684</v>
      </c>
      <c r="J469" s="216">
        <v>5</v>
      </c>
      <c r="K469" s="13" t="s">
        <v>779</v>
      </c>
      <c r="L469" s="195">
        <v>35</v>
      </c>
      <c r="M469" s="193"/>
      <c r="N469" s="227"/>
      <c r="O469" s="228"/>
    </row>
    <row r="470" spans="2:15" ht="22.15" customHeight="1">
      <c r="B470" s="224" t="s">
        <v>59</v>
      </c>
      <c r="C470" s="62" t="s">
        <v>1441</v>
      </c>
      <c r="D470" s="216" t="s">
        <v>1689</v>
      </c>
      <c r="E470" s="62" t="s">
        <v>90</v>
      </c>
      <c r="F470" s="216" t="s">
        <v>236</v>
      </c>
      <c r="G470" s="222" t="s">
        <v>1473</v>
      </c>
      <c r="H470" s="216" t="s">
        <v>1690</v>
      </c>
      <c r="I470" s="222" t="s">
        <v>1691</v>
      </c>
      <c r="J470" s="216" t="s">
        <v>1479</v>
      </c>
      <c r="K470" s="13" t="s">
        <v>779</v>
      </c>
      <c r="L470" s="195">
        <v>3.5</v>
      </c>
      <c r="M470" s="193" t="s">
        <v>1692</v>
      </c>
      <c r="N470" s="227"/>
      <c r="O470" s="228"/>
    </row>
    <row r="471" spans="2:15" ht="22.15" customHeight="1">
      <c r="B471" s="224" t="s">
        <v>59</v>
      </c>
      <c r="C471" s="62" t="s">
        <v>1441</v>
      </c>
      <c r="D471" s="222" t="s">
        <v>1434</v>
      </c>
      <c r="E471" s="62" t="s">
        <v>90</v>
      </c>
      <c r="F471" s="216" t="s">
        <v>236</v>
      </c>
      <c r="G471" s="222" t="s">
        <v>1455</v>
      </c>
      <c r="H471" s="216" t="s">
        <v>1693</v>
      </c>
      <c r="I471" s="222" t="s">
        <v>1490</v>
      </c>
      <c r="J471" s="216">
        <v>13</v>
      </c>
      <c r="K471" s="13" t="s">
        <v>779</v>
      </c>
      <c r="L471" s="195">
        <v>8.19</v>
      </c>
      <c r="M471" s="226" t="s">
        <v>1694</v>
      </c>
      <c r="N471" s="227"/>
      <c r="O471" s="228"/>
    </row>
    <row r="472" spans="2:15" ht="22.15" customHeight="1">
      <c r="B472" s="224" t="s">
        <v>59</v>
      </c>
      <c r="C472" s="62" t="s">
        <v>1441</v>
      </c>
      <c r="D472" s="216" t="s">
        <v>1695</v>
      </c>
      <c r="E472" s="62" t="s">
        <v>90</v>
      </c>
      <c r="F472" s="216" t="s">
        <v>236</v>
      </c>
      <c r="G472" s="222" t="s">
        <v>1455</v>
      </c>
      <c r="H472" s="216" t="s">
        <v>1696</v>
      </c>
      <c r="I472" s="222" t="s">
        <v>1490</v>
      </c>
      <c r="J472" s="216">
        <v>8</v>
      </c>
      <c r="K472" s="13" t="s">
        <v>779</v>
      </c>
      <c r="L472" s="195">
        <v>8.19</v>
      </c>
      <c r="M472" s="226" t="s">
        <v>1694</v>
      </c>
      <c r="N472" s="227"/>
      <c r="O472" s="228"/>
    </row>
    <row r="473" spans="2:15" ht="22.15" customHeight="1">
      <c r="B473" s="224" t="s">
        <v>59</v>
      </c>
      <c r="C473" s="62" t="s">
        <v>1441</v>
      </c>
      <c r="D473" s="222" t="s">
        <v>1434</v>
      </c>
      <c r="E473" s="62" t="s">
        <v>90</v>
      </c>
      <c r="F473" s="216" t="s">
        <v>236</v>
      </c>
      <c r="G473" s="222" t="s">
        <v>1455</v>
      </c>
      <c r="H473" s="216" t="s">
        <v>1697</v>
      </c>
      <c r="I473" s="222" t="s">
        <v>1490</v>
      </c>
      <c r="J473" s="216" t="s">
        <v>1485</v>
      </c>
      <c r="K473" s="13" t="s">
        <v>779</v>
      </c>
      <c r="L473" s="195">
        <v>7.2</v>
      </c>
      <c r="M473" s="226" t="s">
        <v>1698</v>
      </c>
      <c r="N473" s="227"/>
      <c r="O473" s="228"/>
    </row>
    <row r="474" spans="2:15" ht="22.15" customHeight="1">
      <c r="B474" s="224" t="s">
        <v>59</v>
      </c>
      <c r="C474" s="62" t="s">
        <v>1441</v>
      </c>
      <c r="D474" s="222" t="s">
        <v>1434</v>
      </c>
      <c r="E474" s="62" t="s">
        <v>90</v>
      </c>
      <c r="F474" s="216" t="s">
        <v>236</v>
      </c>
      <c r="G474" s="222" t="s">
        <v>1455</v>
      </c>
      <c r="H474" s="216" t="s">
        <v>1699</v>
      </c>
      <c r="I474" s="222" t="s">
        <v>1490</v>
      </c>
      <c r="J474" s="216" t="s">
        <v>1539</v>
      </c>
      <c r="K474" s="13" t="s">
        <v>779</v>
      </c>
      <c r="L474" s="195">
        <v>6.74</v>
      </c>
      <c r="M474" s="226" t="s">
        <v>1700</v>
      </c>
      <c r="N474" s="227"/>
      <c r="O474" s="228"/>
    </row>
    <row r="475" spans="2:15" ht="22.15" customHeight="1">
      <c r="B475" s="224" t="s">
        <v>59</v>
      </c>
      <c r="C475" s="62" t="s">
        <v>1441</v>
      </c>
      <c r="D475" s="216" t="s">
        <v>1701</v>
      </c>
      <c r="E475" s="62" t="s">
        <v>90</v>
      </c>
      <c r="F475" s="216" t="s">
        <v>236</v>
      </c>
      <c r="G475" s="222" t="s">
        <v>1455</v>
      </c>
      <c r="H475" s="216">
        <v>40.533200000000001</v>
      </c>
      <c r="I475" s="222" t="s">
        <v>1490</v>
      </c>
      <c r="J475" s="216" t="s">
        <v>1471</v>
      </c>
      <c r="K475" s="13" t="s">
        <v>779</v>
      </c>
      <c r="L475" s="195">
        <v>6.74</v>
      </c>
      <c r="M475" s="226" t="s">
        <v>1700</v>
      </c>
      <c r="N475" s="227"/>
      <c r="O475" s="228"/>
    </row>
    <row r="476" spans="2:15" ht="22.15" customHeight="1">
      <c r="B476" s="224" t="s">
        <v>59</v>
      </c>
      <c r="C476" s="62" t="s">
        <v>1441</v>
      </c>
      <c r="D476" s="222" t="s">
        <v>1434</v>
      </c>
      <c r="E476" s="62" t="s">
        <v>90</v>
      </c>
      <c r="F476" s="216" t="s">
        <v>236</v>
      </c>
      <c r="G476" s="222" t="s">
        <v>1360</v>
      </c>
      <c r="H476" s="178" t="s">
        <v>1702</v>
      </c>
      <c r="I476" s="222" t="s">
        <v>1490</v>
      </c>
      <c r="J476" s="216" t="s">
        <v>1485</v>
      </c>
      <c r="K476" s="13" t="s">
        <v>779</v>
      </c>
      <c r="L476" s="195">
        <v>2.87</v>
      </c>
      <c r="M476" s="226" t="s">
        <v>1703</v>
      </c>
      <c r="N476" s="227"/>
      <c r="O476" s="228"/>
    </row>
    <row r="477" spans="2:15" ht="22.15" customHeight="1">
      <c r="B477" s="224" t="s">
        <v>59</v>
      </c>
      <c r="C477" s="62" t="s">
        <v>1441</v>
      </c>
      <c r="D477" s="216" t="s">
        <v>1496</v>
      </c>
      <c r="E477" s="62" t="s">
        <v>90</v>
      </c>
      <c r="F477" s="216" t="s">
        <v>236</v>
      </c>
      <c r="G477" s="222" t="s">
        <v>1360</v>
      </c>
      <c r="H477" s="178" t="s">
        <v>1704</v>
      </c>
      <c r="I477" s="222" t="s">
        <v>1490</v>
      </c>
      <c r="J477" s="216" t="s">
        <v>1457</v>
      </c>
      <c r="K477" s="13" t="s">
        <v>779</v>
      </c>
      <c r="L477" s="195">
        <v>4.66</v>
      </c>
      <c r="M477" s="226" t="s">
        <v>1705</v>
      </c>
      <c r="N477" s="227"/>
      <c r="O477" s="228"/>
    </row>
    <row r="478" spans="2:15" ht="22.15" customHeight="1">
      <c r="B478" s="224" t="s">
        <v>59</v>
      </c>
      <c r="C478" s="62" t="s">
        <v>1441</v>
      </c>
      <c r="D478" s="216" t="s">
        <v>1496</v>
      </c>
      <c r="E478" s="62" t="s">
        <v>90</v>
      </c>
      <c r="F478" s="216" t="s">
        <v>236</v>
      </c>
      <c r="G478" s="222" t="s">
        <v>1360</v>
      </c>
      <c r="H478" s="178" t="s">
        <v>1706</v>
      </c>
      <c r="I478" s="222" t="s">
        <v>1490</v>
      </c>
      <c r="J478" s="216" t="s">
        <v>1598</v>
      </c>
      <c r="K478" s="13" t="s">
        <v>779</v>
      </c>
      <c r="L478" s="195">
        <v>6.14</v>
      </c>
      <c r="M478" s="226" t="s">
        <v>1707</v>
      </c>
      <c r="N478" s="227"/>
      <c r="O478" s="228"/>
    </row>
    <row r="479" spans="2:15" ht="22.15" customHeight="1">
      <c r="B479" s="224" t="s">
        <v>59</v>
      </c>
      <c r="C479" s="62" t="s">
        <v>1441</v>
      </c>
      <c r="D479" s="222" t="s">
        <v>1434</v>
      </c>
      <c r="E479" s="62" t="s">
        <v>90</v>
      </c>
      <c r="F479" s="216" t="s">
        <v>236</v>
      </c>
      <c r="G479" s="222" t="s">
        <v>1360</v>
      </c>
      <c r="H479" s="178" t="s">
        <v>1708</v>
      </c>
      <c r="I479" s="222" t="s">
        <v>1490</v>
      </c>
      <c r="J479" s="216" t="s">
        <v>1709</v>
      </c>
      <c r="K479" s="13" t="s">
        <v>779</v>
      </c>
      <c r="L479" s="195">
        <v>2.61</v>
      </c>
      <c r="M479" s="193" t="s">
        <v>1710</v>
      </c>
      <c r="N479" s="227"/>
      <c r="O479" s="228"/>
    </row>
    <row r="480" spans="2:15" ht="22.15" customHeight="1">
      <c r="B480" s="224" t="s">
        <v>59</v>
      </c>
      <c r="C480" s="62" t="s">
        <v>1441</v>
      </c>
      <c r="D480" s="216" t="s">
        <v>1442</v>
      </c>
      <c r="E480" s="62" t="s">
        <v>90</v>
      </c>
      <c r="F480" s="216" t="s">
        <v>1444</v>
      </c>
      <c r="G480" s="222" t="s">
        <v>1360</v>
      </c>
      <c r="H480" s="178" t="s">
        <v>64</v>
      </c>
      <c r="I480" s="222" t="s">
        <v>65</v>
      </c>
      <c r="J480" s="216">
        <v>40</v>
      </c>
      <c r="K480" s="13" t="s">
        <v>779</v>
      </c>
      <c r="L480" s="195">
        <v>0.7</v>
      </c>
      <c r="M480" s="193" t="s">
        <v>1711</v>
      </c>
      <c r="N480" s="227"/>
      <c r="O480" s="228"/>
    </row>
    <row r="481" spans="2:15" ht="22.15" customHeight="1">
      <c r="B481" s="224" t="s">
        <v>59</v>
      </c>
      <c r="C481" s="62" t="s">
        <v>1441</v>
      </c>
      <c r="D481" s="216" t="s">
        <v>1472</v>
      </c>
      <c r="E481" s="62" t="s">
        <v>90</v>
      </c>
      <c r="F481" s="216" t="s">
        <v>236</v>
      </c>
      <c r="G481" s="222" t="s">
        <v>1473</v>
      </c>
      <c r="H481" s="178" t="s">
        <v>1712</v>
      </c>
      <c r="I481" s="13" t="s">
        <v>1713</v>
      </c>
      <c r="J481" s="216" t="s">
        <v>1714</v>
      </c>
      <c r="K481" s="13" t="s">
        <v>779</v>
      </c>
      <c r="L481" s="195">
        <v>1</v>
      </c>
      <c r="M481" s="226" t="s">
        <v>1715</v>
      </c>
      <c r="N481" s="227"/>
      <c r="O481" s="228"/>
    </row>
    <row r="482" spans="2:15" ht="22.15" customHeight="1">
      <c r="B482" s="224" t="s">
        <v>59</v>
      </c>
      <c r="C482" s="62" t="s">
        <v>1441</v>
      </c>
      <c r="D482" s="216" t="s">
        <v>1716</v>
      </c>
      <c r="E482" s="62" t="s">
        <v>90</v>
      </c>
      <c r="F482" s="216" t="s">
        <v>236</v>
      </c>
      <c r="G482" s="222" t="s">
        <v>283</v>
      </c>
      <c r="H482" s="178" t="s">
        <v>1717</v>
      </c>
      <c r="I482" s="13" t="s">
        <v>1718</v>
      </c>
      <c r="J482" s="216" t="s">
        <v>1719</v>
      </c>
      <c r="K482" s="13" t="s">
        <v>779</v>
      </c>
      <c r="L482" s="195">
        <v>2.99</v>
      </c>
      <c r="M482" s="226" t="s">
        <v>1720</v>
      </c>
      <c r="N482" s="227"/>
      <c r="O482" s="228"/>
    </row>
    <row r="483" spans="2:15" ht="22.15" customHeight="1">
      <c r="B483" s="224" t="s">
        <v>59</v>
      </c>
      <c r="C483" s="62" t="s">
        <v>1441</v>
      </c>
      <c r="D483" s="216" t="s">
        <v>1721</v>
      </c>
      <c r="E483" s="62" t="s">
        <v>90</v>
      </c>
      <c r="F483" s="216" t="s">
        <v>236</v>
      </c>
      <c r="G483" s="222" t="s">
        <v>1455</v>
      </c>
      <c r="H483" s="178" t="s">
        <v>1722</v>
      </c>
      <c r="I483" s="13" t="s">
        <v>1718</v>
      </c>
      <c r="J483" s="216">
        <v>60</v>
      </c>
      <c r="K483" s="13" t="s">
        <v>779</v>
      </c>
      <c r="L483" s="195">
        <v>2.7</v>
      </c>
      <c r="M483" s="226" t="s">
        <v>1723</v>
      </c>
      <c r="N483" s="16"/>
    </row>
    <row r="484" spans="2:15" ht="22.15" customHeight="1">
      <c r="B484" s="224" t="s">
        <v>59</v>
      </c>
      <c r="C484" s="62" t="s">
        <v>1441</v>
      </c>
      <c r="D484" s="216" t="s">
        <v>1724</v>
      </c>
      <c r="E484" s="62" t="s">
        <v>90</v>
      </c>
      <c r="F484" s="216" t="s">
        <v>236</v>
      </c>
      <c r="G484" s="222" t="s">
        <v>1473</v>
      </c>
      <c r="H484" s="178" t="s">
        <v>1725</v>
      </c>
      <c r="I484" s="13" t="s">
        <v>1726</v>
      </c>
      <c r="J484" s="216" t="s">
        <v>1727</v>
      </c>
      <c r="K484" s="13" t="s">
        <v>779</v>
      </c>
      <c r="L484" s="195">
        <v>0.9</v>
      </c>
      <c r="M484" s="226" t="s">
        <v>1728</v>
      </c>
      <c r="N484" s="16"/>
    </row>
    <row r="485" spans="2:15" ht="22.15" customHeight="1">
      <c r="B485" s="224" t="s">
        <v>59</v>
      </c>
      <c r="C485" s="62" t="s">
        <v>1441</v>
      </c>
      <c r="D485" s="216" t="s">
        <v>1729</v>
      </c>
      <c r="E485" s="62" t="s">
        <v>90</v>
      </c>
      <c r="F485" s="216" t="s">
        <v>236</v>
      </c>
      <c r="G485" s="222" t="s">
        <v>1360</v>
      </c>
      <c r="H485" s="178" t="s">
        <v>1725</v>
      </c>
      <c r="I485" s="13" t="s">
        <v>1726</v>
      </c>
      <c r="J485" s="216" t="s">
        <v>1730</v>
      </c>
      <c r="K485" s="13" t="s">
        <v>779</v>
      </c>
      <c r="L485" s="195">
        <v>0.9</v>
      </c>
      <c r="M485" s="226" t="s">
        <v>1731</v>
      </c>
    </row>
    <row r="486" spans="2:15" ht="22.15" customHeight="1">
      <c r="B486" s="224" t="s">
        <v>59</v>
      </c>
      <c r="C486" s="62" t="s">
        <v>1441</v>
      </c>
      <c r="D486" s="216" t="s">
        <v>1732</v>
      </c>
      <c r="E486" s="62" t="s">
        <v>90</v>
      </c>
      <c r="F486" s="216" t="s">
        <v>236</v>
      </c>
      <c r="G486" s="222" t="s">
        <v>1473</v>
      </c>
      <c r="H486" s="178" t="s">
        <v>1733</v>
      </c>
      <c r="I486" s="13" t="s">
        <v>1734</v>
      </c>
      <c r="J486" s="216" t="s">
        <v>1735</v>
      </c>
      <c r="K486" s="13" t="s">
        <v>779</v>
      </c>
      <c r="L486" s="195">
        <v>1.1299999999999999</v>
      </c>
      <c r="M486" s="226" t="s">
        <v>1736</v>
      </c>
    </row>
    <row r="487" spans="2:15" ht="22.15" customHeight="1">
      <c r="B487" s="224" t="s">
        <v>59</v>
      </c>
      <c r="C487" s="62" t="s">
        <v>1441</v>
      </c>
      <c r="D487" s="216" t="s">
        <v>1737</v>
      </c>
      <c r="E487" s="62" t="s">
        <v>90</v>
      </c>
      <c r="F487" s="216" t="s">
        <v>236</v>
      </c>
      <c r="G487" s="222" t="s">
        <v>1360</v>
      </c>
      <c r="H487" s="178" t="s">
        <v>1738</v>
      </c>
      <c r="I487" s="13" t="s">
        <v>1739</v>
      </c>
      <c r="J487" s="216">
        <v>37</v>
      </c>
      <c r="K487" s="13" t="s">
        <v>779</v>
      </c>
      <c r="L487" s="195">
        <v>1.4</v>
      </c>
      <c r="M487" s="226" t="s">
        <v>1740</v>
      </c>
    </row>
    <row r="488" spans="2:15" ht="22.15" customHeight="1">
      <c r="B488" s="224" t="s">
        <v>59</v>
      </c>
      <c r="C488" s="62" t="s">
        <v>1441</v>
      </c>
      <c r="D488" s="216" t="s">
        <v>1741</v>
      </c>
      <c r="E488" s="62" t="s">
        <v>90</v>
      </c>
      <c r="F488" s="216" t="s">
        <v>236</v>
      </c>
      <c r="G488" s="222" t="s">
        <v>1473</v>
      </c>
      <c r="H488" s="178" t="s">
        <v>1742</v>
      </c>
      <c r="I488" s="13" t="s">
        <v>1743</v>
      </c>
      <c r="J488" s="216" t="s">
        <v>1484</v>
      </c>
      <c r="K488" s="13" t="s">
        <v>779</v>
      </c>
      <c r="L488" s="195">
        <v>1</v>
      </c>
      <c r="M488" s="226" t="s">
        <v>1744</v>
      </c>
    </row>
    <row r="489" spans="2:15" ht="22.15" customHeight="1">
      <c r="B489" s="224" t="s">
        <v>59</v>
      </c>
      <c r="C489" s="62" t="s">
        <v>1441</v>
      </c>
      <c r="D489" s="216" t="s">
        <v>1741</v>
      </c>
      <c r="E489" s="62" t="s">
        <v>90</v>
      </c>
      <c r="F489" s="216" t="s">
        <v>236</v>
      </c>
      <c r="G489" s="222" t="s">
        <v>1473</v>
      </c>
      <c r="H489" s="178" t="s">
        <v>1745</v>
      </c>
      <c r="I489" s="13" t="s">
        <v>1746</v>
      </c>
      <c r="J489" s="216" t="s">
        <v>1747</v>
      </c>
      <c r="K489" s="13" t="s">
        <v>779</v>
      </c>
      <c r="L489" s="195">
        <v>0.37</v>
      </c>
      <c r="M489" s="226" t="s">
        <v>1748</v>
      </c>
    </row>
    <row r="490" spans="2:15" ht="22.15" customHeight="1">
      <c r="B490" s="224" t="s">
        <v>59</v>
      </c>
      <c r="C490" s="62" t="s">
        <v>1441</v>
      </c>
      <c r="D490" s="222" t="s">
        <v>1434</v>
      </c>
      <c r="E490" s="62" t="s">
        <v>90</v>
      </c>
      <c r="F490" s="216" t="s">
        <v>236</v>
      </c>
      <c r="G490" s="222" t="s">
        <v>1360</v>
      </c>
      <c r="H490" s="178" t="s">
        <v>1749</v>
      </c>
      <c r="I490" s="195" t="s">
        <v>1750</v>
      </c>
      <c r="J490" s="216" t="s">
        <v>1598</v>
      </c>
      <c r="K490" s="13" t="s">
        <v>779</v>
      </c>
      <c r="L490" s="195">
        <v>2.4</v>
      </c>
      <c r="M490" s="193" t="s">
        <v>1710</v>
      </c>
    </row>
    <row r="491" spans="2:15" ht="22.15" customHeight="1">
      <c r="B491" s="224" t="s">
        <v>59</v>
      </c>
      <c r="C491" s="62" t="s">
        <v>1441</v>
      </c>
      <c r="D491" s="216" t="s">
        <v>1689</v>
      </c>
      <c r="E491" s="62" t="s">
        <v>90</v>
      </c>
      <c r="F491" s="216" t="s">
        <v>236</v>
      </c>
      <c r="G491" s="222" t="s">
        <v>1473</v>
      </c>
      <c r="H491" s="178" t="s">
        <v>1751</v>
      </c>
      <c r="I491" s="13" t="s">
        <v>1752</v>
      </c>
      <c r="J491" s="216" t="s">
        <v>1467</v>
      </c>
      <c r="K491" s="13" t="s">
        <v>779</v>
      </c>
      <c r="L491" s="195">
        <v>4.91</v>
      </c>
      <c r="M491" s="226" t="s">
        <v>1753</v>
      </c>
    </row>
    <row r="492" spans="2:15" ht="22.15" customHeight="1">
      <c r="B492" s="224" t="s">
        <v>59</v>
      </c>
      <c r="C492" s="62" t="s">
        <v>1441</v>
      </c>
      <c r="D492" s="216" t="s">
        <v>1689</v>
      </c>
      <c r="E492" s="62" t="s">
        <v>90</v>
      </c>
      <c r="F492" s="216" t="s">
        <v>236</v>
      </c>
      <c r="G492" s="222" t="s">
        <v>1473</v>
      </c>
      <c r="H492" s="178" t="s">
        <v>1690</v>
      </c>
      <c r="I492" s="13" t="s">
        <v>1752</v>
      </c>
      <c r="J492" s="216" t="s">
        <v>1754</v>
      </c>
      <c r="K492" s="13" t="s">
        <v>779</v>
      </c>
      <c r="L492" s="195">
        <v>3.5</v>
      </c>
      <c r="M492" s="226" t="s">
        <v>1755</v>
      </c>
    </row>
    <row r="493" spans="2:15" ht="22.15" customHeight="1">
      <c r="B493" s="224" t="s">
        <v>59</v>
      </c>
      <c r="C493" s="62" t="s">
        <v>1441</v>
      </c>
      <c r="D493" s="216" t="s">
        <v>1671</v>
      </c>
      <c r="E493" s="62" t="s">
        <v>90</v>
      </c>
      <c r="F493" s="216" t="s">
        <v>1756</v>
      </c>
      <c r="G493" s="222" t="s">
        <v>1360</v>
      </c>
      <c r="H493" s="178" t="s">
        <v>1757</v>
      </c>
      <c r="I493" s="13" t="s">
        <v>1752</v>
      </c>
      <c r="J493" s="216">
        <v>2</v>
      </c>
      <c r="K493" s="13" t="s">
        <v>779</v>
      </c>
      <c r="L493" s="195">
        <v>4</v>
      </c>
      <c r="M493" s="226" t="s">
        <v>1758</v>
      </c>
    </row>
    <row r="494" spans="2:15" ht="22.15" customHeight="1">
      <c r="B494" s="224" t="s">
        <v>59</v>
      </c>
      <c r="C494" s="62" t="s">
        <v>1441</v>
      </c>
      <c r="D494" s="216" t="s">
        <v>1671</v>
      </c>
      <c r="E494" s="62" t="s">
        <v>90</v>
      </c>
      <c r="F494" s="216" t="s">
        <v>1756</v>
      </c>
      <c r="G494" s="222" t="s">
        <v>1360</v>
      </c>
      <c r="H494" s="178" t="s">
        <v>1759</v>
      </c>
      <c r="I494" s="13" t="s">
        <v>1752</v>
      </c>
      <c r="J494" s="216">
        <v>2</v>
      </c>
      <c r="K494" s="13" t="s">
        <v>779</v>
      </c>
      <c r="L494" s="195">
        <v>4</v>
      </c>
      <c r="M494" s="226" t="s">
        <v>1758</v>
      </c>
    </row>
    <row r="495" spans="2:15" ht="22.15" customHeight="1">
      <c r="B495" s="224" t="s">
        <v>59</v>
      </c>
      <c r="C495" s="62" t="s">
        <v>1441</v>
      </c>
      <c r="D495" s="216" t="s">
        <v>1737</v>
      </c>
      <c r="E495" s="62" t="s">
        <v>90</v>
      </c>
      <c r="F495" s="216" t="s">
        <v>1756</v>
      </c>
      <c r="G495" s="222" t="s">
        <v>1360</v>
      </c>
      <c r="H495" s="178" t="s">
        <v>1760</v>
      </c>
      <c r="I495" s="13" t="s">
        <v>1752</v>
      </c>
      <c r="J495" s="216">
        <v>2</v>
      </c>
      <c r="K495" s="13" t="s">
        <v>779</v>
      </c>
      <c r="L495" s="195">
        <v>4.0999999999999996</v>
      </c>
      <c r="M495" s="226" t="s">
        <v>1761</v>
      </c>
    </row>
    <row r="496" spans="2:15" ht="22.15" customHeight="1">
      <c r="B496" s="224" t="s">
        <v>59</v>
      </c>
      <c r="C496" s="62" t="s">
        <v>1441</v>
      </c>
      <c r="D496" s="216" t="s">
        <v>1737</v>
      </c>
      <c r="E496" s="62" t="s">
        <v>90</v>
      </c>
      <c r="F496" s="216" t="s">
        <v>1756</v>
      </c>
      <c r="G496" s="222" t="s">
        <v>1360</v>
      </c>
      <c r="H496" s="178" t="s">
        <v>1762</v>
      </c>
      <c r="I496" s="13" t="s">
        <v>1752</v>
      </c>
      <c r="J496" s="216">
        <v>2</v>
      </c>
      <c r="K496" s="13" t="s">
        <v>779</v>
      </c>
      <c r="L496" s="195">
        <v>4.0999999999999996</v>
      </c>
      <c r="M496" s="226" t="s">
        <v>1761</v>
      </c>
    </row>
    <row r="497" spans="2:15" ht="22.15" customHeight="1">
      <c r="B497" s="224" t="s">
        <v>59</v>
      </c>
      <c r="C497" s="62" t="s">
        <v>1441</v>
      </c>
      <c r="D497" s="216" t="s">
        <v>1522</v>
      </c>
      <c r="E497" s="62" t="s">
        <v>90</v>
      </c>
      <c r="F497" s="216" t="s">
        <v>236</v>
      </c>
      <c r="G497" s="222" t="s">
        <v>183</v>
      </c>
      <c r="H497" s="216" t="s">
        <v>1763</v>
      </c>
      <c r="I497" s="13" t="s">
        <v>1752</v>
      </c>
      <c r="J497" s="216" t="s">
        <v>1471</v>
      </c>
      <c r="K497" s="13" t="s">
        <v>779</v>
      </c>
      <c r="L497" s="195">
        <v>9.15</v>
      </c>
      <c r="M497" s="226" t="s">
        <v>1700</v>
      </c>
      <c r="O497" s="228"/>
    </row>
    <row r="498" spans="2:15" ht="22.15" customHeight="1">
      <c r="B498" s="224" t="s">
        <v>59</v>
      </c>
      <c r="C498" s="62" t="s">
        <v>1441</v>
      </c>
      <c r="D498" s="216" t="s">
        <v>1458</v>
      </c>
      <c r="E498" s="62" t="s">
        <v>90</v>
      </c>
      <c r="F498" s="216" t="s">
        <v>1756</v>
      </c>
      <c r="G498" s="222" t="s">
        <v>1360</v>
      </c>
      <c r="H498" s="178" t="s">
        <v>1764</v>
      </c>
      <c r="I498" s="13" t="s">
        <v>1752</v>
      </c>
      <c r="J498" s="216">
        <v>2</v>
      </c>
      <c r="K498" s="13" t="s">
        <v>779</v>
      </c>
      <c r="L498" s="195">
        <v>10.99</v>
      </c>
      <c r="M498" s="226" t="s">
        <v>1765</v>
      </c>
    </row>
    <row r="499" spans="2:15" ht="22.15" customHeight="1">
      <c r="B499" s="224" t="s">
        <v>59</v>
      </c>
      <c r="C499" s="62" t="s">
        <v>1441</v>
      </c>
      <c r="D499" s="216" t="s">
        <v>1766</v>
      </c>
      <c r="E499" s="62" t="s">
        <v>90</v>
      </c>
      <c r="F499" s="216" t="s">
        <v>1756</v>
      </c>
      <c r="G499" s="222" t="s">
        <v>1360</v>
      </c>
      <c r="H499" s="178" t="s">
        <v>1767</v>
      </c>
      <c r="I499" s="13" t="s">
        <v>1752</v>
      </c>
      <c r="J499" s="216">
        <v>2</v>
      </c>
      <c r="K499" s="13" t="s">
        <v>779</v>
      </c>
      <c r="L499" s="195">
        <v>10.99</v>
      </c>
      <c r="M499" s="226" t="s">
        <v>1765</v>
      </c>
    </row>
    <row r="500" spans="2:15" ht="22.15" customHeight="1">
      <c r="B500" s="224" t="s">
        <v>59</v>
      </c>
      <c r="C500" s="62" t="s">
        <v>1441</v>
      </c>
      <c r="D500" s="216" t="s">
        <v>1768</v>
      </c>
      <c r="E500" s="62" t="s">
        <v>90</v>
      </c>
      <c r="F500" s="216" t="s">
        <v>236</v>
      </c>
      <c r="G500" s="222" t="s">
        <v>283</v>
      </c>
      <c r="H500" s="178" t="s">
        <v>1693</v>
      </c>
      <c r="I500" s="13" t="s">
        <v>1752</v>
      </c>
      <c r="J500" s="216" t="s">
        <v>1769</v>
      </c>
      <c r="K500" s="13" t="s">
        <v>779</v>
      </c>
      <c r="L500" s="195">
        <v>9.61</v>
      </c>
      <c r="M500" s="226" t="s">
        <v>1770</v>
      </c>
    </row>
    <row r="501" spans="2:15" ht="22.15" customHeight="1">
      <c r="B501" s="224" t="s">
        <v>59</v>
      </c>
      <c r="C501" s="62" t="s">
        <v>1441</v>
      </c>
      <c r="D501" s="216" t="s">
        <v>1771</v>
      </c>
      <c r="E501" s="62" t="s">
        <v>90</v>
      </c>
      <c r="F501" s="216" t="s">
        <v>236</v>
      </c>
      <c r="G501" s="222" t="s">
        <v>283</v>
      </c>
      <c r="H501" s="178" t="s">
        <v>1772</v>
      </c>
      <c r="I501" s="13" t="s">
        <v>1752</v>
      </c>
      <c r="J501" s="216" t="s">
        <v>1773</v>
      </c>
      <c r="K501" s="13" t="s">
        <v>779</v>
      </c>
      <c r="L501" s="195">
        <v>9.61</v>
      </c>
      <c r="M501" s="226" t="s">
        <v>1774</v>
      </c>
    </row>
    <row r="502" spans="2:15" ht="22.15" customHeight="1">
      <c r="B502" s="224" t="s">
        <v>59</v>
      </c>
      <c r="C502" s="62" t="s">
        <v>1441</v>
      </c>
      <c r="D502" s="222" t="s">
        <v>1434</v>
      </c>
      <c r="E502" s="62" t="s">
        <v>90</v>
      </c>
      <c r="F502" s="216" t="s">
        <v>236</v>
      </c>
      <c r="G502" s="222" t="s">
        <v>283</v>
      </c>
      <c r="H502" s="178" t="s">
        <v>1775</v>
      </c>
      <c r="I502" s="13" t="s">
        <v>1752</v>
      </c>
      <c r="J502" s="216" t="s">
        <v>1485</v>
      </c>
      <c r="K502" s="13" t="s">
        <v>779</v>
      </c>
      <c r="L502" s="195">
        <v>10.93</v>
      </c>
      <c r="M502" s="226" t="s">
        <v>1774</v>
      </c>
    </row>
    <row r="503" spans="2:15" ht="22.15" customHeight="1">
      <c r="B503" s="224" t="s">
        <v>59</v>
      </c>
      <c r="C503" s="62" t="s">
        <v>1441</v>
      </c>
      <c r="D503" s="216" t="s">
        <v>1493</v>
      </c>
      <c r="E503" s="62" t="s">
        <v>90</v>
      </c>
      <c r="F503" s="216" t="s">
        <v>236</v>
      </c>
      <c r="G503" s="222" t="s">
        <v>283</v>
      </c>
      <c r="H503" s="178" t="s">
        <v>1776</v>
      </c>
      <c r="I503" s="13" t="s">
        <v>1752</v>
      </c>
      <c r="J503" s="216" t="s">
        <v>1539</v>
      </c>
      <c r="K503" s="13" t="s">
        <v>779</v>
      </c>
      <c r="L503" s="195">
        <v>10.93</v>
      </c>
      <c r="M503" s="226" t="s">
        <v>1774</v>
      </c>
    </row>
    <row r="504" spans="2:15" ht="22.15" customHeight="1">
      <c r="B504" s="224" t="s">
        <v>59</v>
      </c>
      <c r="C504" s="62" t="s">
        <v>1441</v>
      </c>
      <c r="D504" s="216" t="s">
        <v>1777</v>
      </c>
      <c r="E504" s="62" t="s">
        <v>90</v>
      </c>
      <c r="F504" s="216" t="s">
        <v>236</v>
      </c>
      <c r="G504" s="222" t="s">
        <v>283</v>
      </c>
      <c r="H504" s="178" t="s">
        <v>1778</v>
      </c>
      <c r="I504" s="13" t="s">
        <v>1752</v>
      </c>
      <c r="J504" s="216" t="s">
        <v>1779</v>
      </c>
      <c r="K504" s="13" t="s">
        <v>779</v>
      </c>
      <c r="L504" s="195">
        <v>2.83</v>
      </c>
      <c r="M504" s="226" t="s">
        <v>1780</v>
      </c>
    </row>
    <row r="505" spans="2:15" ht="22.15" customHeight="1">
      <c r="B505" s="224" t="s">
        <v>59</v>
      </c>
      <c r="C505" s="62" t="s">
        <v>1441</v>
      </c>
      <c r="D505" s="216" t="s">
        <v>1701</v>
      </c>
      <c r="E505" s="62" t="s">
        <v>90</v>
      </c>
      <c r="F505" s="216" t="s">
        <v>236</v>
      </c>
      <c r="G505" s="222" t="s">
        <v>1455</v>
      </c>
      <c r="H505" s="178" t="s">
        <v>1781</v>
      </c>
      <c r="I505" s="13" t="s">
        <v>1752</v>
      </c>
      <c r="J505" s="216" t="s">
        <v>1782</v>
      </c>
      <c r="K505" s="13" t="s">
        <v>779</v>
      </c>
      <c r="L505" s="195">
        <v>2.41</v>
      </c>
      <c r="M505" s="226" t="s">
        <v>1783</v>
      </c>
    </row>
    <row r="506" spans="2:15" ht="22.15" customHeight="1">
      <c r="B506" s="224" t="s">
        <v>59</v>
      </c>
      <c r="C506" s="62" t="s">
        <v>1441</v>
      </c>
      <c r="D506" s="222" t="s">
        <v>1434</v>
      </c>
      <c r="E506" s="62" t="s">
        <v>90</v>
      </c>
      <c r="F506" s="216" t="s">
        <v>236</v>
      </c>
      <c r="G506" s="222" t="s">
        <v>1455</v>
      </c>
      <c r="H506" s="216" t="s">
        <v>1784</v>
      </c>
      <c r="I506" s="13" t="s">
        <v>1752</v>
      </c>
      <c r="J506" s="216" t="s">
        <v>1485</v>
      </c>
      <c r="K506" s="13" t="s">
        <v>779</v>
      </c>
      <c r="L506" s="195">
        <v>7.2</v>
      </c>
      <c r="M506" s="226" t="s">
        <v>1700</v>
      </c>
    </row>
    <row r="507" spans="2:15" ht="22.15" customHeight="1">
      <c r="B507" s="224" t="s">
        <v>59</v>
      </c>
      <c r="C507" s="62" t="s">
        <v>1441</v>
      </c>
      <c r="D507" s="216" t="s">
        <v>1486</v>
      </c>
      <c r="E507" s="62" t="s">
        <v>90</v>
      </c>
      <c r="F507" s="216" t="s">
        <v>236</v>
      </c>
      <c r="G507" s="222" t="s">
        <v>1360</v>
      </c>
      <c r="H507" s="178" t="s">
        <v>1785</v>
      </c>
      <c r="I507" s="13" t="s">
        <v>1752</v>
      </c>
      <c r="J507" s="216">
        <v>4</v>
      </c>
      <c r="K507" s="13" t="s">
        <v>779</v>
      </c>
      <c r="L507" s="195">
        <v>4.74</v>
      </c>
      <c r="M507" s="226" t="s">
        <v>1786</v>
      </c>
    </row>
    <row r="508" spans="2:15" ht="22.15" customHeight="1">
      <c r="B508" s="224" t="s">
        <v>59</v>
      </c>
      <c r="C508" s="62" t="s">
        <v>1441</v>
      </c>
      <c r="D508" s="216" t="s">
        <v>1486</v>
      </c>
      <c r="E508" s="62" t="s">
        <v>90</v>
      </c>
      <c r="F508" s="216" t="s">
        <v>236</v>
      </c>
      <c r="G508" s="222" t="s">
        <v>1360</v>
      </c>
      <c r="H508" s="216" t="s">
        <v>1785</v>
      </c>
      <c r="I508" s="13" t="s">
        <v>1752</v>
      </c>
      <c r="J508" s="216">
        <v>2</v>
      </c>
      <c r="K508" s="13" t="s">
        <v>779</v>
      </c>
      <c r="L508" s="195">
        <v>4.74</v>
      </c>
      <c r="M508" s="226" t="s">
        <v>1787</v>
      </c>
    </row>
    <row r="509" spans="2:15" ht="22.15" customHeight="1">
      <c r="B509" s="224" t="s">
        <v>59</v>
      </c>
      <c r="C509" s="62" t="s">
        <v>1441</v>
      </c>
      <c r="D509" s="216" t="s">
        <v>1486</v>
      </c>
      <c r="E509" s="62" t="s">
        <v>90</v>
      </c>
      <c r="F509" s="216" t="s">
        <v>236</v>
      </c>
      <c r="G509" s="222" t="s">
        <v>1360</v>
      </c>
      <c r="H509" s="178" t="s">
        <v>1788</v>
      </c>
      <c r="I509" s="13" t="s">
        <v>1752</v>
      </c>
      <c r="J509" s="216">
        <v>1</v>
      </c>
      <c r="K509" s="13" t="s">
        <v>779</v>
      </c>
      <c r="L509" s="195">
        <v>5.52</v>
      </c>
      <c r="M509" s="226" t="s">
        <v>1789</v>
      </c>
    </row>
    <row r="510" spans="2:15" ht="22.15" customHeight="1">
      <c r="B510" s="224" t="s">
        <v>59</v>
      </c>
      <c r="C510" s="62" t="s">
        <v>1441</v>
      </c>
      <c r="D510" s="216" t="s">
        <v>1486</v>
      </c>
      <c r="E510" s="62" t="s">
        <v>90</v>
      </c>
      <c r="F510" s="216" t="s">
        <v>236</v>
      </c>
      <c r="G510" s="222" t="s">
        <v>1360</v>
      </c>
      <c r="H510" s="178" t="s">
        <v>1790</v>
      </c>
      <c r="I510" s="13" t="s">
        <v>1752</v>
      </c>
      <c r="J510" s="216">
        <v>5</v>
      </c>
      <c r="K510" s="13" t="s">
        <v>779</v>
      </c>
      <c r="L510" s="195">
        <v>4.74</v>
      </c>
      <c r="M510" s="226" t="s">
        <v>1789</v>
      </c>
    </row>
    <row r="511" spans="2:15" ht="22.15" customHeight="1">
      <c r="B511" s="224" t="s">
        <v>59</v>
      </c>
      <c r="C511" s="62" t="s">
        <v>1441</v>
      </c>
      <c r="D511" s="216" t="s">
        <v>1464</v>
      </c>
      <c r="E511" s="62" t="s">
        <v>90</v>
      </c>
      <c r="F511" s="216" t="s">
        <v>236</v>
      </c>
      <c r="G511" s="222" t="s">
        <v>1360</v>
      </c>
      <c r="H511" s="178" t="s">
        <v>1791</v>
      </c>
      <c r="I511" s="13" t="s">
        <v>1752</v>
      </c>
      <c r="J511" s="216">
        <v>23</v>
      </c>
      <c r="K511" s="13" t="s">
        <v>779</v>
      </c>
      <c r="L511" s="195">
        <v>1.31</v>
      </c>
      <c r="M511" s="226" t="s">
        <v>1792</v>
      </c>
    </row>
    <row r="512" spans="2:15" ht="22.15" customHeight="1">
      <c r="B512" s="224" t="s">
        <v>59</v>
      </c>
      <c r="C512" s="62" t="s">
        <v>1441</v>
      </c>
      <c r="D512" s="216" t="s">
        <v>1486</v>
      </c>
      <c r="E512" s="62" t="s">
        <v>90</v>
      </c>
      <c r="F512" s="216" t="s">
        <v>236</v>
      </c>
      <c r="G512" s="222" t="s">
        <v>1360</v>
      </c>
      <c r="H512" s="178" t="s">
        <v>1793</v>
      </c>
      <c r="I512" s="13" t="s">
        <v>1752</v>
      </c>
      <c r="J512" s="216" t="s">
        <v>1794</v>
      </c>
      <c r="K512" s="13" t="s">
        <v>779</v>
      </c>
      <c r="L512" s="195">
        <v>5.76</v>
      </c>
      <c r="M512" s="226" t="s">
        <v>1795</v>
      </c>
    </row>
    <row r="513" spans="2:13" ht="22.15" customHeight="1">
      <c r="B513" s="224" t="s">
        <v>59</v>
      </c>
      <c r="C513" s="62" t="s">
        <v>1441</v>
      </c>
      <c r="D513" s="222" t="s">
        <v>1434</v>
      </c>
      <c r="E513" s="62" t="s">
        <v>90</v>
      </c>
      <c r="F513" s="216" t="s">
        <v>236</v>
      </c>
      <c r="G513" s="222" t="s">
        <v>1360</v>
      </c>
      <c r="H513" s="178" t="s">
        <v>1796</v>
      </c>
      <c r="I513" s="13" t="s">
        <v>1752</v>
      </c>
      <c r="J513" s="216" t="s">
        <v>1485</v>
      </c>
      <c r="K513" s="13" t="s">
        <v>779</v>
      </c>
      <c r="L513" s="195">
        <v>3.57</v>
      </c>
      <c r="M513" s="226" t="s">
        <v>1797</v>
      </c>
    </row>
    <row r="514" spans="2:13" ht="22.15" customHeight="1">
      <c r="B514" s="224" t="s">
        <v>59</v>
      </c>
      <c r="C514" s="62" t="s">
        <v>1441</v>
      </c>
      <c r="D514" s="222" t="s">
        <v>1434</v>
      </c>
      <c r="E514" s="62" t="s">
        <v>90</v>
      </c>
      <c r="F514" s="216" t="s">
        <v>236</v>
      </c>
      <c r="G514" s="222" t="s">
        <v>1360</v>
      </c>
      <c r="H514" s="178" t="s">
        <v>1798</v>
      </c>
      <c r="I514" s="13" t="s">
        <v>1752</v>
      </c>
      <c r="J514" s="216" t="s">
        <v>1485</v>
      </c>
      <c r="K514" s="13" t="s">
        <v>779</v>
      </c>
      <c r="L514" s="195">
        <v>3.57</v>
      </c>
      <c r="M514" s="226" t="s">
        <v>1797</v>
      </c>
    </row>
    <row r="515" spans="2:13" ht="22.15" customHeight="1">
      <c r="B515" s="224" t="s">
        <v>59</v>
      </c>
      <c r="C515" s="62" t="s">
        <v>1441</v>
      </c>
      <c r="D515" s="222" t="s">
        <v>1434</v>
      </c>
      <c r="E515" s="62" t="s">
        <v>90</v>
      </c>
      <c r="F515" s="216" t="s">
        <v>236</v>
      </c>
      <c r="G515" s="222" t="s">
        <v>1360</v>
      </c>
      <c r="H515" s="178" t="s">
        <v>1799</v>
      </c>
      <c r="I515" s="13" t="s">
        <v>1752</v>
      </c>
      <c r="J515" s="216" t="s">
        <v>1485</v>
      </c>
      <c r="K515" s="13" t="s">
        <v>779</v>
      </c>
      <c r="L515" s="195">
        <v>2.19</v>
      </c>
      <c r="M515" s="226" t="s">
        <v>1797</v>
      </c>
    </row>
    <row r="516" spans="2:13" ht="22.15" customHeight="1">
      <c r="B516" s="224" t="s">
        <v>59</v>
      </c>
      <c r="C516" s="62" t="s">
        <v>1441</v>
      </c>
      <c r="D516" s="222" t="s">
        <v>1434</v>
      </c>
      <c r="E516" s="62" t="s">
        <v>90</v>
      </c>
      <c r="F516" s="216" t="s">
        <v>236</v>
      </c>
      <c r="G516" s="222" t="s">
        <v>1360</v>
      </c>
      <c r="H516" s="178" t="s">
        <v>1800</v>
      </c>
      <c r="I516" s="13" t="s">
        <v>1752</v>
      </c>
      <c r="J516" s="216" t="s">
        <v>1485</v>
      </c>
      <c r="K516" s="13" t="s">
        <v>779</v>
      </c>
      <c r="L516" s="195">
        <v>2.19</v>
      </c>
      <c r="M516" s="226" t="s">
        <v>1797</v>
      </c>
    </row>
    <row r="517" spans="2:13" ht="22.15" customHeight="1">
      <c r="B517" s="224" t="s">
        <v>59</v>
      </c>
      <c r="C517" s="62" t="s">
        <v>1441</v>
      </c>
      <c r="D517" s="222" t="s">
        <v>1434</v>
      </c>
      <c r="E517" s="62" t="s">
        <v>90</v>
      </c>
      <c r="F517" s="216" t="s">
        <v>236</v>
      </c>
      <c r="G517" s="222" t="s">
        <v>1360</v>
      </c>
      <c r="H517" s="178" t="s">
        <v>1801</v>
      </c>
      <c r="I517" s="13" t="s">
        <v>1752</v>
      </c>
      <c r="J517" s="216" t="s">
        <v>1539</v>
      </c>
      <c r="K517" s="13" t="s">
        <v>779</v>
      </c>
      <c r="L517" s="195">
        <v>4.91</v>
      </c>
      <c r="M517" s="226" t="s">
        <v>1797</v>
      </c>
    </row>
    <row r="518" spans="2:13" ht="22.15" customHeight="1">
      <c r="B518" s="224" t="s">
        <v>59</v>
      </c>
      <c r="C518" s="62" t="s">
        <v>1441</v>
      </c>
      <c r="D518" s="216" t="s">
        <v>1488</v>
      </c>
      <c r="E518" s="62" t="s">
        <v>90</v>
      </c>
      <c r="F518" s="216" t="s">
        <v>236</v>
      </c>
      <c r="G518" s="222" t="s">
        <v>1360</v>
      </c>
      <c r="H518" s="178" t="s">
        <v>1802</v>
      </c>
      <c r="I518" s="13" t="s">
        <v>1752</v>
      </c>
      <c r="J518" s="216" t="s">
        <v>1471</v>
      </c>
      <c r="K518" s="13" t="s">
        <v>779</v>
      </c>
      <c r="L518" s="195">
        <v>4.91</v>
      </c>
      <c r="M518" s="226" t="s">
        <v>1797</v>
      </c>
    </row>
    <row r="519" spans="2:13" ht="22.15" customHeight="1">
      <c r="B519" s="224" t="s">
        <v>59</v>
      </c>
      <c r="C519" s="62" t="s">
        <v>1441</v>
      </c>
      <c r="D519" s="222" t="s">
        <v>1434</v>
      </c>
      <c r="E519" s="62" t="s">
        <v>90</v>
      </c>
      <c r="F519" s="216" t="s">
        <v>236</v>
      </c>
      <c r="G519" s="222" t="s">
        <v>1360</v>
      </c>
      <c r="H519" s="178" t="s">
        <v>1803</v>
      </c>
      <c r="I519" s="13" t="s">
        <v>1752</v>
      </c>
      <c r="J519" s="216" t="s">
        <v>1539</v>
      </c>
      <c r="K519" s="13" t="s">
        <v>779</v>
      </c>
      <c r="L519" s="195">
        <v>6.79</v>
      </c>
      <c r="M519" s="226" t="s">
        <v>1703</v>
      </c>
    </row>
    <row r="520" spans="2:13" ht="22.15" customHeight="1">
      <c r="B520" s="224" t="s">
        <v>59</v>
      </c>
      <c r="C520" s="62" t="s">
        <v>1441</v>
      </c>
      <c r="D520" s="216" t="s">
        <v>1488</v>
      </c>
      <c r="E520" s="62" t="s">
        <v>90</v>
      </c>
      <c r="F520" s="216" t="s">
        <v>236</v>
      </c>
      <c r="G520" s="222" t="s">
        <v>1360</v>
      </c>
      <c r="H520" s="178" t="s">
        <v>1804</v>
      </c>
      <c r="I520" s="13" t="s">
        <v>1752</v>
      </c>
      <c r="J520" s="216" t="s">
        <v>1471</v>
      </c>
      <c r="K520" s="13" t="s">
        <v>779</v>
      </c>
      <c r="L520" s="195">
        <v>6.79</v>
      </c>
      <c r="M520" s="226" t="s">
        <v>1703</v>
      </c>
    </row>
    <row r="521" spans="2:13" ht="22.15" customHeight="1">
      <c r="B521" s="224" t="s">
        <v>59</v>
      </c>
      <c r="C521" s="62" t="s">
        <v>1441</v>
      </c>
      <c r="D521" s="216" t="s">
        <v>1805</v>
      </c>
      <c r="E521" s="62" t="s">
        <v>90</v>
      </c>
      <c r="F521" s="216" t="s">
        <v>236</v>
      </c>
      <c r="G521" s="222" t="s">
        <v>1360</v>
      </c>
      <c r="H521" s="178" t="s">
        <v>1806</v>
      </c>
      <c r="I521" s="13" t="s">
        <v>1752</v>
      </c>
      <c r="J521" s="216" t="s">
        <v>1539</v>
      </c>
      <c r="K521" s="13" t="s">
        <v>779</v>
      </c>
      <c r="L521" s="195">
        <v>4.62</v>
      </c>
      <c r="M521" s="226" t="s">
        <v>1705</v>
      </c>
    </row>
    <row r="522" spans="2:13" ht="22.15" customHeight="1">
      <c r="B522" s="224" t="s">
        <v>59</v>
      </c>
      <c r="C522" s="62" t="s">
        <v>1441</v>
      </c>
      <c r="D522" s="216" t="s">
        <v>1805</v>
      </c>
      <c r="E522" s="62" t="s">
        <v>90</v>
      </c>
      <c r="F522" s="216" t="s">
        <v>236</v>
      </c>
      <c r="G522" s="222" t="s">
        <v>1360</v>
      </c>
      <c r="H522" s="178" t="s">
        <v>1807</v>
      </c>
      <c r="I522" s="13" t="s">
        <v>1752</v>
      </c>
      <c r="J522" s="216" t="s">
        <v>1539</v>
      </c>
      <c r="K522" s="13" t="s">
        <v>779</v>
      </c>
      <c r="L522" s="195">
        <v>4.62</v>
      </c>
      <c r="M522" s="226" t="s">
        <v>1705</v>
      </c>
    </row>
    <row r="523" spans="2:13" ht="22.15" customHeight="1">
      <c r="B523" s="224" t="s">
        <v>59</v>
      </c>
      <c r="C523" s="62" t="s">
        <v>1441</v>
      </c>
      <c r="D523" s="216" t="s">
        <v>1805</v>
      </c>
      <c r="E523" s="62" t="s">
        <v>90</v>
      </c>
      <c r="F523" s="216" t="s">
        <v>236</v>
      </c>
      <c r="G523" s="222" t="s">
        <v>1360</v>
      </c>
      <c r="H523" s="178" t="s">
        <v>1808</v>
      </c>
      <c r="I523" s="195" t="s">
        <v>1490</v>
      </c>
      <c r="J523" s="216" t="s">
        <v>1714</v>
      </c>
      <c r="K523" s="13" t="s">
        <v>779</v>
      </c>
      <c r="L523" s="195">
        <v>4.8099999999999996</v>
      </c>
      <c r="M523" s="226" t="s">
        <v>1809</v>
      </c>
    </row>
    <row r="524" spans="2:13" ht="22.15" customHeight="1">
      <c r="B524" s="224" t="s">
        <v>59</v>
      </c>
      <c r="C524" s="62" t="s">
        <v>1441</v>
      </c>
      <c r="D524" s="222" t="s">
        <v>1434</v>
      </c>
      <c r="E524" s="62" t="s">
        <v>90</v>
      </c>
      <c r="F524" s="216" t="s">
        <v>236</v>
      </c>
      <c r="G524" s="222" t="s">
        <v>1360</v>
      </c>
      <c r="H524" s="178" t="s">
        <v>1810</v>
      </c>
      <c r="I524" s="13" t="s">
        <v>1752</v>
      </c>
      <c r="J524" s="216" t="s">
        <v>1485</v>
      </c>
      <c r="K524" s="13" t="s">
        <v>779</v>
      </c>
      <c r="L524" s="195">
        <v>4.6500000000000004</v>
      </c>
      <c r="M524" s="226" t="s">
        <v>1703</v>
      </c>
    </row>
    <row r="525" spans="2:13" ht="22.15" customHeight="1">
      <c r="B525" s="224" t="s">
        <v>59</v>
      </c>
      <c r="C525" s="62" t="s">
        <v>1441</v>
      </c>
      <c r="D525" s="222" t="s">
        <v>1434</v>
      </c>
      <c r="E525" s="62" t="s">
        <v>90</v>
      </c>
      <c r="F525" s="216" t="s">
        <v>236</v>
      </c>
      <c r="G525" s="222" t="s">
        <v>1360</v>
      </c>
      <c r="H525" s="178" t="s">
        <v>1811</v>
      </c>
      <c r="I525" s="13" t="s">
        <v>1752</v>
      </c>
      <c r="J525" s="216" t="s">
        <v>1485</v>
      </c>
      <c r="K525" s="13" t="s">
        <v>779</v>
      </c>
      <c r="L525" s="195">
        <v>4.6500000000000004</v>
      </c>
      <c r="M525" s="226" t="s">
        <v>1703</v>
      </c>
    </row>
    <row r="526" spans="2:13" ht="22.15" customHeight="1">
      <c r="B526" s="224" t="s">
        <v>59</v>
      </c>
      <c r="C526" s="62" t="s">
        <v>1441</v>
      </c>
      <c r="D526" s="222" t="s">
        <v>1434</v>
      </c>
      <c r="E526" s="62" t="s">
        <v>90</v>
      </c>
      <c r="F526" s="216" t="s">
        <v>236</v>
      </c>
      <c r="G526" s="222" t="s">
        <v>1360</v>
      </c>
      <c r="H526" s="178" t="s">
        <v>1812</v>
      </c>
      <c r="I526" s="13" t="s">
        <v>1752</v>
      </c>
      <c r="J526" s="216" t="s">
        <v>1485</v>
      </c>
      <c r="K526" s="13" t="s">
        <v>779</v>
      </c>
      <c r="L526" s="195">
        <v>2.87</v>
      </c>
      <c r="M526" s="226" t="s">
        <v>1703</v>
      </c>
    </row>
    <row r="527" spans="2:13" ht="22.15" customHeight="1">
      <c r="B527" s="224" t="s">
        <v>59</v>
      </c>
      <c r="C527" s="62" t="s">
        <v>1441</v>
      </c>
      <c r="D527" s="216" t="s">
        <v>1493</v>
      </c>
      <c r="E527" s="62" t="s">
        <v>90</v>
      </c>
      <c r="F527" s="216" t="s">
        <v>236</v>
      </c>
      <c r="G527" s="222" t="s">
        <v>283</v>
      </c>
      <c r="H527" s="178" t="s">
        <v>1813</v>
      </c>
      <c r="I527" s="13" t="s">
        <v>1752</v>
      </c>
      <c r="J527" s="216">
        <v>1</v>
      </c>
      <c r="K527" s="13" t="s">
        <v>779</v>
      </c>
      <c r="L527" s="195">
        <v>12.06</v>
      </c>
      <c r="M527" s="226" t="s">
        <v>1814</v>
      </c>
    </row>
    <row r="528" spans="2:13" ht="22.15" customHeight="1">
      <c r="B528" s="224" t="s">
        <v>59</v>
      </c>
      <c r="C528" s="62" t="s">
        <v>1441</v>
      </c>
      <c r="D528" s="216" t="s">
        <v>1493</v>
      </c>
      <c r="E528" s="62" t="s">
        <v>90</v>
      </c>
      <c r="F528" s="216" t="s">
        <v>236</v>
      </c>
      <c r="G528" s="222" t="s">
        <v>283</v>
      </c>
      <c r="H528" s="178" t="s">
        <v>1815</v>
      </c>
      <c r="I528" s="13" t="s">
        <v>1752</v>
      </c>
      <c r="J528" s="216">
        <v>1</v>
      </c>
      <c r="K528" s="13" t="s">
        <v>779</v>
      </c>
      <c r="L528" s="195">
        <v>12.06</v>
      </c>
      <c r="M528" s="226" t="s">
        <v>1814</v>
      </c>
    </row>
    <row r="529" spans="2:13" ht="22.15" customHeight="1">
      <c r="B529" s="224" t="s">
        <v>53</v>
      </c>
      <c r="C529" s="62" t="s">
        <v>1441</v>
      </c>
      <c r="D529" s="216" t="s">
        <v>1816</v>
      </c>
      <c r="E529" s="62" t="s">
        <v>90</v>
      </c>
      <c r="F529" s="222" t="s">
        <v>1817</v>
      </c>
      <c r="G529" s="222" t="s">
        <v>652</v>
      </c>
      <c r="H529" s="178" t="s">
        <v>1818</v>
      </c>
      <c r="I529" s="222" t="s">
        <v>1819</v>
      </c>
      <c r="J529" s="216" t="s">
        <v>1457</v>
      </c>
      <c r="K529" s="13" t="s">
        <v>779</v>
      </c>
      <c r="L529" s="195">
        <v>2.41</v>
      </c>
      <c r="M529" s="226" t="s">
        <v>1820</v>
      </c>
    </row>
    <row r="530" spans="2:13" ht="22.15" customHeight="1">
      <c r="B530" s="224" t="s">
        <v>53</v>
      </c>
      <c r="C530" s="62" t="s">
        <v>1441</v>
      </c>
      <c r="D530" s="216" t="s">
        <v>1816</v>
      </c>
      <c r="E530" s="62" t="s">
        <v>90</v>
      </c>
      <c r="F530" s="222" t="s">
        <v>1817</v>
      </c>
      <c r="G530" s="222" t="s">
        <v>178</v>
      </c>
      <c r="H530" s="178" t="s">
        <v>1821</v>
      </c>
      <c r="I530" s="222" t="s">
        <v>1822</v>
      </c>
      <c r="J530" s="216" t="s">
        <v>1823</v>
      </c>
      <c r="K530" s="13" t="s">
        <v>779</v>
      </c>
      <c r="L530" s="195">
        <v>2.1</v>
      </c>
      <c r="M530" s="226" t="s">
        <v>1820</v>
      </c>
    </row>
    <row r="531" spans="2:13" ht="22.15" customHeight="1">
      <c r="B531" s="232" t="s">
        <v>53</v>
      </c>
      <c r="C531" s="62" t="s">
        <v>1441</v>
      </c>
      <c r="D531" s="216" t="s">
        <v>1686</v>
      </c>
      <c r="E531" s="62" t="s">
        <v>90</v>
      </c>
      <c r="F531" s="237" t="s">
        <v>1523</v>
      </c>
      <c r="G531" s="62" t="s">
        <v>244</v>
      </c>
      <c r="H531" s="178" t="s">
        <v>1824</v>
      </c>
      <c r="I531" s="66" t="s">
        <v>1825</v>
      </c>
      <c r="J531" s="216">
        <v>2</v>
      </c>
      <c r="K531" s="13" t="s">
        <v>779</v>
      </c>
      <c r="L531" s="195">
        <v>9.84</v>
      </c>
      <c r="M531" s="238" t="s">
        <v>1826</v>
      </c>
    </row>
    <row r="532" spans="2:13" ht="22.15" customHeight="1">
      <c r="B532" s="232" t="s">
        <v>53</v>
      </c>
      <c r="C532" s="62" t="s">
        <v>1441</v>
      </c>
      <c r="D532" s="216" t="s">
        <v>1686</v>
      </c>
      <c r="E532" s="62" t="s">
        <v>90</v>
      </c>
      <c r="F532" s="237" t="s">
        <v>1523</v>
      </c>
      <c r="G532" s="62" t="s">
        <v>244</v>
      </c>
      <c r="H532" s="178" t="s">
        <v>1827</v>
      </c>
      <c r="I532" s="66" t="s">
        <v>1825</v>
      </c>
      <c r="J532" s="216">
        <v>3</v>
      </c>
      <c r="K532" s="13" t="s">
        <v>779</v>
      </c>
      <c r="L532" s="195">
        <v>10.02</v>
      </c>
      <c r="M532" s="239" t="s">
        <v>1828</v>
      </c>
    </row>
    <row r="533" spans="2:13" ht="22.15" customHeight="1">
      <c r="B533" s="232" t="s">
        <v>53</v>
      </c>
      <c r="C533" s="62" t="s">
        <v>1441</v>
      </c>
      <c r="D533" s="216" t="s">
        <v>1829</v>
      </c>
      <c r="E533" s="62" t="s">
        <v>90</v>
      </c>
      <c r="F533" s="237" t="s">
        <v>1523</v>
      </c>
      <c r="G533" s="62" t="s">
        <v>244</v>
      </c>
      <c r="H533" s="178" t="s">
        <v>1830</v>
      </c>
      <c r="I533" s="66" t="s">
        <v>1825</v>
      </c>
      <c r="J533" s="216">
        <v>13</v>
      </c>
      <c r="K533" s="13" t="s">
        <v>779</v>
      </c>
      <c r="L533" s="195">
        <v>8.76</v>
      </c>
      <c r="M533" s="238" t="s">
        <v>1831</v>
      </c>
    </row>
    <row r="534" spans="2:13" ht="22.15" customHeight="1">
      <c r="B534" s="232" t="s">
        <v>53</v>
      </c>
      <c r="C534" s="62" t="s">
        <v>1441</v>
      </c>
      <c r="D534" s="216" t="s">
        <v>1686</v>
      </c>
      <c r="E534" s="62" t="s">
        <v>90</v>
      </c>
      <c r="F534" s="237" t="s">
        <v>1523</v>
      </c>
      <c r="G534" s="62" t="s">
        <v>244</v>
      </c>
      <c r="H534" s="178" t="s">
        <v>1832</v>
      </c>
      <c r="I534" s="66" t="s">
        <v>1825</v>
      </c>
      <c r="J534" s="216">
        <v>2</v>
      </c>
      <c r="K534" s="13" t="s">
        <v>779</v>
      </c>
      <c r="L534" s="195">
        <v>8.94</v>
      </c>
      <c r="M534" s="238" t="s">
        <v>1833</v>
      </c>
    </row>
    <row r="535" spans="2:13" ht="22.15" customHeight="1">
      <c r="B535" s="224" t="s">
        <v>53</v>
      </c>
      <c r="C535" s="62" t="s">
        <v>1441</v>
      </c>
      <c r="D535" s="216" t="s">
        <v>1686</v>
      </c>
      <c r="E535" s="62" t="s">
        <v>90</v>
      </c>
      <c r="F535" s="237" t="s">
        <v>1523</v>
      </c>
      <c r="G535" s="62" t="s">
        <v>244</v>
      </c>
      <c r="H535" s="178" t="s">
        <v>1834</v>
      </c>
      <c r="I535" s="66" t="s">
        <v>1825</v>
      </c>
      <c r="J535" s="216">
        <v>2</v>
      </c>
      <c r="K535" s="13" t="s">
        <v>779</v>
      </c>
      <c r="L535" s="195">
        <v>10.17</v>
      </c>
      <c r="M535" s="226" t="s">
        <v>1835</v>
      </c>
    </row>
    <row r="536" spans="2:13" ht="22.15" customHeight="1">
      <c r="B536" s="224" t="s">
        <v>53</v>
      </c>
      <c r="C536" s="62" t="s">
        <v>1441</v>
      </c>
      <c r="D536" s="216" t="s">
        <v>1829</v>
      </c>
      <c r="E536" s="62" t="s">
        <v>90</v>
      </c>
      <c r="F536" s="237" t="s">
        <v>1523</v>
      </c>
      <c r="G536" s="62" t="s">
        <v>244</v>
      </c>
      <c r="H536" s="178" t="s">
        <v>1836</v>
      </c>
      <c r="I536" s="66" t="s">
        <v>1825</v>
      </c>
      <c r="J536" s="216">
        <v>5</v>
      </c>
      <c r="K536" s="13" t="s">
        <v>779</v>
      </c>
      <c r="L536" s="195">
        <v>10.17</v>
      </c>
      <c r="M536" s="226" t="s">
        <v>1835</v>
      </c>
    </row>
    <row r="537" spans="2:13" ht="22.15" customHeight="1">
      <c r="B537" s="224" t="s">
        <v>53</v>
      </c>
      <c r="C537" s="62" t="s">
        <v>1441</v>
      </c>
      <c r="D537" s="216" t="s">
        <v>1837</v>
      </c>
      <c r="E537" s="62" t="s">
        <v>90</v>
      </c>
      <c r="F537" s="237" t="s">
        <v>1523</v>
      </c>
      <c r="G537" s="62" t="s">
        <v>244</v>
      </c>
      <c r="H537" s="178" t="s">
        <v>1838</v>
      </c>
      <c r="I537" s="66" t="s">
        <v>1825</v>
      </c>
      <c r="J537" s="216">
        <v>14</v>
      </c>
      <c r="K537" s="13" t="s">
        <v>779</v>
      </c>
      <c r="L537" s="195">
        <v>7.05</v>
      </c>
      <c r="M537" s="226" t="s">
        <v>1839</v>
      </c>
    </row>
    <row r="538" spans="2:13" ht="22.15" customHeight="1">
      <c r="B538" s="224" t="s">
        <v>53</v>
      </c>
      <c r="C538" s="62" t="s">
        <v>1441</v>
      </c>
      <c r="D538" s="216" t="s">
        <v>1829</v>
      </c>
      <c r="E538" s="62" t="s">
        <v>90</v>
      </c>
      <c r="F538" s="237" t="s">
        <v>1523</v>
      </c>
      <c r="G538" s="62" t="s">
        <v>244</v>
      </c>
      <c r="H538" s="178" t="s">
        <v>1840</v>
      </c>
      <c r="I538" s="66" t="s">
        <v>1825</v>
      </c>
      <c r="J538" s="216">
        <v>12</v>
      </c>
      <c r="K538" s="13" t="s">
        <v>779</v>
      </c>
      <c r="L538" s="195">
        <v>6.11</v>
      </c>
      <c r="M538" s="226" t="s">
        <v>1841</v>
      </c>
    </row>
    <row r="539" spans="2:13" ht="22.15" customHeight="1">
      <c r="B539" s="224" t="s">
        <v>53</v>
      </c>
      <c r="C539" s="62" t="s">
        <v>1441</v>
      </c>
      <c r="D539" s="216" t="s">
        <v>1842</v>
      </c>
      <c r="E539" s="62" t="s">
        <v>90</v>
      </c>
      <c r="F539" s="237" t="s">
        <v>1523</v>
      </c>
      <c r="G539" s="62" t="s">
        <v>244</v>
      </c>
      <c r="H539" s="178" t="s">
        <v>1843</v>
      </c>
      <c r="I539" s="66" t="s">
        <v>1825</v>
      </c>
      <c r="J539" s="216" t="s">
        <v>1844</v>
      </c>
      <c r="K539" s="13" t="s">
        <v>779</v>
      </c>
      <c r="L539" s="195">
        <v>6.2</v>
      </c>
      <c r="M539" s="226" t="s">
        <v>1845</v>
      </c>
    </row>
    <row r="540" spans="2:13" ht="22.15" customHeight="1">
      <c r="B540" s="224" t="s">
        <v>53</v>
      </c>
      <c r="C540" s="62" t="s">
        <v>1441</v>
      </c>
      <c r="D540" s="216" t="s">
        <v>1846</v>
      </c>
      <c r="E540" s="62" t="s">
        <v>90</v>
      </c>
      <c r="F540" s="237" t="s">
        <v>1523</v>
      </c>
      <c r="G540" s="62" t="s">
        <v>244</v>
      </c>
      <c r="H540" s="178" t="s">
        <v>1847</v>
      </c>
      <c r="I540" s="66" t="s">
        <v>1825</v>
      </c>
      <c r="J540" s="216">
        <v>69</v>
      </c>
      <c r="K540" s="13" t="s">
        <v>779</v>
      </c>
      <c r="L540" s="195">
        <v>5.0599999999999996</v>
      </c>
      <c r="M540" s="226" t="s">
        <v>1848</v>
      </c>
    </row>
    <row r="541" spans="2:13" ht="22.15" customHeight="1">
      <c r="B541" s="224" t="s">
        <v>53</v>
      </c>
      <c r="C541" s="62" t="s">
        <v>1441</v>
      </c>
      <c r="D541" s="216" t="s">
        <v>1829</v>
      </c>
      <c r="E541" s="62" t="s">
        <v>90</v>
      </c>
      <c r="F541" s="237" t="s">
        <v>1523</v>
      </c>
      <c r="G541" s="62" t="s">
        <v>244</v>
      </c>
      <c r="H541" s="178" t="s">
        <v>1849</v>
      </c>
      <c r="I541" s="66" t="s">
        <v>1825</v>
      </c>
      <c r="J541" s="216">
        <v>9</v>
      </c>
      <c r="K541" s="13" t="s">
        <v>779</v>
      </c>
      <c r="L541" s="195">
        <v>4.97</v>
      </c>
      <c r="M541" s="226" t="s">
        <v>1850</v>
      </c>
    </row>
    <row r="542" spans="2:13" ht="22.15" customHeight="1">
      <c r="B542" s="224" t="s">
        <v>53</v>
      </c>
      <c r="C542" s="62" t="s">
        <v>1441</v>
      </c>
      <c r="D542" s="216" t="s">
        <v>1829</v>
      </c>
      <c r="E542" s="62" t="s">
        <v>90</v>
      </c>
      <c r="F542" s="237" t="s">
        <v>1523</v>
      </c>
      <c r="G542" s="62" t="s">
        <v>244</v>
      </c>
      <c r="H542" s="178" t="s">
        <v>1851</v>
      </c>
      <c r="I542" s="66" t="s">
        <v>1825</v>
      </c>
      <c r="J542" s="216">
        <v>8</v>
      </c>
      <c r="K542" s="13" t="s">
        <v>779</v>
      </c>
      <c r="L542" s="195">
        <v>5.73</v>
      </c>
      <c r="M542" s="226" t="s">
        <v>1852</v>
      </c>
    </row>
    <row r="543" spans="2:13" ht="22.15" customHeight="1">
      <c r="B543" s="224" t="s">
        <v>53</v>
      </c>
      <c r="C543" s="62" t="s">
        <v>1441</v>
      </c>
      <c r="D543" s="216" t="s">
        <v>1837</v>
      </c>
      <c r="E543" s="62" t="s">
        <v>90</v>
      </c>
      <c r="F543" s="237" t="s">
        <v>153</v>
      </c>
      <c r="G543" s="62" t="s">
        <v>244</v>
      </c>
      <c r="H543" s="178" t="s">
        <v>1853</v>
      </c>
      <c r="I543" s="66" t="s">
        <v>1825</v>
      </c>
      <c r="J543" s="216">
        <v>11</v>
      </c>
      <c r="K543" s="13" t="s">
        <v>779</v>
      </c>
      <c r="L543" s="195">
        <v>5.73</v>
      </c>
      <c r="M543" s="226" t="s">
        <v>1852</v>
      </c>
    </row>
    <row r="544" spans="2:13" ht="22.15" customHeight="1">
      <c r="B544" s="224" t="s">
        <v>53</v>
      </c>
      <c r="C544" s="62" t="s">
        <v>1441</v>
      </c>
      <c r="D544" s="216" t="s">
        <v>1816</v>
      </c>
      <c r="E544" s="62" t="s">
        <v>90</v>
      </c>
      <c r="F544" s="222" t="s">
        <v>252</v>
      </c>
      <c r="G544" s="222" t="s">
        <v>178</v>
      </c>
      <c r="H544" s="178" t="s">
        <v>1854</v>
      </c>
      <c r="I544" s="222" t="s">
        <v>1855</v>
      </c>
      <c r="J544" s="216" t="s">
        <v>1539</v>
      </c>
      <c r="K544" s="13" t="s">
        <v>779</v>
      </c>
      <c r="L544" s="195">
        <v>5.41</v>
      </c>
      <c r="M544" s="226" t="s">
        <v>1856</v>
      </c>
    </row>
    <row r="545" spans="2:13" ht="22.15" customHeight="1">
      <c r="B545" s="224" t="s">
        <v>53</v>
      </c>
      <c r="C545" s="62" t="s">
        <v>1441</v>
      </c>
      <c r="D545" s="222" t="s">
        <v>1434</v>
      </c>
      <c r="E545" s="62" t="s">
        <v>90</v>
      </c>
      <c r="F545" s="222" t="s">
        <v>252</v>
      </c>
      <c r="G545" s="222" t="s">
        <v>178</v>
      </c>
      <c r="H545" s="178" t="s">
        <v>1857</v>
      </c>
      <c r="I545" s="222" t="s">
        <v>1858</v>
      </c>
      <c r="J545" s="216" t="s">
        <v>1485</v>
      </c>
      <c r="K545" s="13" t="s">
        <v>779</v>
      </c>
      <c r="L545" s="195">
        <v>5.91</v>
      </c>
      <c r="M545" s="226" t="s">
        <v>1859</v>
      </c>
    </row>
    <row r="546" spans="2:13" ht="22.15" customHeight="1">
      <c r="B546" s="224" t="s">
        <v>53</v>
      </c>
      <c r="C546" s="62" t="s">
        <v>1441</v>
      </c>
      <c r="D546" s="216" t="s">
        <v>1816</v>
      </c>
      <c r="E546" s="62" t="s">
        <v>90</v>
      </c>
      <c r="F546" s="222" t="s">
        <v>252</v>
      </c>
      <c r="G546" s="222" t="s">
        <v>178</v>
      </c>
      <c r="H546" s="178" t="s">
        <v>1860</v>
      </c>
      <c r="I546" s="222" t="s">
        <v>1861</v>
      </c>
      <c r="J546" s="216" t="s">
        <v>1539</v>
      </c>
      <c r="K546" s="13" t="s">
        <v>779</v>
      </c>
      <c r="L546" s="195">
        <v>3.71</v>
      </c>
      <c r="M546" s="226" t="s">
        <v>1862</v>
      </c>
    </row>
    <row r="547" spans="2:13" ht="22.15" customHeight="1">
      <c r="B547" s="224" t="s">
        <v>53</v>
      </c>
      <c r="C547" s="62" t="s">
        <v>1441</v>
      </c>
      <c r="D547" s="216" t="s">
        <v>1816</v>
      </c>
      <c r="E547" s="62" t="s">
        <v>90</v>
      </c>
      <c r="F547" s="222" t="s">
        <v>252</v>
      </c>
      <c r="G547" s="222" t="s">
        <v>178</v>
      </c>
      <c r="H547" s="178" t="s">
        <v>1863</v>
      </c>
      <c r="I547" s="222" t="s">
        <v>1864</v>
      </c>
      <c r="J547" s="216" t="s">
        <v>1539</v>
      </c>
      <c r="K547" s="13" t="s">
        <v>779</v>
      </c>
      <c r="L547" s="195">
        <v>5</v>
      </c>
      <c r="M547" s="226" t="s">
        <v>1865</v>
      </c>
    </row>
    <row r="548" spans="2:13" ht="22.15" customHeight="1">
      <c r="B548" s="224" t="s">
        <v>53</v>
      </c>
      <c r="C548" s="62" t="s">
        <v>1441</v>
      </c>
      <c r="D548" s="216" t="s">
        <v>1866</v>
      </c>
      <c r="E548" s="62" t="s">
        <v>90</v>
      </c>
      <c r="F548" s="237" t="s">
        <v>1523</v>
      </c>
      <c r="G548" s="62" t="s">
        <v>244</v>
      </c>
      <c r="H548" s="178" t="s">
        <v>1867</v>
      </c>
      <c r="I548" s="222" t="s">
        <v>1825</v>
      </c>
      <c r="J548" s="216">
        <v>20</v>
      </c>
      <c r="K548" s="13" t="s">
        <v>779</v>
      </c>
      <c r="L548" s="195">
        <v>3.26</v>
      </c>
      <c r="M548" s="226" t="s">
        <v>1868</v>
      </c>
    </row>
    <row r="549" spans="2:13" ht="22.15" customHeight="1">
      <c r="B549" s="224" t="s">
        <v>53</v>
      </c>
      <c r="C549" s="62" t="s">
        <v>1441</v>
      </c>
      <c r="D549" s="216" t="s">
        <v>1866</v>
      </c>
      <c r="E549" s="62" t="s">
        <v>90</v>
      </c>
      <c r="F549" s="237" t="s">
        <v>1523</v>
      </c>
      <c r="G549" s="62" t="s">
        <v>244</v>
      </c>
      <c r="H549" s="178" t="s">
        <v>1869</v>
      </c>
      <c r="I549" s="222" t="s">
        <v>1825</v>
      </c>
      <c r="J549" s="216">
        <v>15</v>
      </c>
      <c r="K549" s="13" t="s">
        <v>779</v>
      </c>
      <c r="L549" s="195">
        <v>2.81</v>
      </c>
      <c r="M549" s="226" t="s">
        <v>1870</v>
      </c>
    </row>
    <row r="550" spans="2:13" ht="22.15" customHeight="1">
      <c r="B550" s="224" t="s">
        <v>53</v>
      </c>
      <c r="C550" s="62" t="s">
        <v>1441</v>
      </c>
      <c r="D550" s="216" t="s">
        <v>1866</v>
      </c>
      <c r="E550" s="62" t="s">
        <v>90</v>
      </c>
      <c r="F550" s="237" t="s">
        <v>1523</v>
      </c>
      <c r="G550" s="62" t="s">
        <v>244</v>
      </c>
      <c r="H550" s="178" t="s">
        <v>1871</v>
      </c>
      <c r="I550" s="222" t="s">
        <v>1825</v>
      </c>
      <c r="J550" s="216">
        <v>50</v>
      </c>
      <c r="K550" s="13" t="s">
        <v>779</v>
      </c>
      <c r="L550" s="195">
        <v>2.9</v>
      </c>
      <c r="M550" s="226" t="s">
        <v>1872</v>
      </c>
    </row>
    <row r="551" spans="2:13" ht="22.15" customHeight="1">
      <c r="B551" s="224" t="s">
        <v>7</v>
      </c>
      <c r="C551" s="62" t="s">
        <v>1441</v>
      </c>
      <c r="D551" s="222" t="s">
        <v>1816</v>
      </c>
      <c r="E551" s="62" t="s">
        <v>90</v>
      </c>
      <c r="F551" s="222" t="s">
        <v>252</v>
      </c>
      <c r="G551" s="222" t="s">
        <v>1377</v>
      </c>
      <c r="H551" s="178" t="s">
        <v>260</v>
      </c>
      <c r="I551" s="222" t="s">
        <v>261</v>
      </c>
      <c r="J551" s="216" t="s">
        <v>1457</v>
      </c>
      <c r="K551" s="13" t="s">
        <v>779</v>
      </c>
      <c r="L551" s="195">
        <v>9.5</v>
      </c>
      <c r="M551" s="226" t="s">
        <v>1873</v>
      </c>
    </row>
    <row r="552" spans="2:13" ht="22.15" customHeight="1">
      <c r="B552" s="224" t="s">
        <v>53</v>
      </c>
      <c r="C552" s="62" t="s">
        <v>1441</v>
      </c>
      <c r="D552" s="216" t="s">
        <v>1874</v>
      </c>
      <c r="E552" s="62" t="s">
        <v>90</v>
      </c>
      <c r="F552" s="222" t="s">
        <v>252</v>
      </c>
      <c r="G552" s="222" t="s">
        <v>178</v>
      </c>
      <c r="H552" s="178" t="s">
        <v>1875</v>
      </c>
      <c r="I552" s="222" t="s">
        <v>1876</v>
      </c>
      <c r="J552" s="216" t="s">
        <v>1484</v>
      </c>
      <c r="K552" s="13" t="s">
        <v>779</v>
      </c>
      <c r="L552" s="195">
        <v>2.21</v>
      </c>
      <c r="M552" s="226" t="s">
        <v>1877</v>
      </c>
    </row>
    <row r="553" spans="2:13" ht="22.15" customHeight="1">
      <c r="B553" s="224" t="s">
        <v>53</v>
      </c>
      <c r="C553" s="62" t="s">
        <v>1441</v>
      </c>
      <c r="D553" s="216" t="s">
        <v>1874</v>
      </c>
      <c r="E553" s="62" t="s">
        <v>90</v>
      </c>
      <c r="F553" s="222" t="s">
        <v>252</v>
      </c>
      <c r="G553" s="222" t="s">
        <v>178</v>
      </c>
      <c r="H553" s="178" t="s">
        <v>1878</v>
      </c>
      <c r="I553" s="222" t="s">
        <v>1879</v>
      </c>
      <c r="J553" s="216" t="s">
        <v>1457</v>
      </c>
      <c r="K553" s="13" t="s">
        <v>779</v>
      </c>
      <c r="L553" s="195">
        <v>2.1</v>
      </c>
      <c r="M553" s="226" t="s">
        <v>1880</v>
      </c>
    </row>
    <row r="554" spans="2:13" ht="22.15" customHeight="1">
      <c r="B554" s="224" t="s">
        <v>53</v>
      </c>
      <c r="C554" s="62" t="s">
        <v>1441</v>
      </c>
      <c r="D554" s="216" t="s">
        <v>1874</v>
      </c>
      <c r="E554" s="62" t="s">
        <v>90</v>
      </c>
      <c r="F554" s="222" t="s">
        <v>252</v>
      </c>
      <c r="G554" s="222" t="s">
        <v>178</v>
      </c>
      <c r="H554" s="178" t="s">
        <v>1881</v>
      </c>
      <c r="I554" s="222" t="s">
        <v>1882</v>
      </c>
      <c r="J554" s="216" t="s">
        <v>1471</v>
      </c>
      <c r="K554" s="13" t="s">
        <v>779</v>
      </c>
      <c r="L554" s="195">
        <v>2</v>
      </c>
      <c r="M554" s="226" t="s">
        <v>1883</v>
      </c>
    </row>
    <row r="555" spans="2:13" ht="22.15" customHeight="1">
      <c r="B555" s="224" t="s">
        <v>53</v>
      </c>
      <c r="C555" s="62" t="s">
        <v>1441</v>
      </c>
      <c r="D555" s="216" t="s">
        <v>1874</v>
      </c>
      <c r="E555" s="62" t="s">
        <v>90</v>
      </c>
      <c r="F555" s="222" t="s">
        <v>252</v>
      </c>
      <c r="G555" s="222" t="s">
        <v>178</v>
      </c>
      <c r="H555" s="178" t="s">
        <v>1884</v>
      </c>
      <c r="I555" s="222" t="s">
        <v>1885</v>
      </c>
      <c r="J555" s="216" t="s">
        <v>1467</v>
      </c>
      <c r="K555" s="13" t="s">
        <v>779</v>
      </c>
      <c r="L555" s="195">
        <v>1.9</v>
      </c>
      <c r="M555" s="226" t="s">
        <v>1886</v>
      </c>
    </row>
    <row r="556" spans="2:13" ht="22.15" customHeight="1">
      <c r="B556" s="224" t="s">
        <v>53</v>
      </c>
      <c r="C556" s="62" t="s">
        <v>1441</v>
      </c>
      <c r="D556" s="216" t="s">
        <v>1874</v>
      </c>
      <c r="E556" s="62" t="s">
        <v>90</v>
      </c>
      <c r="F556" s="222" t="s">
        <v>252</v>
      </c>
      <c r="G556" s="222" t="s">
        <v>178</v>
      </c>
      <c r="H556" s="178" t="s">
        <v>1887</v>
      </c>
      <c r="I556" s="222" t="s">
        <v>1888</v>
      </c>
      <c r="J556" s="216" t="s">
        <v>1598</v>
      </c>
      <c r="K556" s="13" t="s">
        <v>779</v>
      </c>
      <c r="L556" s="195">
        <v>1.71</v>
      </c>
      <c r="M556" s="226" t="s">
        <v>1889</v>
      </c>
    </row>
    <row r="557" spans="2:13" ht="22.15" customHeight="1">
      <c r="B557" s="224" t="s">
        <v>53</v>
      </c>
      <c r="C557" s="62" t="s">
        <v>1441</v>
      </c>
      <c r="D557" s="216" t="s">
        <v>1874</v>
      </c>
      <c r="E557" s="62" t="s">
        <v>90</v>
      </c>
      <c r="F557" s="222" t="s">
        <v>252</v>
      </c>
      <c r="G557" s="222" t="s">
        <v>178</v>
      </c>
      <c r="H557" s="178" t="s">
        <v>1890</v>
      </c>
      <c r="I557" s="222" t="s">
        <v>1891</v>
      </c>
      <c r="J557" s="216" t="s">
        <v>1892</v>
      </c>
      <c r="K557" s="13" t="s">
        <v>779</v>
      </c>
      <c r="L557" s="195">
        <v>1.71</v>
      </c>
      <c r="M557" s="226" t="s">
        <v>1893</v>
      </c>
    </row>
    <row r="558" spans="2:13" ht="22.15" customHeight="1">
      <c r="B558" s="224" t="s">
        <v>53</v>
      </c>
      <c r="C558" s="62" t="s">
        <v>1441</v>
      </c>
      <c r="D558" s="216" t="s">
        <v>1874</v>
      </c>
      <c r="E558" s="62" t="s">
        <v>90</v>
      </c>
      <c r="F558" s="222" t="s">
        <v>252</v>
      </c>
      <c r="G558" s="222" t="s">
        <v>178</v>
      </c>
      <c r="H558" s="178" t="s">
        <v>1894</v>
      </c>
      <c r="I558" s="222" t="s">
        <v>1891</v>
      </c>
      <c r="J558" s="216" t="s">
        <v>1895</v>
      </c>
      <c r="K558" s="13" t="s">
        <v>779</v>
      </c>
      <c r="L558" s="195">
        <v>1.5</v>
      </c>
      <c r="M558" s="226" t="s">
        <v>1896</v>
      </c>
    </row>
    <row r="559" spans="2:13" ht="22.15" customHeight="1">
      <c r="B559" s="224" t="s">
        <v>53</v>
      </c>
      <c r="C559" s="62" t="s">
        <v>1441</v>
      </c>
      <c r="D559" s="216" t="s">
        <v>1874</v>
      </c>
      <c r="E559" s="62" t="s">
        <v>90</v>
      </c>
      <c r="F559" s="222" t="s">
        <v>252</v>
      </c>
      <c r="G559" s="222" t="s">
        <v>178</v>
      </c>
      <c r="H559" s="178" t="s">
        <v>1897</v>
      </c>
      <c r="I559" s="222" t="s">
        <v>1891</v>
      </c>
      <c r="J559" s="216" t="s">
        <v>1898</v>
      </c>
      <c r="K559" s="13" t="s">
        <v>779</v>
      </c>
      <c r="L559" s="195">
        <v>1.21</v>
      </c>
      <c r="M559" s="226" t="s">
        <v>1899</v>
      </c>
    </row>
    <row r="560" spans="2:13" ht="22.15" customHeight="1">
      <c r="B560" s="224" t="s">
        <v>53</v>
      </c>
      <c r="C560" s="62" t="s">
        <v>1441</v>
      </c>
      <c r="D560" s="216" t="s">
        <v>1874</v>
      </c>
      <c r="E560" s="62" t="s">
        <v>90</v>
      </c>
      <c r="F560" s="222" t="s">
        <v>252</v>
      </c>
      <c r="G560" s="222" t="s">
        <v>178</v>
      </c>
      <c r="H560" s="178" t="s">
        <v>1900</v>
      </c>
      <c r="I560" s="222" t="s">
        <v>1891</v>
      </c>
      <c r="J560" s="216" t="s">
        <v>1754</v>
      </c>
      <c r="K560" s="13" t="s">
        <v>779</v>
      </c>
      <c r="L560" s="195">
        <v>1</v>
      </c>
      <c r="M560" s="226" t="s">
        <v>1901</v>
      </c>
    </row>
    <row r="561" spans="2:16" ht="22.15" customHeight="1">
      <c r="B561" s="224" t="s">
        <v>53</v>
      </c>
      <c r="C561" s="62" t="s">
        <v>1441</v>
      </c>
      <c r="D561" s="216" t="s">
        <v>1874</v>
      </c>
      <c r="E561" s="62" t="s">
        <v>90</v>
      </c>
      <c r="F561" s="222" t="s">
        <v>252</v>
      </c>
      <c r="G561" s="222" t="s">
        <v>178</v>
      </c>
      <c r="H561" s="178" t="s">
        <v>1902</v>
      </c>
      <c r="I561" s="222" t="s">
        <v>1891</v>
      </c>
      <c r="J561" s="216" t="s">
        <v>1903</v>
      </c>
      <c r="K561" s="13" t="s">
        <v>779</v>
      </c>
      <c r="L561" s="195">
        <v>0.7</v>
      </c>
      <c r="M561" s="226" t="s">
        <v>1904</v>
      </c>
    </row>
    <row r="562" spans="2:16" ht="22.15" customHeight="1">
      <c r="B562" s="224" t="s">
        <v>53</v>
      </c>
      <c r="C562" s="62" t="s">
        <v>1441</v>
      </c>
      <c r="D562" s="216" t="s">
        <v>1874</v>
      </c>
      <c r="E562" s="62" t="s">
        <v>90</v>
      </c>
      <c r="F562" s="222" t="s">
        <v>252</v>
      </c>
      <c r="G562" s="222" t="s">
        <v>652</v>
      </c>
      <c r="H562" s="178" t="s">
        <v>1905</v>
      </c>
      <c r="I562" s="222" t="s">
        <v>1891</v>
      </c>
      <c r="J562" s="216" t="s">
        <v>1906</v>
      </c>
      <c r="K562" s="13" t="s">
        <v>779</v>
      </c>
      <c r="L562" s="195">
        <v>0.5</v>
      </c>
      <c r="M562" s="226" t="s">
        <v>1907</v>
      </c>
    </row>
    <row r="563" spans="2:16" ht="22.15" customHeight="1">
      <c r="B563" s="224" t="s">
        <v>53</v>
      </c>
      <c r="C563" s="62" t="s">
        <v>1441</v>
      </c>
      <c r="D563" s="216" t="s">
        <v>1874</v>
      </c>
      <c r="E563" s="62" t="s">
        <v>90</v>
      </c>
      <c r="F563" s="222" t="s">
        <v>252</v>
      </c>
      <c r="G563" s="222" t="s">
        <v>178</v>
      </c>
      <c r="H563" s="216" t="s">
        <v>1908</v>
      </c>
      <c r="I563" s="195" t="s">
        <v>1891</v>
      </c>
      <c r="J563" s="216" t="s">
        <v>1754</v>
      </c>
      <c r="K563" s="13" t="s">
        <v>779</v>
      </c>
      <c r="L563" s="195">
        <v>3.71</v>
      </c>
      <c r="M563" s="226" t="s">
        <v>1909</v>
      </c>
    </row>
    <row r="564" spans="2:16" ht="22.15" customHeight="1">
      <c r="B564" s="224" t="s">
        <v>53</v>
      </c>
      <c r="C564" s="62" t="s">
        <v>1441</v>
      </c>
      <c r="D564" s="222" t="s">
        <v>1434</v>
      </c>
      <c r="E564" s="62" t="s">
        <v>90</v>
      </c>
      <c r="F564" s="222" t="s">
        <v>139</v>
      </c>
      <c r="G564" s="235" t="s">
        <v>178</v>
      </c>
      <c r="H564" s="236" t="s">
        <v>1910</v>
      </c>
      <c r="I564" s="235" t="s">
        <v>1911</v>
      </c>
      <c r="J564" s="236" t="s">
        <v>1485</v>
      </c>
      <c r="K564" s="131" t="s">
        <v>779</v>
      </c>
      <c r="L564" s="204">
        <v>9.9</v>
      </c>
      <c r="M564" s="252" t="s">
        <v>1912</v>
      </c>
    </row>
    <row r="565" spans="2:16" ht="22.15" customHeight="1">
      <c r="B565" s="224" t="s">
        <v>66</v>
      </c>
      <c r="C565" s="62" t="s">
        <v>1441</v>
      </c>
      <c r="D565" s="222" t="s">
        <v>1434</v>
      </c>
      <c r="E565" s="62" t="s">
        <v>90</v>
      </c>
      <c r="F565" s="253" t="s">
        <v>68</v>
      </c>
      <c r="G565" s="254" t="s">
        <v>1004</v>
      </c>
      <c r="H565" s="255" t="s">
        <v>1335</v>
      </c>
      <c r="I565" s="236" t="s">
        <v>713</v>
      </c>
      <c r="J565" s="254">
        <v>18</v>
      </c>
      <c r="K565" s="235" t="s">
        <v>714</v>
      </c>
      <c r="L565" s="204">
        <v>25</v>
      </c>
      <c r="M565" s="225"/>
    </row>
    <row r="566" spans="2:16" ht="22.15" customHeight="1">
      <c r="B566" s="224" t="s">
        <v>66</v>
      </c>
      <c r="C566" s="62" t="s">
        <v>1441</v>
      </c>
      <c r="D566" s="222" t="s">
        <v>1434</v>
      </c>
      <c r="E566" s="62" t="s">
        <v>90</v>
      </c>
      <c r="F566" s="62" t="s">
        <v>68</v>
      </c>
      <c r="G566" s="240" t="s">
        <v>1913</v>
      </c>
      <c r="H566" s="117" t="s">
        <v>1335</v>
      </c>
      <c r="I566" s="216" t="s">
        <v>713</v>
      </c>
      <c r="J566" s="222">
        <v>30</v>
      </c>
      <c r="K566" s="222" t="s">
        <v>714</v>
      </c>
      <c r="L566" s="195">
        <v>25</v>
      </c>
      <c r="M566" s="223"/>
    </row>
    <row r="567" spans="2:16" ht="22.15" customHeight="1">
      <c r="B567" s="224" t="s">
        <v>66</v>
      </c>
      <c r="C567" s="62" t="s">
        <v>1441</v>
      </c>
      <c r="D567" s="222" t="s">
        <v>1434</v>
      </c>
      <c r="E567" s="62" t="s">
        <v>90</v>
      </c>
      <c r="F567" s="253" t="s">
        <v>68</v>
      </c>
      <c r="G567" s="235" t="s">
        <v>1914</v>
      </c>
      <c r="H567" s="255" t="s">
        <v>1335</v>
      </c>
      <c r="I567" s="236" t="s">
        <v>713</v>
      </c>
      <c r="J567" s="235">
        <v>77</v>
      </c>
      <c r="K567" s="235" t="s">
        <v>714</v>
      </c>
      <c r="L567" s="204">
        <v>25</v>
      </c>
      <c r="M567" s="225"/>
    </row>
    <row r="568" spans="2:16" ht="22.15" customHeight="1">
      <c r="B568" s="224" t="s">
        <v>526</v>
      </c>
      <c r="C568" s="62" t="s">
        <v>1441</v>
      </c>
      <c r="D568" s="222" t="s">
        <v>1915</v>
      </c>
      <c r="E568" s="62" t="s">
        <v>90</v>
      </c>
      <c r="F568" s="222" t="s">
        <v>252</v>
      </c>
      <c r="G568" s="222" t="s">
        <v>1377</v>
      </c>
      <c r="H568" s="178" t="s">
        <v>1916</v>
      </c>
      <c r="I568" s="222" t="s">
        <v>1917</v>
      </c>
      <c r="J568" s="216" t="s">
        <v>1918</v>
      </c>
      <c r="K568" s="13" t="s">
        <v>779</v>
      </c>
      <c r="L568" s="195">
        <v>0.11</v>
      </c>
      <c r="M568" s="223" t="s">
        <v>1919</v>
      </c>
    </row>
    <row r="569" spans="2:16" ht="22.15" customHeight="1">
      <c r="B569" s="224" t="s">
        <v>526</v>
      </c>
      <c r="C569" s="62" t="s">
        <v>1441</v>
      </c>
      <c r="D569" s="222" t="s">
        <v>1915</v>
      </c>
      <c r="E569" s="62" t="s">
        <v>90</v>
      </c>
      <c r="F569" s="222" t="s">
        <v>252</v>
      </c>
      <c r="G569" s="222" t="s">
        <v>1377</v>
      </c>
      <c r="H569" s="178" t="s">
        <v>1920</v>
      </c>
      <c r="I569" s="222" t="s">
        <v>1917</v>
      </c>
      <c r="J569" s="216" t="s">
        <v>1921</v>
      </c>
      <c r="K569" s="13" t="s">
        <v>779</v>
      </c>
      <c r="L569" s="195">
        <v>0.11</v>
      </c>
      <c r="M569" s="223" t="s">
        <v>1919</v>
      </c>
    </row>
    <row r="570" spans="2:16" ht="22.15" customHeight="1" thickBot="1">
      <c r="B570" s="241" t="s">
        <v>526</v>
      </c>
      <c r="C570" s="242" t="s">
        <v>1441</v>
      </c>
      <c r="D570" s="243" t="s">
        <v>1915</v>
      </c>
      <c r="E570" s="242" t="s">
        <v>90</v>
      </c>
      <c r="F570" s="243" t="s">
        <v>252</v>
      </c>
      <c r="G570" s="243" t="s">
        <v>1377</v>
      </c>
      <c r="H570" s="244" t="s">
        <v>1922</v>
      </c>
      <c r="I570" s="243" t="s">
        <v>1917</v>
      </c>
      <c r="J570" s="245" t="s">
        <v>1923</v>
      </c>
      <c r="K570" s="49" t="s">
        <v>779</v>
      </c>
      <c r="L570" s="246">
        <v>0.11</v>
      </c>
      <c r="M570" s="247" t="s">
        <v>1919</v>
      </c>
    </row>
    <row r="571" spans="2:16" ht="22.15" customHeight="1">
      <c r="B571" s="228"/>
      <c r="C571" s="234"/>
      <c r="D571" s="231"/>
      <c r="E571" s="234"/>
      <c r="F571" s="256"/>
      <c r="G571" s="234"/>
      <c r="H571" s="257"/>
      <c r="I571" s="228"/>
      <c r="J571" s="231"/>
      <c r="K571" s="29"/>
      <c r="L571" s="258"/>
      <c r="M571" s="259"/>
      <c r="N571" s="16"/>
      <c r="O571" s="29"/>
      <c r="P571" s="29"/>
    </row>
    <row r="572" spans="2:16" ht="22.15" customHeight="1">
      <c r="B572" s="228"/>
      <c r="C572" s="234"/>
      <c r="D572" s="228"/>
      <c r="E572" s="234"/>
      <c r="F572" s="228"/>
      <c r="G572" s="260"/>
      <c r="H572" s="257"/>
      <c r="I572" s="228"/>
      <c r="J572" s="231"/>
      <c r="K572" s="29"/>
      <c r="L572" s="258"/>
      <c r="M572" s="259"/>
      <c r="N572" s="261"/>
      <c r="O572" s="29"/>
      <c r="P572" s="29"/>
    </row>
    <row r="573" spans="2:16" ht="22.15" customHeight="1">
      <c r="B573" s="228"/>
      <c r="C573" s="234"/>
      <c r="D573" s="231"/>
      <c r="E573" s="234"/>
      <c r="F573" s="228"/>
      <c r="G573" s="228"/>
      <c r="H573" s="257"/>
      <c r="I573" s="228"/>
      <c r="J573" s="231"/>
      <c r="K573" s="29"/>
      <c r="L573" s="258"/>
      <c r="M573" s="259"/>
      <c r="N573" s="16"/>
      <c r="O573" s="29"/>
      <c r="P573" s="29"/>
    </row>
    <row r="574" spans="2:16" ht="22.15" customHeight="1">
      <c r="B574" s="228"/>
      <c r="C574" s="234"/>
      <c r="D574" s="231"/>
      <c r="E574" s="234"/>
      <c r="F574" s="228"/>
      <c r="G574" s="228"/>
      <c r="H574" s="257"/>
      <c r="I574" s="228"/>
      <c r="J574" s="231"/>
      <c r="K574" s="29"/>
      <c r="L574" s="258"/>
      <c r="M574" s="259"/>
      <c r="N574" s="16"/>
      <c r="O574" s="29"/>
      <c r="P574" s="29"/>
    </row>
    <row r="575" spans="2:16" ht="22.15" customHeight="1">
      <c r="B575" s="228"/>
      <c r="C575" s="234"/>
      <c r="D575" s="231"/>
      <c r="E575" s="234"/>
      <c r="F575" s="228"/>
      <c r="G575" s="228"/>
      <c r="H575" s="257"/>
      <c r="I575" s="228"/>
      <c r="J575" s="231"/>
      <c r="K575" s="29"/>
      <c r="L575" s="258"/>
      <c r="M575" s="259"/>
      <c r="N575" s="16"/>
      <c r="O575" s="29"/>
      <c r="P575" s="29"/>
    </row>
    <row r="576" spans="2:16" ht="22.15" customHeight="1">
      <c r="B576" s="228"/>
      <c r="C576" s="234"/>
      <c r="D576" s="231"/>
      <c r="E576" s="234"/>
      <c r="F576" s="228"/>
      <c r="G576" s="228"/>
      <c r="H576" s="257"/>
      <c r="I576" s="228"/>
      <c r="J576" s="231"/>
      <c r="K576" s="29"/>
      <c r="L576" s="258"/>
      <c r="M576" s="259"/>
      <c r="N576" s="16"/>
      <c r="O576" s="29"/>
      <c r="P576" s="29"/>
    </row>
    <row r="577" spans="2:16" ht="22.15" customHeight="1">
      <c r="B577" s="228"/>
      <c r="C577" s="234"/>
      <c r="D577" s="231"/>
      <c r="E577" s="234"/>
      <c r="F577" s="228"/>
      <c r="G577" s="228"/>
      <c r="H577" s="257"/>
      <c r="I577" s="228"/>
      <c r="J577" s="231"/>
      <c r="K577" s="29"/>
      <c r="L577" s="258"/>
      <c r="M577" s="259"/>
      <c r="N577" s="16"/>
      <c r="O577" s="29"/>
      <c r="P577" s="29"/>
    </row>
    <row r="578" spans="2:16" ht="22.15" customHeight="1">
      <c r="B578" s="228"/>
      <c r="C578" s="234"/>
      <c r="D578" s="231"/>
      <c r="E578" s="234"/>
      <c r="F578" s="228"/>
      <c r="G578" s="228"/>
      <c r="H578" s="257"/>
      <c r="I578" s="228"/>
      <c r="J578" s="231"/>
      <c r="K578" s="29"/>
      <c r="L578" s="258"/>
      <c r="M578" s="259"/>
      <c r="N578" s="16"/>
      <c r="O578" s="29"/>
      <c r="P578" s="29"/>
    </row>
    <row r="579" spans="2:16" ht="22.15" customHeight="1">
      <c r="B579" s="228"/>
      <c r="C579" s="234"/>
      <c r="D579" s="231"/>
      <c r="E579" s="234"/>
      <c r="F579" s="228"/>
      <c r="G579" s="228"/>
      <c r="H579" s="257"/>
      <c r="I579" s="228"/>
      <c r="J579" s="231"/>
      <c r="K579" s="29"/>
      <c r="L579" s="258"/>
      <c r="M579" s="259"/>
      <c r="N579" s="16"/>
      <c r="O579" s="29"/>
      <c r="P579" s="29"/>
    </row>
    <row r="580" spans="2:16" ht="22.15" customHeight="1">
      <c r="B580" s="228"/>
      <c r="C580" s="234"/>
      <c r="D580" s="231"/>
      <c r="E580" s="234"/>
      <c r="F580" s="228"/>
      <c r="G580" s="228"/>
      <c r="H580" s="257"/>
      <c r="I580" s="228"/>
      <c r="J580" s="231"/>
      <c r="K580" s="29"/>
      <c r="L580" s="258"/>
      <c r="M580" s="259"/>
      <c r="N580" s="16"/>
      <c r="O580" s="29"/>
      <c r="P580" s="29"/>
    </row>
    <row r="581" spans="2:16" ht="22.15" customHeight="1">
      <c r="B581" s="228"/>
      <c r="C581" s="234"/>
      <c r="D581" s="231"/>
      <c r="E581" s="234"/>
      <c r="F581" s="228"/>
      <c r="G581" s="228"/>
      <c r="H581" s="257"/>
      <c r="I581" s="228"/>
      <c r="J581" s="231"/>
      <c r="K581" s="29"/>
      <c r="L581" s="258"/>
      <c r="M581" s="259"/>
      <c r="N581" s="16"/>
      <c r="O581" s="29"/>
      <c r="P581" s="29"/>
    </row>
    <row r="582" spans="2:16" ht="22.15" customHeight="1">
      <c r="B582" s="228"/>
      <c r="C582" s="234"/>
      <c r="D582" s="231"/>
      <c r="E582" s="234"/>
      <c r="F582" s="228"/>
      <c r="G582" s="228"/>
      <c r="H582" s="257"/>
      <c r="I582" s="228"/>
      <c r="J582" s="231"/>
      <c r="K582" s="29"/>
      <c r="L582" s="258"/>
      <c r="M582" s="259"/>
      <c r="N582" s="16"/>
      <c r="O582" s="29"/>
      <c r="P582" s="29"/>
    </row>
    <row r="583" spans="2:16" ht="22.15" customHeight="1">
      <c r="B583" s="228"/>
      <c r="C583" s="234"/>
      <c r="D583" s="231"/>
      <c r="E583" s="234"/>
      <c r="F583" s="228"/>
      <c r="G583" s="228"/>
      <c r="H583" s="257"/>
      <c r="I583" s="228"/>
      <c r="J583" s="231"/>
      <c r="K583" s="29"/>
      <c r="L583" s="258"/>
      <c r="M583" s="259"/>
      <c r="N583" s="16"/>
      <c r="O583" s="29"/>
      <c r="P583" s="29"/>
    </row>
    <row r="584" spans="2:16" ht="22.15" customHeight="1">
      <c r="B584" s="228"/>
      <c r="C584" s="234"/>
      <c r="D584" s="231"/>
      <c r="E584" s="234"/>
      <c r="F584" s="228"/>
      <c r="G584" s="228"/>
      <c r="H584" s="231"/>
      <c r="I584" s="258"/>
      <c r="J584" s="231"/>
      <c r="K584" s="29"/>
      <c r="L584" s="258"/>
      <c r="M584" s="259"/>
      <c r="N584" s="16"/>
      <c r="O584" s="29"/>
      <c r="P584" s="29"/>
    </row>
    <row r="585" spans="2:16" ht="22.15" customHeight="1">
      <c r="B585" s="228"/>
      <c r="C585" s="234"/>
      <c r="D585" s="228"/>
      <c r="E585" s="234"/>
      <c r="F585" s="262"/>
      <c r="G585" s="260"/>
      <c r="H585" s="262"/>
      <c r="I585" s="260"/>
      <c r="J585" s="262"/>
      <c r="K585" s="263"/>
      <c r="L585" s="264"/>
      <c r="M585" s="265"/>
      <c r="N585" s="16"/>
      <c r="O585" s="29"/>
      <c r="P585" s="29"/>
    </row>
    <row r="586" spans="2:16" ht="22.15" customHeight="1">
      <c r="B586" s="228"/>
      <c r="C586" s="234"/>
      <c r="D586" s="228"/>
      <c r="E586" s="234"/>
      <c r="F586" s="266"/>
      <c r="G586" s="267"/>
      <c r="H586" s="268"/>
      <c r="I586" s="262"/>
      <c r="J586" s="267"/>
      <c r="K586" s="260"/>
      <c r="L586" s="264"/>
      <c r="M586" s="269"/>
      <c r="N586" s="16"/>
      <c r="O586" s="29"/>
      <c r="P586" s="29"/>
    </row>
    <row r="587" spans="2:16" ht="22.15" customHeight="1">
      <c r="B587" s="228"/>
      <c r="C587" s="234"/>
      <c r="D587" s="228"/>
      <c r="E587" s="234"/>
      <c r="F587" s="234"/>
      <c r="G587" s="270"/>
      <c r="H587" s="271"/>
      <c r="I587" s="231"/>
      <c r="J587" s="228"/>
      <c r="K587" s="228"/>
      <c r="L587" s="258"/>
      <c r="M587" s="272"/>
      <c r="N587" s="16"/>
      <c r="O587" s="29"/>
      <c r="P587" s="29"/>
    </row>
    <row r="588" spans="2:16" ht="22.15" customHeight="1">
      <c r="B588" s="228"/>
      <c r="C588" s="234"/>
      <c r="D588" s="228"/>
      <c r="E588" s="234"/>
      <c r="F588" s="234"/>
      <c r="G588" s="270"/>
      <c r="H588" s="271"/>
      <c r="I588" s="231"/>
      <c r="J588" s="228"/>
      <c r="K588" s="228"/>
      <c r="L588" s="258"/>
      <c r="M588" s="272"/>
      <c r="N588" s="16"/>
      <c r="O588" s="29"/>
      <c r="P588" s="29"/>
    </row>
    <row r="589" spans="2:16" ht="22.15" customHeight="1">
      <c r="B589" s="228"/>
      <c r="C589" s="234"/>
      <c r="D589" s="228"/>
      <c r="E589" s="234"/>
      <c r="F589" s="266"/>
      <c r="G589" s="260"/>
      <c r="H589" s="268"/>
      <c r="I589" s="262"/>
      <c r="J589" s="260"/>
      <c r="K589" s="260"/>
      <c r="L589" s="264"/>
      <c r="M589" s="269"/>
      <c r="N589" s="16"/>
      <c r="O589" s="29"/>
      <c r="P589" s="29"/>
    </row>
    <row r="590" spans="2:16" ht="22.15" customHeight="1">
      <c r="B590" s="228"/>
      <c r="C590" s="234"/>
      <c r="D590" s="228"/>
      <c r="E590" s="234"/>
      <c r="F590" s="228"/>
      <c r="G590" s="228"/>
      <c r="H590" s="257"/>
      <c r="I590" s="228"/>
      <c r="J590" s="231"/>
      <c r="K590" s="29"/>
      <c r="L590" s="258"/>
      <c r="M590" s="272"/>
      <c r="N590" s="16"/>
      <c r="O590" s="29"/>
      <c r="P590" s="29"/>
    </row>
    <row r="591" spans="2:16" ht="22.15" customHeight="1">
      <c r="B591" s="228"/>
      <c r="C591" s="234"/>
      <c r="D591" s="228"/>
      <c r="E591" s="234"/>
      <c r="F591" s="228"/>
      <c r="G591" s="228"/>
      <c r="H591" s="257"/>
      <c r="I591" s="228"/>
      <c r="J591" s="231"/>
      <c r="K591" s="29"/>
      <c r="L591" s="258"/>
      <c r="M591" s="272"/>
      <c r="N591" s="16"/>
      <c r="O591" s="29"/>
      <c r="P591" s="29"/>
    </row>
    <row r="592" spans="2:16" ht="22.15" customHeight="1">
      <c r="B592" s="228"/>
      <c r="C592" s="234"/>
      <c r="D592" s="228"/>
      <c r="E592" s="234"/>
      <c r="F592" s="228"/>
      <c r="G592" s="228"/>
      <c r="H592" s="257"/>
      <c r="I592" s="228"/>
      <c r="J592" s="231"/>
      <c r="K592" s="29"/>
      <c r="L592" s="258"/>
      <c r="M592" s="272"/>
      <c r="N592" s="16"/>
      <c r="O592" s="29"/>
      <c r="P592" s="29"/>
    </row>
    <row r="593" spans="2:16" ht="22.15" customHeight="1">
      <c r="B593" s="29"/>
      <c r="C593" s="29"/>
      <c r="D593" s="29"/>
      <c r="E593" s="29"/>
      <c r="F593" s="29"/>
      <c r="G593" s="29"/>
      <c r="H593" s="51"/>
      <c r="I593" s="29"/>
      <c r="J593" s="29"/>
      <c r="K593" s="29"/>
      <c r="N593" s="16"/>
      <c r="O593" s="29"/>
      <c r="P593" s="29"/>
    </row>
  </sheetData>
  <autoFilter ref="B10:M592" xr:uid="{00000000-0009-0000-0000-000005000000}"/>
  <mergeCells count="3">
    <mergeCell ref="K6:L6"/>
    <mergeCell ref="K7:L7"/>
    <mergeCell ref="K8:L8"/>
  </mergeCells>
  <phoneticPr fontId="1" type="noConversion"/>
  <dataValidations count="1">
    <dataValidation type="list" allowBlank="1" showInputMessage="1" showErrorMessage="1" sqref="B360:B406 B11:B289" xr:uid="{00000000-0002-0000-0500-000000000000}">
      <formula1>$B$4:$B$8</formula1>
    </dataValidation>
  </dataValidations>
  <pageMargins left="0.70866141732283472" right="0.70866141732283472" top="0.74803149606299213" bottom="0.74803149606299213" header="0.31496062992125984" footer="0.31496062992125984"/>
  <pageSetup paperSize="8" scale="68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500-000001000000}">
          <x14:formula1>
            <xm:f>リスト!$B$2:$B$8</xm:f>
          </x14:formula1>
          <xm:sqref>E11:E570</xm:sqref>
        </x14:dataValidation>
        <x14:dataValidation type="list" allowBlank="1" showInputMessage="1" showErrorMessage="1" xr:uid="{00000000-0002-0000-0500-000002000000}">
          <x14:formula1>
            <xm:f>リスト!$C$2:$C$55</xm:f>
          </x14:formula1>
          <xm:sqref>F11:F570</xm:sqref>
        </x14:dataValidation>
        <x14:dataValidation type="list" allowBlank="1" showInputMessage="1" showErrorMessage="1" xr:uid="{00000000-0002-0000-0500-000003000000}">
          <x14:formula1>
            <xm:f>リスト!$D$2:$D$100</xm:f>
          </x14:formula1>
          <xm:sqref>G11:G570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6"/>
  <dimension ref="B1:P18"/>
  <sheetViews>
    <sheetView tabSelected="1" zoomScale="70" zoomScaleNormal="70" workbookViewId="0">
      <pane ySplit="2" topLeftCell="A3" activePane="bottomLeft" state="frozen"/>
      <selection pane="bottomLeft" activeCell="I13" sqref="I13"/>
    </sheetView>
  </sheetViews>
  <sheetFormatPr defaultColWidth="9" defaultRowHeight="19.5"/>
  <cols>
    <col min="1" max="1" width="2.625" style="116" customWidth="1"/>
    <col min="2" max="2" width="12.75" bestFit="1" customWidth="1"/>
    <col min="3" max="3" width="18.375" bestFit="1" customWidth="1"/>
    <col min="4" max="4" width="14.25" bestFit="1" customWidth="1"/>
    <col min="5" max="5" width="18" bestFit="1" customWidth="1"/>
    <col min="6" max="6" width="30.625" bestFit="1" customWidth="1"/>
    <col min="7" max="7" width="23.125" bestFit="1" customWidth="1"/>
    <col min="8" max="8" width="13.5" bestFit="1" customWidth="1"/>
    <col min="9" max="9" width="30" bestFit="1" customWidth="1"/>
    <col min="10" max="11" width="12.75" bestFit="1" customWidth="1"/>
    <col min="12" max="12" width="17.125" bestFit="1" customWidth="1"/>
    <col min="13" max="13" width="5.625" style="116" customWidth="1"/>
    <col min="14" max="14" width="9.25" style="116" bestFit="1" customWidth="1"/>
    <col min="15" max="16384" width="9" style="116"/>
  </cols>
  <sheetData>
    <row r="1" spans="2:16" ht="5.0999999999999996" customHeight="1" thickBot="1">
      <c r="B1" s="116"/>
      <c r="C1" s="29"/>
      <c r="D1" s="116"/>
      <c r="E1" s="116"/>
      <c r="F1" s="116"/>
      <c r="G1" s="116"/>
      <c r="H1" s="116"/>
      <c r="I1" s="116"/>
      <c r="J1" s="116"/>
      <c r="K1" s="116"/>
      <c r="L1" s="116"/>
      <c r="N1" s="29"/>
    </row>
    <row r="2" spans="2:16" ht="27" customHeight="1" thickBot="1">
      <c r="B2" s="42" t="s">
        <v>30</v>
      </c>
      <c r="C2" s="43" t="s">
        <v>31</v>
      </c>
      <c r="D2" s="43" t="s">
        <v>32</v>
      </c>
      <c r="E2" s="283" t="s">
        <v>33</v>
      </c>
      <c r="F2" s="283" t="s">
        <v>34</v>
      </c>
      <c r="G2" s="43" t="s">
        <v>35</v>
      </c>
      <c r="H2" s="43" t="s">
        <v>36</v>
      </c>
      <c r="I2" s="43" t="s">
        <v>37</v>
      </c>
      <c r="J2" s="428" t="s">
        <v>1979</v>
      </c>
      <c r="K2" s="43" t="s">
        <v>39</v>
      </c>
      <c r="L2" s="45" t="s">
        <v>40</v>
      </c>
      <c r="N2" s="280"/>
      <c r="O2" s="281"/>
      <c r="P2" s="281"/>
    </row>
    <row r="3" spans="2:16">
      <c r="N3" s="29"/>
    </row>
    <row r="4" spans="2:16">
      <c r="N4" s="16" t="s">
        <v>1924</v>
      </c>
    </row>
    <row r="5" spans="2:16">
      <c r="N5" s="116" t="s">
        <v>1925</v>
      </c>
    </row>
    <row r="6" spans="2:16">
      <c r="N6" s="116" t="s">
        <v>1926</v>
      </c>
    </row>
    <row r="17" spans="14:14">
      <c r="N17" s="116" t="s">
        <v>1927</v>
      </c>
    </row>
    <row r="18" spans="14:14">
      <c r="N18" s="116" t="s">
        <v>1928</v>
      </c>
    </row>
  </sheetData>
  <autoFilter ref="B2:L941" xr:uid="{00000000-0009-0000-0000-000006000000}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彙整">
                <anchor moveWithCells="1" sizeWithCells="1">
                  <from>
                    <xdr:col>14</xdr:col>
                    <xdr:colOff>438150</xdr:colOff>
                    <xdr:row>1</xdr:row>
                    <xdr:rowOff>19050</xdr:rowOff>
                  </from>
                  <to>
                    <xdr:col>15</xdr:col>
                    <xdr:colOff>647700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清除">
                <anchor moveWithCells="1" sizeWithCells="1">
                  <from>
                    <xdr:col>13</xdr:col>
                    <xdr:colOff>38100</xdr:colOff>
                    <xdr:row>1</xdr:row>
                    <xdr:rowOff>19050</xdr:rowOff>
                  </from>
                  <to>
                    <xdr:col>14</xdr:col>
                    <xdr:colOff>247650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cc0ece5-257a-4268-97fb-eb989611bcf4">
      <Terms xmlns="http://schemas.microsoft.com/office/infopath/2007/PartnerControls"/>
    </lcf76f155ced4ddcb4097134ff3c332f>
    <TaxCatchAll xmlns="a1a83a22-ab24-4bb9-9b8e-534f56491e4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6F5DC93A49053D45B821B74483A6F294" ma:contentTypeVersion="14" ma:contentTypeDescription="建立新的文件。" ma:contentTypeScope="" ma:versionID="83c86775a920239c9204d4ad87578778">
  <xsd:schema xmlns:xsd="http://www.w3.org/2001/XMLSchema" xmlns:xs="http://www.w3.org/2001/XMLSchema" xmlns:p="http://schemas.microsoft.com/office/2006/metadata/properties" xmlns:ns2="a1a83a22-ab24-4bb9-9b8e-534f56491e4d" xmlns:ns3="1cc0ece5-257a-4268-97fb-eb989611bcf4" targetNamespace="http://schemas.microsoft.com/office/2006/metadata/properties" ma:root="true" ma:fieldsID="785089bdd40f4fea7fec39bfa104402f" ns2:_="" ns3:_="">
    <xsd:import namespace="a1a83a22-ab24-4bb9-9b8e-534f56491e4d"/>
    <xsd:import namespace="1cc0ece5-257a-4268-97fb-eb989611bcf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83a22-ab24-4bb9-9b8e-534f56491e4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用對象: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用詳細資料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e7af65bb-07cd-4879-9322-69f347673d9e}" ma:internalName="TaxCatchAll" ma:showField="CatchAllData" ma:web="a1a83a22-ab24-4bb9-9b8e-534f56491e4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c0ece5-257a-4268-97fb-eb989611bc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影像標籤" ma:readOnly="false" ma:fieldId="{5cf76f15-5ced-4ddc-b409-7134ff3c332f}" ma:taxonomyMulti="true" ma:sspId="e4472dcf-cde0-4e6a-8f84-bd7a383b25e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D381DCC-A8E3-490A-8E4B-2F9B468E6373}">
  <ds:schemaRefs>
    <ds:schemaRef ds:uri="http://purl.org/dc/terms/"/>
    <ds:schemaRef ds:uri="1cc0ece5-257a-4268-97fb-eb989611bcf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a1a83a22-ab24-4bb9-9b8e-534f56491e4d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4A6B79B-95B2-4CE7-89AA-74F449389B6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5B354E5-FF76-4483-80D1-3433FF18D4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83a22-ab24-4bb9-9b8e-534f56491e4d"/>
    <ds:schemaRef ds:uri="1cc0ece5-257a-4268-97fb-eb989611bcf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例えば【入力】</vt:lpstr>
      <vt:lpstr>リスト</vt:lpstr>
      <vt:lpstr>素材1課</vt:lpstr>
      <vt:lpstr>素材2課</vt:lpstr>
      <vt:lpstr>素材3課</vt:lpstr>
      <vt:lpstr>機動組</vt:lpstr>
      <vt:lpstr>ADT 爐材合計</vt:lpstr>
      <vt:lpstr>機動組!Print_Area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許肉圓</dc:creator>
  <cp:keywords/>
  <dc:description/>
  <cp:lastModifiedBy>陳 俊碩(chen chunshuo)/ADT/雲林・製一・生產推進</cp:lastModifiedBy>
  <cp:revision/>
  <dcterms:created xsi:type="dcterms:W3CDTF">2023-05-06T16:38:38Z</dcterms:created>
  <dcterms:modified xsi:type="dcterms:W3CDTF">2023-11-02T05:35:23Z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0x0101006F5DC93A49053D45B821B74483A6F294</vt:lpwstr>
  </property>
  <property fmtid="{D5CDD505-2E9C-101B-9397-08002B2CF9AE}" pid="3" name="MediaServiceImageTags">
    <vt:lpwstr/>
  </property>
</Properties>
</file>
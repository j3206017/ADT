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chunshuo.chen\Desktop\個人資料夾\○ 2026年度 ○\02_包裝異常橫展開相關\"/>
    </mc:Choice>
  </mc:AlternateContent>
  <xr:revisionPtr revIDLastSave="0" documentId="13_ncr:1_{B43D2A08-6617-43C6-B342-1CC0FDB30EF1}" xr6:coauthVersionLast="47" xr6:coauthVersionMax="47" xr10:uidLastSave="{00000000-0000-0000-0000-000000000000}"/>
  <bookViews>
    <workbookView xWindow="-120" yWindow="-120" windowWidth="29040" windowHeight="16440" tabRatio="816" xr2:uid="{00000000-000D-0000-FFFF-FFFF00000000}"/>
  </bookViews>
  <sheets>
    <sheet name="ADT_TT 三軸加速度計量測_模態測試" sheetId="11" r:id="rId1"/>
    <sheet name="附件_寫真" sheetId="12" r:id="rId2"/>
    <sheet name="附件一" sheetId="10" r:id="rId3"/>
    <sheet name="ProjectTaskList" sheetId="8" r:id="rId4"/>
  </sheets>
  <definedNames>
    <definedName name="_xlnm.Print_Area" localSheetId="0">'ADT_TT 三軸加速度計量測_模態測試'!$A$1:$O$65</definedName>
    <definedName name="_xlnm.Print_Area" localSheetId="3">ProjectTaskList!$B$1:$N$44</definedName>
    <definedName name="_xlnm.Print_Area" localSheetId="2">附件一!$A$1:$P$229</definedName>
    <definedName name="valuevx">42.314159</definedName>
    <definedName name="vertex42_copyright" hidden="1">"© 2017 Vertex42 LLC"</definedName>
    <definedName name="vertex42_id" hidden="1">"project-task-list-with-gantt-chart.xlsx"</definedName>
    <definedName name="vertex42_title" hidden="1">"Project Task List with Gantt Chart"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" i="8" l="1"/>
  <c r="H17" i="8"/>
  <c r="H16" i="8"/>
  <c r="H14" i="8"/>
  <c r="H11" i="8"/>
  <c r="H12" i="8" l="1"/>
  <c r="H13" i="8" l="1"/>
  <c r="H6" i="8" l="1"/>
  <c r="H5" i="8"/>
  <c r="H9" i="8" l="1"/>
  <c r="H8" i="8" l="1"/>
  <c r="N18" i="8" l="1"/>
  <c r="M18" i="8" s="1"/>
  <c r="I18" i="8"/>
  <c r="J18" i="8" s="1"/>
  <c r="N17" i="8"/>
  <c r="M17" i="8" s="1"/>
  <c r="I17" i="8"/>
  <c r="J17" i="8" s="1"/>
  <c r="N16" i="8"/>
  <c r="M16" i="8" s="1"/>
  <c r="I16" i="8"/>
  <c r="J16" i="8" s="1"/>
  <c r="N15" i="8"/>
  <c r="M15" i="8" s="1"/>
  <c r="I15" i="8"/>
  <c r="J15" i="8" s="1"/>
  <c r="N14" i="8"/>
  <c r="M14" i="8" s="1"/>
  <c r="I14" i="8"/>
  <c r="J14" i="8" s="1"/>
  <c r="N13" i="8"/>
  <c r="M13" i="8" s="1"/>
  <c r="I13" i="8"/>
  <c r="J13" i="8" s="1"/>
  <c r="N12" i="8"/>
  <c r="M12" i="8" s="1"/>
  <c r="I12" i="8"/>
  <c r="J12" i="8" s="1"/>
  <c r="N11" i="8"/>
  <c r="M11" i="8" s="1"/>
  <c r="I11" i="8"/>
  <c r="J11" i="8" s="1"/>
  <c r="I6" i="8"/>
  <c r="J6" i="8" s="1"/>
  <c r="N10" i="8"/>
  <c r="M10" i="8" s="1"/>
  <c r="I10" i="8"/>
  <c r="J10" i="8" s="1"/>
  <c r="N9" i="8"/>
  <c r="I7" i="8"/>
  <c r="J7" i="8" s="1"/>
  <c r="I8" i="8"/>
  <c r="J8" i="8" s="1"/>
  <c r="I9" i="8"/>
  <c r="J9" i="8" s="1"/>
  <c r="N8" i="8"/>
  <c r="M8" i="8" s="1"/>
  <c r="N7" i="8"/>
  <c r="M7" i="8" s="1"/>
  <c r="N5" i="8"/>
  <c r="I5" i="8"/>
  <c r="J5" i="8" s="1"/>
  <c r="K5" i="8" l="1"/>
  <c r="L5" i="8" s="1"/>
  <c r="K18" i="8"/>
  <c r="L18" i="8" s="1"/>
  <c r="K14" i="8"/>
  <c r="L14" i="8" s="1"/>
  <c r="K11" i="8"/>
  <c r="L11" i="8" s="1"/>
  <c r="K13" i="8"/>
  <c r="L13" i="8" s="1"/>
  <c r="K16" i="8"/>
  <c r="L16" i="8" s="1"/>
  <c r="K10" i="8"/>
  <c r="L10" i="8" s="1"/>
  <c r="K12" i="8"/>
  <c r="L12" i="8" s="1"/>
  <c r="K15" i="8"/>
  <c r="L15" i="8" s="1"/>
  <c r="K17" i="8"/>
  <c r="L17" i="8" s="1"/>
  <c r="N6" i="8"/>
  <c r="K6" i="8" s="1"/>
  <c r="L6" i="8" s="1"/>
  <c r="K9" i="8"/>
  <c r="L9" i="8" s="1"/>
  <c r="K8" i="8"/>
  <c r="L8" i="8" s="1"/>
  <c r="K7" i="8"/>
  <c r="L7" i="8" s="1"/>
  <c r="M9" i="8"/>
  <c r="M5" i="8"/>
  <c r="M6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 俊碩(chen chunshuo)/ADT/雲林・製一・素製二</author>
  </authors>
  <commentList>
    <comment ref="D80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Loss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陳 俊碩(chen chunshuo)/ADT/雲林・製一・素製二</author>
  </authors>
  <commentList>
    <comment ref="C9" authorId="0" shapeId="0" xr:uid="{00000000-0006-0000-0000-000005000000}">
      <text>
        <r>
          <rPr>
            <b/>
            <sz val="9"/>
            <color indexed="81"/>
            <rFont val="細明體"/>
            <family val="3"/>
            <charset val="136"/>
          </rPr>
          <t>2016年9月5日入社</t>
        </r>
      </text>
    </comment>
    <comment ref="C15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0.5t 31day</t>
        </r>
        <r>
          <rPr>
            <b/>
            <sz val="9"/>
            <color indexed="81"/>
            <rFont val="細明體"/>
            <family val="3"/>
            <charset val="136"/>
          </rPr>
          <t>換算</t>
        </r>
      </text>
    </comment>
  </commentList>
</comments>
</file>

<file path=xl/sharedStrings.xml><?xml version="1.0" encoding="utf-8"?>
<sst xmlns="http://schemas.openxmlformats.org/spreadsheetml/2006/main" count="511" uniqueCount="349">
  <si>
    <t>% COMPLETE</t>
  </si>
  <si>
    <t>HIGH</t>
  </si>
  <si>
    <t>MEDIUM</t>
  </si>
  <si>
    <t>Project Start</t>
  </si>
  <si>
    <t>Days to Start</t>
  </si>
  <si>
    <t>Plan Days</t>
  </si>
  <si>
    <t>[42]</t>
  </si>
  <si>
    <t>{42}</t>
  </si>
  <si>
    <t>安全環境</t>
    <phoneticPr fontId="11" type="noConversion"/>
  </si>
  <si>
    <t>PRIORITY
(優先度)</t>
    <phoneticPr fontId="11" type="noConversion"/>
  </si>
  <si>
    <t>TASK
(任務)</t>
    <phoneticPr fontId="11" type="noConversion"/>
  </si>
  <si>
    <t>PROJECT
(主題)</t>
    <phoneticPr fontId="11" type="noConversion"/>
  </si>
  <si>
    <t>START
(起始)</t>
    <phoneticPr fontId="11" type="noConversion"/>
  </si>
  <si>
    <t>PLAN END
(計畫結束)</t>
    <phoneticPr fontId="11" type="noConversion"/>
  </si>
  <si>
    <t>ACTUAL END
(實際結束)</t>
    <phoneticPr fontId="11" type="noConversion"/>
  </si>
  <si>
    <t>2017年度素材製造二課【重 點 課 題】-CF 陳俊碩</t>
    <phoneticPr fontId="11" type="noConversion"/>
  </si>
  <si>
    <t>Complete
(完成)</t>
    <phoneticPr fontId="11" type="noConversion"/>
  </si>
  <si>
    <t>Slippage
(延遲)</t>
    <phoneticPr fontId="11" type="noConversion"/>
  </si>
  <si>
    <t>人材育成</t>
    <phoneticPr fontId="11" type="noConversion"/>
  </si>
  <si>
    <t>設備保全</t>
    <phoneticPr fontId="11" type="noConversion"/>
  </si>
  <si>
    <t>卓越製造</t>
    <phoneticPr fontId="11" type="noConversion"/>
  </si>
  <si>
    <t>頻度</t>
    <phoneticPr fontId="11" type="noConversion"/>
  </si>
  <si>
    <t>1月</t>
    <phoneticPr fontId="11" type="noConversion"/>
  </si>
  <si>
    <t>2月</t>
    <phoneticPr fontId="11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</si>
  <si>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</si>
  <si>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</si>
  <si>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</si>
  <si>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</si>
  <si>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</si>
  <si>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</si>
  <si>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</si>
  <si>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</si>
  <si>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</si>
  <si>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  <phoneticPr fontId="11" type="noConversion"/>
  </si>
  <si>
    <t>在此之上插入新行</t>
    <phoneticPr fontId="11" type="noConversion"/>
  </si>
  <si>
    <t>課內安全巡檢(A階以上)</t>
    <phoneticPr fontId="11" type="noConversion"/>
  </si>
  <si>
    <t>現場環境改善</t>
    <phoneticPr fontId="11" type="noConversion"/>
  </si>
  <si>
    <t>窯前集塵器再利用</t>
    <phoneticPr fontId="11" type="noConversion"/>
  </si>
  <si>
    <t>莊勝傑 育成(C階)</t>
    <phoneticPr fontId="11" type="noConversion"/>
  </si>
  <si>
    <t>蔡智宇 育成(B階)</t>
    <phoneticPr fontId="11" type="noConversion"/>
  </si>
  <si>
    <t>日文能力強化</t>
    <phoneticPr fontId="11" type="noConversion"/>
  </si>
  <si>
    <t>N窯保全強化</t>
    <phoneticPr fontId="11" type="noConversion"/>
  </si>
  <si>
    <t>調合異常撲滅(PEGAS@s)</t>
    <phoneticPr fontId="11" type="noConversion"/>
  </si>
  <si>
    <t>異常對應／對應演練</t>
    <phoneticPr fontId="11" type="noConversion"/>
  </si>
  <si>
    <t>泡／T棒改善</t>
    <phoneticPr fontId="11" type="noConversion"/>
  </si>
  <si>
    <t>回/週</t>
    <phoneticPr fontId="11" type="noConversion"/>
  </si>
  <si>
    <t>回/月</t>
    <phoneticPr fontId="11" type="noConversion"/>
  </si>
  <si>
    <t>回/2週</t>
    <phoneticPr fontId="11" type="noConversion"/>
  </si>
  <si>
    <t>人為Miss撲滅(異常預想)</t>
    <phoneticPr fontId="11" type="noConversion"/>
  </si>
  <si>
    <t>視作業</t>
    <phoneticPr fontId="11" type="noConversion"/>
  </si>
  <si>
    <t>視操作</t>
    <phoneticPr fontId="11" type="noConversion"/>
  </si>
  <si>
    <t>每日</t>
    <phoneticPr fontId="11" type="noConversion"/>
  </si>
  <si>
    <t>聯絡體制確保／再審視</t>
    <phoneticPr fontId="11" type="noConversion"/>
  </si>
  <si>
    <t>每日／月</t>
    <phoneticPr fontId="11" type="noConversion"/>
  </si>
  <si>
    <t>6回/年</t>
    <phoneticPr fontId="11" type="noConversion"/>
  </si>
  <si>
    <t>備註</t>
    <phoneticPr fontId="11" type="noConversion"/>
  </si>
  <si>
    <t>Incomplete
(未完)</t>
    <phoneticPr fontId="11" type="noConversion"/>
  </si>
  <si>
    <t>Ο</t>
    <phoneticPr fontId="11" type="noConversion"/>
  </si>
  <si>
    <t>Ο</t>
    <phoneticPr fontId="11" type="noConversion"/>
  </si>
  <si>
    <t>Ο</t>
    <phoneticPr fontId="11" type="noConversion"/>
  </si>
  <si>
    <t>Ο</t>
    <phoneticPr fontId="11" type="noConversion"/>
  </si>
  <si>
    <t>實施狀況：Ο 實施完成、Δ 實施中、╳ 未實施／未達成</t>
    <phoneticPr fontId="11" type="noConversion"/>
  </si>
  <si>
    <t>╳</t>
    <phoneticPr fontId="11" type="noConversion"/>
  </si>
  <si>
    <t>╳</t>
    <phoneticPr fontId="11" type="noConversion"/>
  </si>
  <si>
    <t>╳</t>
    <phoneticPr fontId="11" type="noConversion"/>
  </si>
  <si>
    <t>╳</t>
    <phoneticPr fontId="11" type="noConversion"/>
  </si>
  <si>
    <t>CF窯生產量1050ｋ㎡達成</t>
    <phoneticPr fontId="11" type="noConversion"/>
  </si>
  <si>
    <t>0.012
0.016</t>
    <phoneticPr fontId="11" type="noConversion"/>
  </si>
  <si>
    <t>0.014
0.016</t>
    <phoneticPr fontId="11" type="noConversion"/>
  </si>
  <si>
    <t>0.019
0.016</t>
    <phoneticPr fontId="11" type="noConversion"/>
  </si>
  <si>
    <t>0.017
0.015</t>
    <phoneticPr fontId="11" type="noConversion"/>
  </si>
  <si>
    <t>計畫擬定中</t>
    <phoneticPr fontId="11" type="noConversion"/>
  </si>
  <si>
    <t>異常擴大避免</t>
    <phoneticPr fontId="11" type="noConversion"/>
  </si>
  <si>
    <t>EB-12水冷Jacket
J管素地洩漏</t>
    <phoneticPr fontId="11" type="noConversion"/>
  </si>
  <si>
    <t>0.5t 31Day換算</t>
    <phoneticPr fontId="11" type="noConversion"/>
  </si>
  <si>
    <t>品質技能報告會/2月一回</t>
    <phoneticPr fontId="11" type="noConversion"/>
  </si>
  <si>
    <t>日籍技術報告會/2月一回</t>
    <phoneticPr fontId="11" type="noConversion"/>
  </si>
  <si>
    <t>回/2月</t>
    <phoneticPr fontId="11" type="noConversion"/>
  </si>
  <si>
    <t>回/2月</t>
    <phoneticPr fontId="11" type="noConversion"/>
  </si>
  <si>
    <t>觀念</t>
    <phoneticPr fontId="11" type="noConversion"/>
  </si>
  <si>
    <t>報告內容提早審視</t>
    <phoneticPr fontId="11" type="noConversion"/>
  </si>
  <si>
    <t>╳</t>
    <phoneticPr fontId="11" type="noConversion"/>
  </si>
  <si>
    <t>7月中間發表，未入選</t>
    <phoneticPr fontId="11" type="noConversion"/>
  </si>
  <si>
    <t>連結：</t>
    <phoneticPr fontId="11" type="noConversion"/>
  </si>
  <si>
    <t>0.016
0.001</t>
    <phoneticPr fontId="11" type="noConversion"/>
  </si>
  <si>
    <t>0.019
0.002</t>
    <phoneticPr fontId="11" type="noConversion"/>
  </si>
  <si>
    <t>針棒規格5月開始適當化
NG規格：100→1200μm</t>
    <phoneticPr fontId="11" type="noConversion"/>
  </si>
  <si>
    <t>計畫擬定濟，細節待</t>
    <phoneticPr fontId="11" type="noConversion"/>
  </si>
  <si>
    <t>10月冷修預定為前提</t>
    <phoneticPr fontId="11" type="noConversion"/>
  </si>
  <si>
    <t>◆ 素材製造二課 CF Line 陳俊碩 職務交接 ◆</t>
    <phoneticPr fontId="11" type="noConversion"/>
  </si>
  <si>
    <t>◆ 交接期間：2017年8月1日～8月31日</t>
    <phoneticPr fontId="11" type="noConversion"/>
  </si>
  <si>
    <t>●</t>
    <phoneticPr fontId="11" type="noConversion"/>
  </si>
  <si>
    <t>連結：</t>
    <phoneticPr fontId="11" type="noConversion"/>
  </si>
  <si>
    <t>聯絡者：</t>
    <phoneticPr fontId="11" type="noConversion"/>
  </si>
  <si>
    <t>素品保-陳育祥、廖軍翔(預計接任 育祥) ； 出荷班-謝忠原、陳韋廷</t>
    <phoneticPr fontId="11" type="noConversion"/>
  </si>
  <si>
    <t>物化性、板厚SPC相關：</t>
    <phoneticPr fontId="11" type="noConversion"/>
  </si>
  <si>
    <t>◆ 職務名稱：CF 副理</t>
    <phoneticPr fontId="11" type="noConversion"/>
  </si>
  <si>
    <t>大／小早會主持：</t>
    <phoneticPr fontId="11" type="noConversion"/>
  </si>
  <si>
    <t>●</t>
    <phoneticPr fontId="11" type="noConversion"/>
  </si>
  <si>
    <t>需求：</t>
    <phoneticPr fontId="11" type="noConversion"/>
  </si>
  <si>
    <t>素材製造二課／CF HOT</t>
    <phoneticPr fontId="11" type="noConversion"/>
  </si>
  <si>
    <t>內容：</t>
    <phoneticPr fontId="11" type="noConversion"/>
  </si>
  <si>
    <t>大早會主持輪值，俊碩→桂福→小胖→啟全→羿崴→勝傑→小威→得祿(7/31～8/4)→雲舟→啟歆→從頭...，頻度：人／周</t>
    <phoneticPr fontId="11" type="noConversion"/>
  </si>
  <si>
    <t>CF生產概況、CF三交代中／夜班設備狀況、CF品質操作內容、CF HOT／Cold常日預定作業、EF生產概況…共通聯絡、宣導事項。</t>
    <phoneticPr fontId="11" type="noConversion"/>
  </si>
  <si>
    <t>內容 1：</t>
    <phoneticPr fontId="11" type="noConversion"/>
  </si>
  <si>
    <t>內容 2：</t>
    <phoneticPr fontId="11" type="noConversion"/>
  </si>
  <si>
    <t>CF HOT小早會輪值，俊碩→小胖→羿崴→勝傑→從頭…，頻度：人／周</t>
    <phoneticPr fontId="11" type="noConversion"/>
  </si>
  <si>
    <t>三交代操作及概況、窯區預定作業、調合／IF預定作業、製板預定作業(常日預定作業KY必要)、共通聯絡事項</t>
    <phoneticPr fontId="11" type="noConversion"/>
  </si>
  <si>
    <t>CF HOT事務所(早上製板Data更新必要)</t>
    <phoneticPr fontId="11" type="noConversion"/>
  </si>
  <si>
    <t>窯、調合、I/F，NG欠點推移狀況，窯溫概況( DCS Trend列印說明 )</t>
    <phoneticPr fontId="11" type="noConversion"/>
  </si>
  <si>
    <t>擔當：</t>
    <phoneticPr fontId="11" type="noConversion"/>
  </si>
  <si>
    <t>製板，Settin狀況、T面狀況、B面狀況( 品質推移Trend檔案使用 )</t>
    <phoneticPr fontId="11" type="noConversion"/>
  </si>
  <si>
    <t>智宇(主)、羿崴(副)</t>
    <phoneticPr fontId="11" type="noConversion"/>
  </si>
  <si>
    <t>延命相關：</t>
    <phoneticPr fontId="11" type="noConversion"/>
  </si>
  <si>
    <t>羿崴(主)、智宇(副)，視預定作業狀況</t>
    <phoneticPr fontId="11" type="noConversion"/>
  </si>
  <si>
    <t>勝傑，Data更新 智宇 協助，休假代理：羿崴</t>
    <phoneticPr fontId="11" type="noConversion"/>
  </si>
  <si>
    <t>●</t>
    <phoneticPr fontId="11" type="noConversion"/>
  </si>
  <si>
    <t>Data更新、審視</t>
    <phoneticPr fontId="11" type="noConversion"/>
  </si>
  <si>
    <t>頻度：</t>
    <phoneticPr fontId="11" type="noConversion"/>
  </si>
  <si>
    <t>上班日，素品早會前</t>
    <phoneticPr fontId="11" type="noConversion"/>
  </si>
  <si>
    <t>素板品質保證課</t>
    <phoneticPr fontId="11" type="noConversion"/>
  </si>
  <si>
    <t>1、CF操作Evnt(概述即可，詳細數據不用)→品質懸念→處置(其實是Event的結果：良化 or 惡化 or 持平 or 再觀察)</t>
    <phoneticPr fontId="11" type="noConversion"/>
  </si>
  <si>
    <t>2、各窯物化性狀況確認、板厚SPC確認，質問的回覆…</t>
    <phoneticPr fontId="11" type="noConversion"/>
  </si>
  <si>
    <t>3、素品保 相關事項聯絡</t>
    <phoneticPr fontId="11" type="noConversion"/>
  </si>
  <si>
    <t>午會主持：( 若有工事日，隔天午修提前30分鐘  12：30→12：00 )</t>
    <phoneticPr fontId="11" type="noConversion"/>
  </si>
  <si>
    <t>CF HOT</t>
    <phoneticPr fontId="11" type="noConversion"/>
  </si>
  <si>
    <t>需求：</t>
    <phoneticPr fontId="11" type="noConversion"/>
  </si>
  <si>
    <t>輪值同CF HOT小早會，窯區作業狀況、調合／IF作業狀況、製板作業狀況、三交代調整及品質概況</t>
    <phoneticPr fontId="11" type="noConversion"/>
  </si>
  <si>
    <t>◆ 每日 定例內容：</t>
    <phoneticPr fontId="11" type="noConversion"/>
  </si>
  <si>
    <t>◇</t>
    <phoneticPr fontId="11" type="noConversion"/>
  </si>
  <si>
    <t>午休時間  12：30～13：30</t>
    <phoneticPr fontId="11" type="noConversion"/>
  </si>
  <si>
    <t>夕操作會議：</t>
    <phoneticPr fontId="11" type="noConversion"/>
  </si>
  <si>
    <t>早操作會議：</t>
    <phoneticPr fontId="11" type="noConversion"/>
  </si>
  <si>
    <t>內容 1：</t>
    <phoneticPr fontId="11" type="noConversion"/>
  </si>
  <si>
    <t>CF HOT事務所</t>
    <phoneticPr fontId="11" type="noConversion"/>
  </si>
  <si>
    <t>三交代 中班 股長</t>
    <phoneticPr fontId="11" type="noConversion"/>
  </si>
  <si>
    <t>生產實績、欠點密度推移、Setting狀況報告</t>
    <phoneticPr fontId="11" type="noConversion"/>
  </si>
  <si>
    <t>勝傑，休假代理：羿崴</t>
    <phoneticPr fontId="11" type="noConversion"/>
  </si>
  <si>
    <t>內容 3：</t>
    <phoneticPr fontId="11" type="noConversion"/>
  </si>
  <si>
    <t>製板-Settin狀況、製板欠點審視(PAM)、T面狀況、B面狀況( 品質推移Trend檔案使用 )</t>
    <phoneticPr fontId="11" type="noConversion"/>
  </si>
  <si>
    <t>NG欠點推移狀況、窯+I/F 生產狀況( 品質推移Trend檔案使用 )、組成應答曲線</t>
    <phoneticPr fontId="11" type="noConversion"/>
  </si>
  <si>
    <t>羿崴(主)、智宇(副)，視作業及設備狀況</t>
    <phoneticPr fontId="11" type="noConversion"/>
  </si>
  <si>
    <t>◆ 其餘 定例內容：</t>
    <phoneticPr fontId="11" type="noConversion"/>
  </si>
  <si>
    <t>素品保早會：約09：20 開始～</t>
    <phoneticPr fontId="11" type="noConversion"/>
  </si>
  <si>
    <t>台南V委員會：</t>
    <phoneticPr fontId="11" type="noConversion"/>
  </si>
  <si>
    <t>頻度：</t>
    <phoneticPr fontId="11" type="noConversion"/>
  </si>
  <si>
    <t>每周三午後13：30～14：30(約)</t>
    <phoneticPr fontId="11" type="noConversion"/>
  </si>
  <si>
    <t>地點：</t>
    <phoneticPr fontId="11" type="noConversion"/>
  </si>
  <si>
    <t>Fab-2 TV會議室 or KF TV會議室(視狀況連絡)</t>
    <phoneticPr fontId="11" type="noConversion"/>
  </si>
  <si>
    <t>報告者：</t>
    <phoneticPr fontId="11" type="noConversion"/>
  </si>
  <si>
    <t>連結：</t>
    <phoneticPr fontId="11" type="noConversion"/>
  </si>
  <si>
    <t>勝傑( 包含Data彙整 )</t>
    <phoneticPr fontId="11" type="noConversion"/>
  </si>
  <si>
    <t>註：</t>
    <phoneticPr fontId="11" type="noConversion"/>
  </si>
  <si>
    <t>技術月報會：</t>
    <phoneticPr fontId="11" type="noConversion"/>
  </si>
  <si>
    <t>J、KF Meter室間的大會議室</t>
    <phoneticPr fontId="11" type="noConversion"/>
  </si>
  <si>
    <t>各課副理</t>
    <phoneticPr fontId="11" type="noConversion"/>
  </si>
  <si>
    <t>\\172.18.154.189\mfgfs\04 共通\素材製造共通\技術報告会資料</t>
  </si>
  <si>
    <t>以及生產數量、Loss掌握的狀況(包含下個月份的數量預估)</t>
    <phoneticPr fontId="11" type="noConversion"/>
  </si>
  <si>
    <t>◆ 職務內容：CF Line Leader( 課長輔佐 )，生產管理( 這個四個字範圍很廣 )</t>
    <phoneticPr fontId="11" type="noConversion"/>
  </si>
  <si>
    <t>4、生管每周一會報告受拡概況</t>
    <phoneticPr fontId="11" type="noConversion"/>
  </si>
  <si>
    <t>月報會每月日期約在 每月的5～10日之間，所以，月初前先與 白石先生 進行Data的Review，</t>
    <phoneticPr fontId="11" type="noConversion"/>
  </si>
  <si>
    <t>ANQC會議：</t>
    <phoneticPr fontId="11" type="noConversion"/>
  </si>
  <si>
    <t>我已經一段時間沒參加了…沒有特別議題的話</t>
    <phoneticPr fontId="11" type="noConversion"/>
  </si>
  <si>
    <t>每月一回(分兩天)、午後，時間視聯絡( 約 14：00～16：00 )</t>
    <phoneticPr fontId="11" type="noConversion"/>
  </si>
  <si>
    <t>Fab-1 第一會議室</t>
    <phoneticPr fontId="11" type="noConversion"/>
  </si>
  <si>
    <t>若無相關異常 被要求須提出報告時，基本上不用準備報告</t>
    <phoneticPr fontId="11" type="noConversion"/>
  </si>
  <si>
    <t>每月一回( 約在月底，本月8/29 )，時間約14：00～實際視素板品質保證課 聯絡</t>
    <phoneticPr fontId="11" type="noConversion"/>
  </si>
  <si>
    <t>ANQC會議中，會有品質相關宣導事項，若無法出席時，須向包裝 寧威 協調其中一人出席，</t>
    <phoneticPr fontId="11" type="noConversion"/>
  </si>
  <si>
    <t>避免橫展開內容未確實宣達。</t>
    <phoneticPr fontId="11" type="noConversion"/>
  </si>
  <si>
    <t>人員：</t>
    <phoneticPr fontId="11" type="noConversion"/>
  </si>
  <si>
    <t>◆ 管理：</t>
    <phoneticPr fontId="11" type="noConversion"/>
  </si>
  <si>
    <t>整備：</t>
    <phoneticPr fontId="11" type="noConversion"/>
  </si>
  <si>
    <t>主任( 小胖 )對整備人員的整合以及管理，因為小胖慢慢熟悉三交代人員狀況中，</t>
    <phoneticPr fontId="11" type="noConversion"/>
  </si>
  <si>
    <t>因此在三區的股長掌握以及三交代整體的掌握，我這裡也都會了解(多方、多人確認)</t>
    <phoneticPr fontId="11" type="noConversion"/>
  </si>
  <si>
    <t>三交代：</t>
    <phoneticPr fontId="11" type="noConversion"/>
  </si>
  <si>
    <t>因為D/O回收 BP業者撤除，所以，三交代各組 5人制( 2017年7月1日開始 )，</t>
    <phoneticPr fontId="11" type="noConversion"/>
  </si>
  <si>
    <t>各組戰力部分：</t>
    <phoneticPr fontId="11" type="noConversion"/>
  </si>
  <si>
    <t>窯區：整體較沒問題，不過，調合部分一直以來還是很令人擔心的區塊，</t>
    <phoneticPr fontId="11" type="noConversion"/>
  </si>
  <si>
    <t xml:space="preserve">           雖然調合異常現況不多，但是這反而會加讓人的危機意識低下，</t>
    <phoneticPr fontId="11" type="noConversion"/>
  </si>
  <si>
    <t xml:space="preserve">           之前，有聯絡調合異常對應意識喚醒，不過，似乎被忽略了，會再次聯絡、追蹤。</t>
    <phoneticPr fontId="11" type="noConversion"/>
  </si>
  <si>
    <t>I/F   ：操作不多，但是異常對應也是需要留意的，雖然有TUT的教育，不過後續的能力維持</t>
    <phoneticPr fontId="11" type="noConversion"/>
  </si>
  <si>
    <t xml:space="preserve">           是需要注意的。</t>
    <phoneticPr fontId="11" type="noConversion"/>
  </si>
  <si>
    <t>製板：四組的Spout Man是經驗較不足的，原本在該組的Spout Man(藍英睿)去ADCH支援時，</t>
    <phoneticPr fontId="11" type="noConversion"/>
  </si>
  <si>
    <t xml:space="preserve">            會較擔心，不過，佑霖在實際上線操作後，看起來反而能力的提升，還算可接受範圍；</t>
    <phoneticPr fontId="11" type="noConversion"/>
  </si>
  <si>
    <t xml:space="preserve">            現在加上金泉可以協助，應該較沒問題；不過，若 英睿 返回後，還是希望可以回到四組。</t>
    <phoneticPr fontId="11" type="noConversion"/>
  </si>
  <si>
    <t>三交代人員調整的部分(ADCH支援相關)：</t>
    <phoneticPr fontId="11" type="noConversion"/>
  </si>
  <si>
    <t>上回與 雲舟 哥 討論，暫定：CF 二組林柏宏(班長)→EF 二組接窯擔當兼任班長職務</t>
    <phoneticPr fontId="11" type="noConversion"/>
  </si>
  <si>
    <t xml:space="preserve">                                                CF 四組林佑霖(製板)→CF二組接任(製板 或 I/F 而股長決定)</t>
    <phoneticPr fontId="11" type="noConversion"/>
  </si>
  <si>
    <t xml:space="preserve">                                                藍英睿→CF 四組 接任( 製板 )</t>
    <phoneticPr fontId="11" type="noConversion"/>
  </si>
  <si>
    <t xml:space="preserve">                                                謝佳興→EF 三組 接任( 窯 )</t>
    <phoneticPr fontId="11" type="noConversion"/>
  </si>
  <si>
    <t>窯/排脫：</t>
    <phoneticPr fontId="11" type="noConversion"/>
  </si>
  <si>
    <t>因為延命以及冷修準備加上ADCH支援，所以人力吃緊，已經從一課調整一員支援，並進行CF、EF的人力對調</t>
    <phoneticPr fontId="11" type="noConversion"/>
  </si>
  <si>
    <t>現況較沒問題；不過，祥和部分預計10月份會申請 育嬰 留職停薪，屆時ADCH支援的 季彰 會返回補足人力。</t>
    <phoneticPr fontId="11" type="noConversion"/>
  </si>
  <si>
    <t>冷修的準備部分，題陽 已經移動過來，可以銜接 祥和 的空缺。</t>
    <phoneticPr fontId="11" type="noConversion"/>
  </si>
  <si>
    <t>調合／Structure：現況人力三人，較沒問題，作業狀況以及互相配合默契也是很好的狀況；不過，在現階段ADT的調合、Structure整備</t>
    <phoneticPr fontId="11" type="noConversion"/>
  </si>
  <si>
    <t>在對應重大異常的人才是較少的，這部分有 跟 富堯 提過，要求在這個區塊持續專精。</t>
    <phoneticPr fontId="11" type="noConversion"/>
  </si>
  <si>
    <t>製板：</t>
    <phoneticPr fontId="11" type="noConversion"/>
  </si>
  <si>
    <t>CF的製板整備班，因為CF製板品質上，除了T棒、T異之外，整體是屬於安定的狀況( 特別是B面，據說是AGC的NO.1 )</t>
    <phoneticPr fontId="11" type="noConversion"/>
  </si>
  <si>
    <t>但是跟前面提到的一樣，相對的在異常對應能力，也會容易忽略，因此，有排定異常對應演練。</t>
    <phoneticPr fontId="11" type="noConversion"/>
  </si>
  <si>
    <t>另，針對冷修部分，已經開始在著手進行中，富松、士宏( 8/中～ADCH支援 ) 為主體進行準備</t>
    <phoneticPr fontId="11" type="noConversion"/>
  </si>
  <si>
    <t>在冷修準備的部分，以往最大的問題都是在道工具的部分，道工具在年初開始，就已經慢慢進行調查以及準備，</t>
    <phoneticPr fontId="11" type="noConversion"/>
  </si>
  <si>
    <t>另外，本周(8/14)開始 益誠 也已經移動過來協助這部分的準備。</t>
    <phoneticPr fontId="11" type="noConversion"/>
  </si>
  <si>
    <t>CF3熱下準備：</t>
    <phoneticPr fontId="11" type="noConversion"/>
  </si>
  <si>
    <t>整備作業總覽：</t>
    <phoneticPr fontId="11" type="noConversion"/>
  </si>
  <si>
    <t>三交代、整備 均有輪值排定區域進行掃除，所以，在5S的部分，除了窯前的粉塵之外，就是現場的物品擺放，</t>
    <phoneticPr fontId="11" type="noConversion"/>
  </si>
  <si>
    <t>現場物品的擺放，從今年2月開始都有持續有再進行整理。</t>
    <phoneticPr fontId="11" type="noConversion"/>
  </si>
  <si>
    <t>\\172.18.154.189\mfgfs\04 共通\042 素製二共通\01 CF\整備班相關資料\CF-3 各區作業檢視\CF HOT現場環境改善計畫.xlsx</t>
  </si>
  <si>
    <t>計畫表：</t>
    <phoneticPr fontId="11" type="noConversion"/>
  </si>
  <si>
    <t>自主巡檢：</t>
    <phoneticPr fontId="11" type="noConversion"/>
  </si>
  <si>
    <t>環境改善：</t>
    <phoneticPr fontId="11" type="noConversion"/>
  </si>
  <si>
    <t>安全管理：</t>
    <phoneticPr fontId="11" type="noConversion"/>
  </si>
  <si>
    <t>預計10月初 另一梯次移動：賴仁義( EF 一組 )、王瀅勝( EF 二組 )，原ADCH支援返回：謝家興( EF )、藍英睿( CF )</t>
    <phoneticPr fontId="11" type="noConversion"/>
  </si>
  <si>
    <t>產量管理：</t>
    <phoneticPr fontId="11" type="noConversion"/>
  </si>
  <si>
    <t>簽核：</t>
    <phoneticPr fontId="11" type="noConversion"/>
  </si>
  <si>
    <t>課內自主巡檢計畫，則依照排定的組別，實施安全巡檢，A階提出指責必要，藉由 A階指責的方式，訓練同仁的發現危害風險的能力。</t>
    <phoneticPr fontId="11" type="noConversion"/>
  </si>
  <si>
    <t>○</t>
    <phoneticPr fontId="11" type="noConversion"/>
  </si>
  <si>
    <t>修消費使用：因 Cost 管理，加上因為冷修(道工具)、延命的準備，今年年初的修消費使用會有過頭的疑慮，</t>
    <phoneticPr fontId="11" type="noConversion"/>
  </si>
  <si>
    <t xml:space="preserve">  所以，當時有追加我這邊進行審核：需求者→小胖→我→助理，現況已經沒特別問題(稍微超過OK)，</t>
    <phoneticPr fontId="11" type="noConversion"/>
  </si>
  <si>
    <t xml:space="preserve">  就直接讓小胖審核後，每個月，進行修消費的總量確認即可( 總費用為HOT+Cold )。</t>
    <phoneticPr fontId="11" type="noConversion"/>
  </si>
  <si>
    <t xml:space="preserve">  所以就直接將整備班的考勤表單交由 小胖 進行審核。</t>
    <phoneticPr fontId="11" type="noConversion"/>
  </si>
  <si>
    <t>工事、作業前安全面提醒：為了營造同仁的安全意識、觀念，以及創造安全職場，每回特殊作業以及工事前，</t>
    <phoneticPr fontId="11" type="noConversion"/>
  </si>
  <si>
    <t>幾乎都會不厭其煩的對同仁多加提醒，避免會因為疏忽，造成無法挽回的狀況。</t>
    <phoneticPr fontId="11" type="noConversion"/>
  </si>
  <si>
    <t>三交代表單簽核：包含Easy Flow、換休單…等。整備班原本也是我這邊進行審核，不過量太大了，加上小胖這邊需要掌握人力狀況，</t>
    <phoneticPr fontId="11" type="noConversion"/>
  </si>
  <si>
    <t>團體作業以及氛圍，是我較為注重的一環，所以，我會不時的視人員狀況，進行面談，以利掌握人員動態，以及有可能的變動(例：離職…等)</t>
    <phoneticPr fontId="11" type="noConversion"/>
  </si>
  <si>
    <t>HOT整體：</t>
    <phoneticPr fontId="11" type="noConversion"/>
  </si>
  <si>
    <t>包裝：</t>
    <phoneticPr fontId="11" type="noConversion"/>
  </si>
  <si>
    <t>包裝的狀況我這裡也會進行確認( 包含人員狀況 )，特別是安全，不過這是我自己與小威的默契( 我的目的：培養以及改變包裝的思考 )</t>
    <phoneticPr fontId="11" type="noConversion"/>
  </si>
  <si>
    <t>以往的管理方式，都是藉由 F/B 中反應，又 F/B 中又會視主官管的管理方式，所得到的資訊而有所差異；因此，我對於人員的狀態掌握，</t>
    <phoneticPr fontId="11" type="noConversion"/>
  </si>
  <si>
    <t>以及跟人員的交談，算是比較頻繁的。</t>
    <phoneticPr fontId="11" type="noConversion"/>
  </si>
  <si>
    <t xml:space="preserve">  都會經由這邊。</t>
    <phoneticPr fontId="11" type="noConversion"/>
  </si>
  <si>
    <t>事務所表單簽核：事務所的表單，也都是由我這邊進行簽核( 智宇 在小胖那邊，若需要可以進行變更 )。</t>
    <phoneticPr fontId="11" type="noConversion"/>
  </si>
  <si>
    <t>◎</t>
    <phoneticPr fontId="11" type="noConversion"/>
  </si>
  <si>
    <t>投入口白金：因CF3 投入口種瓦侵蝕速度快，所以，在CF3前期有在投入口內側設置 白金棒進行導電接地( 避免電極侵蝕種瓦 )，</t>
    <phoneticPr fontId="11" type="noConversion"/>
  </si>
  <si>
    <t xml:space="preserve">   不過，在投入口擋瓦工事後，有將 白金棒 拔除，發現右側投入口的白金棒 下段已經斷裂掉落在窯內；2016年4月</t>
    <phoneticPr fontId="11" type="noConversion"/>
  </si>
  <si>
    <t xml:space="preserve">   因為投入口集塵機啟動關係，造成投入口溫度上升(氣流影響)，進而造成白金異物多發( 約1個月 )，</t>
    <phoneticPr fontId="11" type="noConversion"/>
  </si>
  <si>
    <t xml:space="preserve">   所以，有進行投入口的溫度管理。</t>
    <phoneticPr fontId="11" type="noConversion"/>
  </si>
  <si>
    <t>報告連結：</t>
    <phoneticPr fontId="11" type="noConversion"/>
  </si>
  <si>
    <t>\\172.18.154.189\mfgfs\04 共通\素材製造共通\技術報告会資料\2016年\20160510\CF\CF白金2016.xlsx</t>
  </si>
  <si>
    <t>窯EB-12 鉬電極水冷Jacket水洩漏：2016年11月進行Re-Cooling流量計更換時，EB-12 鉬電極的水冷Jacket發生水洩漏的狀況</t>
    <phoneticPr fontId="11" type="noConversion"/>
  </si>
  <si>
    <t xml:space="preserve">   為了降低背壓( 排外 )且Re-Cooling的成本較高，因此將 EB-12 的水冷Jacket 水源變更為軟水使用(公用配合)，</t>
    <phoneticPr fontId="11" type="noConversion"/>
  </si>
  <si>
    <t xml:space="preserve">   另，為了避免水洩漏處的位置會有素地洩漏的疑慮，因此在水冷Jacket的下方有增設一個 馬蹄水盒 冷卻(軟水)，</t>
    <phoneticPr fontId="11" type="noConversion"/>
  </si>
  <si>
    <t xml:space="preserve">   這兩個冷卻軟水的排水有增設攝影機監視，避免水流停止造成氣爆( 同時監視到水洩漏的下方確認是否漏水再發 )</t>
    <phoneticPr fontId="11" type="noConversion"/>
  </si>
  <si>
    <t xml:space="preserve">   相關影響如報告。</t>
    <phoneticPr fontId="11" type="noConversion"/>
  </si>
  <si>
    <r>
      <t xml:space="preserve">\\172.18.154.189\mfgfs\04 </t>
    </r>
    <r>
      <rPr>
        <u/>
        <sz val="10"/>
        <color indexed="12"/>
        <rFont val="微軟正黑體"/>
        <family val="2"/>
      </rPr>
      <t>共通</t>
    </r>
    <r>
      <rPr>
        <u/>
        <sz val="10"/>
        <color indexed="12"/>
        <rFont val="Arial"/>
        <family val="2"/>
      </rPr>
      <t>\</t>
    </r>
    <r>
      <rPr>
        <u/>
        <sz val="10"/>
        <color indexed="12"/>
        <rFont val="微軟正黑體"/>
        <family val="2"/>
      </rPr>
      <t>素材製造共通</t>
    </r>
    <r>
      <rPr>
        <u/>
        <sz val="10"/>
        <color indexed="12"/>
        <rFont val="Arial"/>
        <family val="2"/>
      </rPr>
      <t>\</t>
    </r>
    <r>
      <rPr>
        <u/>
        <sz val="10"/>
        <color indexed="12"/>
        <rFont val="微軟正黑體"/>
        <family val="2"/>
      </rPr>
      <t>技術報告会資料</t>
    </r>
    <r>
      <rPr>
        <u/>
        <sz val="10"/>
        <color indexed="12"/>
        <rFont val="Arial"/>
        <family val="2"/>
      </rPr>
      <t>\2016</t>
    </r>
    <r>
      <rPr>
        <u/>
        <sz val="10"/>
        <color indexed="12"/>
        <rFont val="微軟正黑體"/>
        <family val="2"/>
      </rPr>
      <t>年</t>
    </r>
    <r>
      <rPr>
        <u/>
        <sz val="10"/>
        <color indexed="12"/>
        <rFont val="Arial"/>
        <family val="2"/>
      </rPr>
      <t>\20161209\CF\Data\CF</t>
    </r>
    <r>
      <rPr>
        <u/>
        <sz val="10"/>
        <color indexed="12"/>
        <rFont val="微軟正黑體"/>
        <family val="2"/>
      </rPr>
      <t>窯</t>
    </r>
    <r>
      <rPr>
        <u/>
        <sz val="10"/>
        <color indexed="12"/>
        <rFont val="Arial"/>
        <family val="2"/>
      </rPr>
      <t xml:space="preserve"> EB-12 </t>
    </r>
    <r>
      <rPr>
        <u/>
        <sz val="10"/>
        <color indexed="12"/>
        <rFont val="微軟正黑體"/>
        <family val="2"/>
      </rPr>
      <t>水冷匣洩漏概況</t>
    </r>
    <r>
      <rPr>
        <u/>
        <sz val="10"/>
        <color indexed="12"/>
        <rFont val="Arial"/>
        <family val="2"/>
      </rPr>
      <t>-2016.11.24.xlsx</t>
    </r>
    <phoneticPr fontId="11" type="noConversion"/>
  </si>
  <si>
    <t>I/F J管素地洩漏：I/F 上升管的壓蓋位置，很多窯爐發生過速地洩漏狀況，CF3 在2016年9月初開始，T-1241的溫度開始明顯上升，</t>
    <phoneticPr fontId="11" type="noConversion"/>
  </si>
  <si>
    <t xml:space="preserve">   素地洩漏開始發生；過後，在上升管的相關溫度也開始變化；後續進行了氣冷、水冷、冷氣使用的強化冷卻，</t>
    <phoneticPr fontId="11" type="noConversion"/>
  </si>
  <si>
    <t xml:space="preserve">   相關的管理紀錄如下連結。</t>
    <phoneticPr fontId="11" type="noConversion"/>
  </si>
  <si>
    <t>管理Data：</t>
    <phoneticPr fontId="11" type="noConversion"/>
  </si>
  <si>
    <r>
      <t xml:space="preserve">\\172.18.154.189\mfgfs\04 </t>
    </r>
    <r>
      <rPr>
        <u/>
        <sz val="10"/>
        <color indexed="12"/>
        <rFont val="微軟正黑體"/>
        <family val="2"/>
      </rPr>
      <t>共通</t>
    </r>
    <r>
      <rPr>
        <u/>
        <sz val="10"/>
        <color indexed="12"/>
        <rFont val="Arial"/>
        <family val="2"/>
      </rPr>
      <t xml:space="preserve">\042 </t>
    </r>
    <r>
      <rPr>
        <u/>
        <sz val="10"/>
        <color indexed="12"/>
        <rFont val="微軟正黑體"/>
        <family val="2"/>
      </rPr>
      <t>素製二共通</t>
    </r>
    <r>
      <rPr>
        <u/>
        <sz val="10"/>
        <color indexed="12"/>
        <rFont val="Arial"/>
        <family val="2"/>
      </rPr>
      <t>\01 CF\</t>
    </r>
    <r>
      <rPr>
        <u/>
        <sz val="10"/>
        <color indexed="12"/>
        <rFont val="微軟正黑體"/>
        <family val="2"/>
      </rPr>
      <t>三交代</t>
    </r>
    <r>
      <rPr>
        <u/>
        <sz val="10"/>
        <color indexed="12"/>
        <rFont val="Arial"/>
        <family val="2"/>
      </rPr>
      <t>-CF2\</t>
    </r>
    <r>
      <rPr>
        <u/>
        <sz val="10"/>
        <color indexed="12"/>
        <rFont val="微軟正黑體"/>
        <family val="2"/>
      </rPr>
      <t>品質操作概況</t>
    </r>
    <r>
      <rPr>
        <u/>
        <sz val="10"/>
        <color indexed="12"/>
        <rFont val="Arial"/>
        <family val="2"/>
      </rPr>
      <t>\chunshuo\CF3\IF\J</t>
    </r>
    <r>
      <rPr>
        <u/>
        <sz val="10"/>
        <color indexed="12"/>
        <rFont val="微軟正黑體"/>
        <family val="2"/>
      </rPr>
      <t>管押さえ蓋トラブル防止管理</t>
    </r>
    <phoneticPr fontId="11" type="noConversion"/>
  </si>
  <si>
    <t xml:space="preserve">   2016年2月台南大地震，當時在Bath的1-2 Sec間R/G( 伽利略 )與右側Side Wall間的保溫煉瓦掉落，有進行取外</t>
    <phoneticPr fontId="11" type="noConversion"/>
  </si>
  <si>
    <t>溝通協調：</t>
    <phoneticPr fontId="11" type="noConversion"/>
  </si>
  <si>
    <t>人力狀況掌握，異常對應時的人力支援判斷、連絡( 或太空包支援 )；設備異常時的協力單位聯絡：設備技術；</t>
    <phoneticPr fontId="11" type="noConversion"/>
  </si>
  <si>
    <t>線上生產的相關調整，例：試驗分析課的協調、設備技術協調、素品保相關聯絡…等。</t>
    <phoneticPr fontId="11" type="noConversion"/>
  </si>
  <si>
    <t>助理表單簽核：助理的管理部分也是需要Cover到，所以不管是助理的工作內容問題，或相關事務聯絡、表單簽核，</t>
    <phoneticPr fontId="11" type="noConversion"/>
  </si>
  <si>
    <t>一般的認知，產量管理=生產管理，其實不然，產量管理只是生產管理中的一環，不過，因為大部分人的認知是這樣，</t>
    <phoneticPr fontId="11" type="noConversion"/>
  </si>
  <si>
    <t xml:space="preserve">   實際影響，右側Edge容易有T面異物，相關如下：</t>
    <phoneticPr fontId="11" type="noConversion"/>
  </si>
  <si>
    <t>紀錄Data：</t>
    <phoneticPr fontId="11" type="noConversion"/>
  </si>
  <si>
    <t>設備異常( 大項目 )：</t>
    <phoneticPr fontId="11" type="noConversion"/>
  </si>
  <si>
    <r>
      <t xml:space="preserve">\\172.18.154.189\mfgfs\04 </t>
    </r>
    <r>
      <rPr>
        <u/>
        <sz val="10"/>
        <color indexed="12"/>
        <rFont val="微軟正黑體"/>
        <family val="2"/>
      </rPr>
      <t>共通</t>
    </r>
    <r>
      <rPr>
        <u/>
        <sz val="10"/>
        <color indexed="12"/>
        <rFont val="Arial"/>
        <family val="2"/>
      </rPr>
      <t>\</t>
    </r>
    <r>
      <rPr>
        <u/>
        <sz val="10"/>
        <color indexed="12"/>
        <rFont val="微軟正黑體"/>
        <family val="2"/>
      </rPr>
      <t>素材製造共通</t>
    </r>
    <r>
      <rPr>
        <u/>
        <sz val="10"/>
        <color indexed="12"/>
        <rFont val="Arial"/>
        <family val="2"/>
      </rPr>
      <t>\</t>
    </r>
    <r>
      <rPr>
        <u/>
        <sz val="10"/>
        <color indexed="12"/>
        <rFont val="微軟正黑體"/>
        <family val="2"/>
      </rPr>
      <t>技術報告会資料</t>
    </r>
    <r>
      <rPr>
        <u/>
        <sz val="10"/>
        <color indexed="12"/>
        <rFont val="Arial"/>
        <family val="2"/>
      </rPr>
      <t>\2016</t>
    </r>
    <r>
      <rPr>
        <u/>
        <sz val="10"/>
        <color indexed="12"/>
        <rFont val="微軟正黑體"/>
        <family val="2"/>
      </rPr>
      <t>年</t>
    </r>
    <r>
      <rPr>
        <u/>
        <sz val="10"/>
        <color indexed="12"/>
        <rFont val="Arial"/>
        <family val="2"/>
      </rPr>
      <t xml:space="preserve">\20160307\CF\Data\CF3 20160206 </t>
    </r>
    <r>
      <rPr>
        <u/>
        <sz val="10"/>
        <color indexed="12"/>
        <rFont val="微軟正黑體"/>
        <family val="2"/>
      </rPr>
      <t>地震時落下煉瓦</t>
    </r>
    <r>
      <rPr>
        <u/>
        <sz val="10"/>
        <color indexed="12"/>
        <rFont val="Arial"/>
        <family val="2"/>
      </rPr>
      <t>.xlsx</t>
    </r>
    <phoneticPr fontId="11" type="noConversion"/>
  </si>
  <si>
    <t>Bath 1-2 Sec間R/G( 伽利略 )與Side Wall的仕舞煉瓦(R側)掉落：</t>
    <phoneticPr fontId="11" type="noConversion"/>
  </si>
  <si>
    <r>
      <t xml:space="preserve">\\172.18.154.189\mfgfs\04 </t>
    </r>
    <r>
      <rPr>
        <u/>
        <sz val="10"/>
        <color indexed="12"/>
        <rFont val="微軟正黑體"/>
        <family val="2"/>
      </rPr>
      <t>共通</t>
    </r>
    <r>
      <rPr>
        <u/>
        <sz val="10"/>
        <color indexed="12"/>
        <rFont val="Arial"/>
        <family val="2"/>
      </rPr>
      <t xml:space="preserve">\042 </t>
    </r>
    <r>
      <rPr>
        <u/>
        <sz val="10"/>
        <color indexed="12"/>
        <rFont val="微軟正黑體"/>
        <family val="2"/>
      </rPr>
      <t>素製二共通</t>
    </r>
    <r>
      <rPr>
        <u/>
        <sz val="10"/>
        <color indexed="12"/>
        <rFont val="Arial"/>
        <family val="2"/>
      </rPr>
      <t>\03 CF EF</t>
    </r>
    <r>
      <rPr>
        <u/>
        <sz val="10"/>
        <color indexed="12"/>
        <rFont val="微軟正黑體"/>
        <family val="2"/>
      </rPr>
      <t>共通資料</t>
    </r>
    <r>
      <rPr>
        <u/>
        <sz val="10"/>
        <color indexed="12"/>
        <rFont val="Arial"/>
        <family val="2"/>
      </rPr>
      <t>\14</t>
    </r>
    <r>
      <rPr>
        <u/>
        <sz val="10"/>
        <color indexed="12"/>
        <rFont val="微軟正黑體"/>
        <family val="2"/>
      </rPr>
      <t>、</t>
    </r>
    <r>
      <rPr>
        <u/>
        <sz val="10"/>
        <color indexed="12"/>
        <rFont val="Arial"/>
        <family val="2"/>
      </rPr>
      <t>18 K\</t>
    </r>
    <r>
      <rPr>
        <u/>
        <sz val="10"/>
        <color indexed="12"/>
        <rFont val="微軟正黑體"/>
        <family val="2"/>
      </rPr>
      <t>巡檢缺失</t>
    </r>
    <r>
      <rPr>
        <u/>
        <sz val="10"/>
        <color indexed="12"/>
        <rFont val="Arial"/>
        <family val="2"/>
      </rPr>
      <t>\2017\</t>
    </r>
    <r>
      <rPr>
        <u/>
        <sz val="10"/>
        <color indexed="12"/>
        <rFont val="微軟正黑體"/>
        <family val="2"/>
      </rPr>
      <t>二課自主巡檢</t>
    </r>
    <phoneticPr fontId="11" type="noConversion"/>
  </si>
  <si>
    <t>另外，至少一個月會進行一次現場的審視、包含人員作業的狀況：走動式管理。</t>
    <phoneticPr fontId="11" type="noConversion"/>
  </si>
  <si>
    <t>品質改善：</t>
    <phoneticPr fontId="11" type="noConversion"/>
  </si>
  <si>
    <t>泡：</t>
    <phoneticPr fontId="11" type="noConversion"/>
  </si>
  <si>
    <t>異物：</t>
    <phoneticPr fontId="11" type="noConversion"/>
  </si>
  <si>
    <t>欠點密度大約落在0.010～0.030(突發)之間，占NG欠點比率約20～40%左右，</t>
    <phoneticPr fontId="11" type="noConversion"/>
  </si>
  <si>
    <t>欠點密度大約落在0.015～0.020之間，占NG欠點比率約35%左右；</t>
    <phoneticPr fontId="11" type="noConversion"/>
  </si>
  <si>
    <t>先前操作方向：窯投入口溫度(初期熔解)、Burner酸素富化( #8、9P，包含Cost Down-Gas↓ )、</t>
    <phoneticPr fontId="11" type="noConversion"/>
  </si>
  <si>
    <t xml:space="preserve">      Booster出力振替( M1循環 )、</t>
    <phoneticPr fontId="11" type="noConversion"/>
  </si>
  <si>
    <t>現況主要操作方向：Redox-2Nd Air倍率↑、Bubbler 使用氣體切替：N2→O2</t>
    <phoneticPr fontId="11" type="noConversion"/>
  </si>
  <si>
    <t>主要為內異：Ni黑泡( 窯Booster水冷Jacket、Bubbler 水冷Jacket …等SUS材質析出 )，另外突發為 Zr、Cr、T異</t>
    <phoneticPr fontId="11" type="noConversion"/>
  </si>
  <si>
    <t>Ni黑泡：</t>
    <phoneticPr fontId="11" type="noConversion"/>
  </si>
  <si>
    <t>窯水冷設備脫熱強化，Re-Cooling SP↓、Re-Cooling Pump HZ↑、Re-Cooling 流量下限管理</t>
    <phoneticPr fontId="11" type="noConversion"/>
  </si>
  <si>
    <t>現況，持續下降EH1、5出力中( 之前EB-12水冷Jacket漏水 )</t>
    <phoneticPr fontId="11" type="noConversion"/>
  </si>
  <si>
    <t>Zr：</t>
    <phoneticPr fontId="11" type="noConversion"/>
  </si>
  <si>
    <t>欠點型態為二次晶( 羽狀 )，發生源為Throat處( Facer、Tuck Stone )，冷卻強化。</t>
    <phoneticPr fontId="11" type="noConversion"/>
  </si>
  <si>
    <t>Cr：</t>
    <phoneticPr fontId="11" type="noConversion"/>
  </si>
  <si>
    <t>主要生成處 SAR #3槽，CF3有進行了一連串的對應：#3槽升溫、#3槽 N2 Flow↑、#3槽Shutter開度調整</t>
    <phoneticPr fontId="11" type="noConversion"/>
  </si>
  <si>
    <t>現況：#3槽開度約10%、#3槽 定期掃除(工事日)、每周#3槽Shutter開閉作動(一、四)</t>
    <phoneticPr fontId="11" type="noConversion"/>
  </si>
  <si>
    <t>整體較為安定，偶有突發不過次數不多。</t>
    <phoneticPr fontId="11" type="noConversion"/>
  </si>
  <si>
    <t>T異：</t>
    <phoneticPr fontId="11" type="noConversion"/>
  </si>
  <si>
    <t>如同上述設備異常的部分(伽利略-Side Wall間的仕舞煉瓦)，所以，在右側Edge的氣流會容易影響，</t>
    <phoneticPr fontId="11" type="noConversion"/>
  </si>
  <si>
    <t>在V/O超上游引的狀況下，呈現較不安定的狀態，現況，進行了下游V/O的振替後，R側Edge的T異，</t>
    <phoneticPr fontId="11" type="noConversion"/>
  </si>
  <si>
    <t>已經呈現較安定傾向。</t>
    <phoneticPr fontId="11" type="noConversion"/>
  </si>
  <si>
    <t>T棒：</t>
    <phoneticPr fontId="11" type="noConversion"/>
  </si>
  <si>
    <t>NG規格適當化後，欠點密度約 0.001～0.002 pcs/m2 左右，無特別問題。</t>
    <phoneticPr fontId="11" type="noConversion"/>
  </si>
  <si>
    <t>資料提供：</t>
    <phoneticPr fontId="11" type="noConversion"/>
  </si>
  <si>
    <t>每月底出荷Team( 忠原 )會確認該月的平均B/C比，平均B/C比計算，以每日的比例下去計算即可( 同月報Data )</t>
    <phoneticPr fontId="11" type="noConversion"/>
  </si>
  <si>
    <t>相關連結：</t>
    <phoneticPr fontId="11" type="noConversion"/>
  </si>
  <si>
    <t>\\172.18.154.189\mfgfs\04 共通\042 素製二共通\02 EF\EF入庫指示書\《EF窯》NONTAS実績\新Form</t>
  </si>
  <si>
    <t>Non-Tas率：</t>
    <phoneticPr fontId="11" type="noConversion"/>
  </si>
  <si>
    <t>TAS再流動：</t>
    <phoneticPr fontId="11" type="noConversion"/>
  </si>
  <si>
    <r>
      <t xml:space="preserve">\\172.18.154.189\mfg_public\00 </t>
    </r>
    <r>
      <rPr>
        <u/>
        <sz val="10"/>
        <color indexed="12"/>
        <rFont val="微軟正黑體"/>
        <family val="2"/>
      </rPr>
      <t>製造一部共通</t>
    </r>
    <r>
      <rPr>
        <u/>
        <sz val="10"/>
        <color indexed="12"/>
        <rFont val="Arial"/>
        <family val="2"/>
      </rPr>
      <t>\</t>
    </r>
    <r>
      <rPr>
        <u/>
        <sz val="10"/>
        <color indexed="12"/>
        <rFont val="微軟正黑體"/>
        <family val="2"/>
      </rPr>
      <t>本社研磨負荷日報</t>
    </r>
    <r>
      <rPr>
        <u/>
        <sz val="10"/>
        <color indexed="12"/>
        <rFont val="Arial"/>
        <family val="2"/>
      </rPr>
      <t>\</t>
    </r>
    <r>
      <rPr>
        <u/>
        <sz val="10"/>
        <color indexed="12"/>
        <rFont val="微軟正黑體"/>
        <family val="2"/>
      </rPr>
      <t>新ｆｏｒｍａｔ</t>
    </r>
    <phoneticPr fontId="11" type="noConversion"/>
  </si>
  <si>
    <t>種瓦：</t>
    <phoneticPr fontId="11" type="noConversion"/>
  </si>
  <si>
    <t>投入口部分，已經完成再擋瓦的設置(兩層，2015年2、3月)；</t>
    <phoneticPr fontId="11" type="noConversion"/>
  </si>
  <si>
    <t>橫壁的部分，較薄的位置落在F1區域，待總社決定今年10月是冷修？還是擋瓦工事？</t>
    <phoneticPr fontId="11" type="noConversion"/>
  </si>
  <si>
    <t>B/W：</t>
    <phoneticPr fontId="11" type="noConversion"/>
  </si>
  <si>
    <t>B/W的部分慢慢在侵蝕當中，若貫通過去的話，可能影響：平坦度、未silica( BF實績 )，</t>
    <phoneticPr fontId="11" type="noConversion"/>
  </si>
  <si>
    <t>不過CF與BF差異的部分是硅砂不同，CF使用的是微粒硅砂，所以在初期熔解後所造成的異質素地就理論來看，</t>
    <phoneticPr fontId="11" type="noConversion"/>
  </si>
  <si>
    <t>是較不會有問題的，不過還是需要注意。</t>
    <phoneticPr fontId="11" type="noConversion"/>
  </si>
  <si>
    <t>所以，容易將重心放在這裡；交接的部分，會只提到問題點，細節的部分就不特別說明；CF產量現況有需要改善以及注意的地方，如下：</t>
    <phoneticPr fontId="11" type="noConversion"/>
  </si>
  <si>
    <t>相關連結：</t>
    <phoneticPr fontId="11" type="noConversion"/>
  </si>
  <si>
    <r>
      <t xml:space="preserve">\\172.18.154.189\mfgfs\04 </t>
    </r>
    <r>
      <rPr>
        <u/>
        <sz val="10"/>
        <color indexed="12"/>
        <rFont val="微軟正黑體"/>
        <family val="2"/>
      </rPr>
      <t>共通</t>
    </r>
    <r>
      <rPr>
        <u/>
        <sz val="10"/>
        <color indexed="12"/>
        <rFont val="Arial"/>
        <family val="2"/>
      </rPr>
      <t xml:space="preserve">\042 </t>
    </r>
    <r>
      <rPr>
        <u/>
        <sz val="10"/>
        <color indexed="12"/>
        <rFont val="微軟正黑體"/>
        <family val="2"/>
      </rPr>
      <t>素製二共通</t>
    </r>
    <r>
      <rPr>
        <u/>
        <sz val="10"/>
        <color indexed="12"/>
        <rFont val="Arial"/>
        <family val="2"/>
      </rPr>
      <t>\01 CF\</t>
    </r>
    <r>
      <rPr>
        <u/>
        <sz val="10"/>
        <color indexed="12"/>
        <rFont val="微軟正黑體"/>
        <family val="2"/>
      </rPr>
      <t>整備班相關資料</t>
    </r>
    <r>
      <rPr>
        <u/>
        <sz val="10"/>
        <color indexed="12"/>
        <rFont val="Arial"/>
        <family val="2"/>
      </rPr>
      <t xml:space="preserve">\2017 </t>
    </r>
    <r>
      <rPr>
        <u/>
        <sz val="10"/>
        <color indexed="12"/>
        <rFont val="微軟正黑體"/>
        <family val="2"/>
      </rPr>
      <t>作業分配總覽</t>
    </r>
    <phoneticPr fontId="11" type="noConversion"/>
  </si>
  <si>
    <r>
      <t xml:space="preserve">\\172.18.154.189\mfgfs\04 </t>
    </r>
    <r>
      <rPr>
        <u/>
        <sz val="10"/>
        <color indexed="12"/>
        <rFont val="微軟正黑體"/>
        <family val="2"/>
      </rPr>
      <t>共通</t>
    </r>
    <r>
      <rPr>
        <u/>
        <sz val="10"/>
        <color indexed="12"/>
        <rFont val="Arial"/>
        <family val="2"/>
      </rPr>
      <t xml:space="preserve">\042 </t>
    </r>
    <r>
      <rPr>
        <u/>
        <sz val="10"/>
        <color indexed="12"/>
        <rFont val="微軟正黑體"/>
        <family val="2"/>
      </rPr>
      <t>素製二共通</t>
    </r>
    <r>
      <rPr>
        <u/>
        <sz val="10"/>
        <color indexed="12"/>
        <rFont val="Arial"/>
        <family val="2"/>
      </rPr>
      <t>\01 CF\CF4</t>
    </r>
    <r>
      <rPr>
        <u/>
        <sz val="10"/>
        <color indexed="12"/>
        <rFont val="微軟正黑體"/>
        <family val="2"/>
      </rPr>
      <t>冷修</t>
    </r>
    <r>
      <rPr>
        <u/>
        <sz val="10"/>
        <color indexed="12"/>
        <rFont val="Arial"/>
        <family val="2"/>
      </rPr>
      <t>\5.CF3</t>
    </r>
    <r>
      <rPr>
        <u/>
        <sz val="10"/>
        <color indexed="12"/>
        <rFont val="微軟正黑體"/>
        <family val="2"/>
      </rPr>
      <t>熱下準備</t>
    </r>
    <phoneticPr fontId="11" type="noConversion"/>
  </si>
  <si>
    <r>
      <t>\\172.18.154.188\adt_public\08_</t>
    </r>
    <r>
      <rPr>
        <u/>
        <sz val="10"/>
        <color indexed="12"/>
        <rFont val="微軟正黑體"/>
        <family val="2"/>
      </rPr>
      <t>部門情報</t>
    </r>
    <r>
      <rPr>
        <u/>
        <sz val="10"/>
        <color indexed="12"/>
        <rFont val="Arial"/>
        <family val="2"/>
      </rPr>
      <t>\8409_</t>
    </r>
    <r>
      <rPr>
        <u/>
        <sz val="10"/>
        <color indexed="12"/>
        <rFont val="微軟正黑體"/>
        <family val="2"/>
      </rPr>
      <t>品質情報會議</t>
    </r>
    <r>
      <rPr>
        <u/>
        <sz val="10"/>
        <color indexed="12"/>
        <rFont val="Arial"/>
        <family val="2"/>
      </rPr>
      <t>-</t>
    </r>
    <r>
      <rPr>
        <u/>
        <sz val="10"/>
        <color indexed="12"/>
        <rFont val="微軟正黑體"/>
        <family val="2"/>
      </rPr>
      <t>品保</t>
    </r>
    <r>
      <rPr>
        <u/>
        <sz val="10"/>
        <color indexed="12"/>
        <rFont val="Arial"/>
        <family val="2"/>
      </rPr>
      <t>CS</t>
    </r>
    <r>
      <rPr>
        <u/>
        <sz val="10"/>
        <color indexed="12"/>
        <rFont val="微軟正黑體"/>
        <family val="2"/>
      </rPr>
      <t>活動</t>
    </r>
    <r>
      <rPr>
        <u/>
        <sz val="10"/>
        <color indexed="12"/>
        <rFont val="Arial"/>
        <family val="2"/>
      </rPr>
      <t>\</t>
    </r>
    <r>
      <rPr>
        <u/>
        <sz val="10"/>
        <color indexed="12"/>
        <rFont val="微軟正黑體"/>
        <family val="2"/>
      </rPr>
      <t>素板</t>
    </r>
    <r>
      <rPr>
        <u/>
        <sz val="10"/>
        <color indexed="12"/>
        <rFont val="Arial"/>
        <family val="2"/>
      </rPr>
      <t>AN-QC</t>
    </r>
    <r>
      <rPr>
        <u/>
        <sz val="10"/>
        <color indexed="12"/>
        <rFont val="微軟正黑體"/>
        <family val="2"/>
      </rPr>
      <t>會議</t>
    </r>
    <phoneticPr fontId="11" type="noConversion"/>
  </si>
  <si>
    <r>
      <t>\\172.18.154.188\adt_public\09_V</t>
    </r>
    <r>
      <rPr>
        <u/>
        <sz val="10"/>
        <color indexed="12"/>
        <rFont val="微軟正黑體"/>
        <family val="2"/>
      </rPr>
      <t>委員會</t>
    </r>
    <r>
      <rPr>
        <u/>
        <sz val="10"/>
        <color indexed="12"/>
        <rFont val="Arial"/>
        <family val="2"/>
      </rPr>
      <t>\</t>
    </r>
    <r>
      <rPr>
        <u/>
        <sz val="10"/>
        <color indexed="12"/>
        <rFont val="微軟正黑體"/>
        <family val="2"/>
      </rPr>
      <t>台南</t>
    </r>
    <r>
      <rPr>
        <u/>
        <sz val="10"/>
        <color indexed="12"/>
        <rFont val="Arial"/>
        <family val="2"/>
      </rPr>
      <t>-</t>
    </r>
    <r>
      <rPr>
        <u/>
        <sz val="10"/>
        <color indexed="12"/>
        <rFont val="微軟正黑體"/>
        <family val="2"/>
      </rPr>
      <t>研磨情報</t>
    </r>
    <r>
      <rPr>
        <u/>
        <sz val="10"/>
        <color indexed="12"/>
        <rFont val="Arial"/>
        <family val="2"/>
      </rPr>
      <t>\2017</t>
    </r>
    <r>
      <rPr>
        <u/>
        <sz val="10"/>
        <color indexed="12"/>
        <rFont val="微軟正黑體"/>
        <family val="2"/>
      </rPr>
      <t>年素板</t>
    </r>
    <r>
      <rPr>
        <u/>
        <sz val="10"/>
        <color indexed="12"/>
        <rFont val="Arial"/>
        <family val="2"/>
      </rPr>
      <t>-</t>
    </r>
    <r>
      <rPr>
        <u/>
        <sz val="10"/>
        <color indexed="12"/>
        <rFont val="微軟正黑體"/>
        <family val="2"/>
      </rPr>
      <t>研磨</t>
    </r>
    <r>
      <rPr>
        <u/>
        <sz val="10"/>
        <color indexed="12"/>
        <rFont val="Arial"/>
        <family val="2"/>
      </rPr>
      <t>MTG</t>
    </r>
    <phoneticPr fontId="11" type="noConversion"/>
  </si>
  <si>
    <t>窯保全、延命：( 詳細參閱以下連結 )</t>
    <phoneticPr fontId="11" type="noConversion"/>
  </si>
  <si>
    <t>另，因現況CF3延命( or 冷修 )關係，所以，在設備( ZF )或人力的協調，也是會由我這邊向 性德 樣( 經理 )確認後，再與他課進行聯絡。</t>
    <phoneticPr fontId="11" type="noConversion"/>
  </si>
  <si>
    <t>0.020
0.002</t>
    <phoneticPr fontId="11" type="noConversion"/>
  </si>
  <si>
    <t>8/22 更新，為了減少人員變動因素，所以，與 雲舟 哥 再次討論後決定：英睿→EF，因此CF人員不進行變更。</t>
    <phoneticPr fontId="11" type="noConversion"/>
  </si>
  <si>
    <t>所以，在接任之後不一定需要這部分的銜接；但是在基本溝通、聯絡的部分，則是需要的。</t>
    <phoneticPr fontId="11" type="noConversion"/>
  </si>
  <si>
    <t>◆ 交接內容：定例事務、管理事務</t>
    <phoneticPr fontId="11" type="noConversion"/>
  </si>
  <si>
    <t xml:space="preserve">    ○      為了提升報告品質，以及展現各組爭取入圍之決心，參加選拔賽組別獎金如下：</t>
  </si>
  <si>
    <t>7.  獎賞︰</t>
  </si>
  <si>
    <t>（摘自簡報_【資料】ADT_包装TT強度解析レビュー (1) 之要點）</t>
    <phoneticPr fontId="11" type="noConversion"/>
  </si>
  <si>
    <t>◎</t>
    <phoneticPr fontId="11" type="noConversion"/>
  </si>
  <si>
    <t>但仍在未補強區域或在突發條件下出現新的裂紋。</t>
    <phoneticPr fontId="11" type="noConversion"/>
  </si>
  <si>
    <t>FEM 分析指出氣缸固定部、補強焊接處等為高應力集中點；當加速度峰值使局部應力接近或超過材料降伏（SS400 降伏約245MPa）時，</t>
    <phoneticPr fontId="11" type="noConversion"/>
  </si>
  <si>
    <t>就會有"塑性變形" 或"發生裂縫"的風險。</t>
    <phoneticPr fontId="11" type="noConversion"/>
  </si>
  <si>
    <r>
      <rPr>
        <b/>
        <sz val="10"/>
        <color theme="1"/>
        <rFont val="微軟正黑體"/>
        <family val="2"/>
        <charset val="136"/>
      </rPr>
      <t xml:space="preserve">◆  </t>
    </r>
    <r>
      <rPr>
        <b/>
        <sz val="14"/>
        <color theme="1"/>
        <rFont val="微軟正黑體"/>
        <family val="2"/>
        <charset val="136"/>
      </rPr>
      <t>ADT_Turn Table_三軸加速度計量測_震盪 Mode 測試指引</t>
    </r>
    <r>
      <rPr>
        <b/>
        <sz val="10"/>
        <color theme="1"/>
        <rFont val="微軟正黑體"/>
        <family val="2"/>
        <charset val="136"/>
      </rPr>
      <t xml:space="preserve">  ◆</t>
    </r>
    <phoneticPr fontId="11" type="noConversion"/>
  </si>
  <si>
    <t>2、目的︰</t>
    <phoneticPr fontId="11" type="noConversion"/>
  </si>
  <si>
    <t>1、背景︰</t>
    <phoneticPr fontId="11" type="noConversion"/>
  </si>
  <si>
    <t>三軸加速度計量測位置與方向</t>
    <phoneticPr fontId="11" type="noConversion"/>
  </si>
  <si>
    <t>建立標準化的 確認、設置、測試、擷取、處理與判定流程，使 不同場次、不同窯別 測得之資料可比較、可追溯。</t>
    <phoneticPr fontId="11" type="noConversion"/>
  </si>
  <si>
    <t>3、適用範圍：</t>
    <phoneticPr fontId="11" type="noConversion"/>
  </si>
  <si>
    <t>使用三軸加速度計以準確蒐集 T/T 在實際運轉中的瞬時峰值、方向性振幅，以此推測操作上限設定（例：允許之最大震盪出力、最大 G 值）之依據。</t>
    <phoneticPr fontId="11" type="noConversion"/>
  </si>
  <si>
    <t>現場量測顯示 T/T 存在上下振動的 G 值高峰值現象：常態約 4G ，約 50% 情況介於4～6G ，8G 以上有偶發的狀況 。</t>
    <phoneticPr fontId="11" type="noConversion"/>
  </si>
  <si>
    <t>註一：</t>
    <phoneticPr fontId="11" type="noConversion"/>
  </si>
  <si>
    <t>註二：</t>
    <phoneticPr fontId="11" type="noConversion"/>
  </si>
  <si>
    <t>三軸加速度計之設置寫真，如 附件_寫真 Sheet中標題：三軸加速度計量測位置與方向。</t>
    <phoneticPr fontId="11" type="noConversion"/>
  </si>
  <si>
    <t>作成：製造一部_生產推進課_陳俊碩_2026/04/03</t>
    <phoneticPr fontId="11" type="noConversion"/>
  </si>
  <si>
    <r>
      <t>G→重力加速度，1G=9.81 m/s</t>
    </r>
    <r>
      <rPr>
        <vertAlign val="superscript"/>
        <sz val="11"/>
        <color rgb="FF0000CC"/>
        <rFont val="微軟正黑體"/>
        <family val="2"/>
        <charset val="136"/>
      </rPr>
      <t>2</t>
    </r>
    <r>
      <rPr>
        <sz val="11"/>
        <color rgb="FF0000CC"/>
        <rFont val="微軟正黑體"/>
        <family val="2"/>
        <charset val="136"/>
      </rPr>
      <t>。 以下同。</t>
    </r>
    <phoneticPr fontId="11" type="noConversion"/>
  </si>
  <si>
    <t>4、責任分工：</t>
    <phoneticPr fontId="11" type="noConversion"/>
  </si>
  <si>
    <t>ADT_COLD 的設備 T/T（Turn Table），在長期使用下頻繁發生裂紋，2019 年與 2025 年曾分別執行過補強，</t>
    <phoneticPr fontId="11" type="noConversion"/>
  </si>
  <si>
    <t>因此須以精確的"三軸加速度量測"為基礎，判斷操作的限制與補強驗證。</t>
    <phoneticPr fontId="11" type="noConversion"/>
  </si>
  <si>
    <t>測試負責人：</t>
    <phoneticPr fontId="11" type="noConversion"/>
  </si>
  <si>
    <t>YF／CF／EF窯_COLD設備總擔當。主要工作→確認測試計畫、協調協力單位、人力調整，以及整體安全確認。</t>
    <phoneticPr fontId="11" type="noConversion"/>
  </si>
  <si>
    <t>量測儀器擔當：</t>
    <phoneticPr fontId="11" type="noConversion"/>
  </si>
  <si>
    <t>三軸加速度計保管、使用權責單位為革新推進部，因此，革新推進部為本量測計畫之協力部門，並協助於測定之後進行傅立葉轉換。</t>
    <phoneticPr fontId="11" type="noConversion"/>
  </si>
  <si>
    <t>現場操作：</t>
    <phoneticPr fontId="11" type="noConversion"/>
  </si>
  <si>
    <t>協助操作盤之操作、測試用製品(廢棄品)裝載、停機安全確認。</t>
    <phoneticPr fontId="11" type="noConversion"/>
  </si>
  <si>
    <t>資料分析：</t>
    <phoneticPr fontId="11" type="noConversion"/>
  </si>
  <si>
    <t>於分析三軸加速計之數值經由傅立葉轉換之後，進行數據彙整及分析，並統整數據之狀況，進行初步可能之問題判讀。</t>
    <phoneticPr fontId="11" type="noConversion"/>
  </si>
  <si>
    <t>設備專責確認：</t>
    <phoneticPr fontId="11" type="noConversion"/>
  </si>
  <si>
    <t>該專責須為設備相關之技術專業人員，在數據彙整及分析後，深入確認問題發生之可能原因，並探討後續解決之方案。</t>
    <phoneticPr fontId="11" type="noConversion"/>
  </si>
  <si>
    <t>對象裝置：</t>
    <phoneticPr fontId="11" type="noConversion"/>
  </si>
  <si>
    <t>YF／CF／EF窯_COLD_Turn Table（含 原始狀態、2019 補強、2025 補強之處所）。</t>
    <phoneticPr fontId="11" type="noConversion"/>
  </si>
  <si>
    <t>測試內容：</t>
    <phoneticPr fontId="11" type="noConversion"/>
  </si>
  <si>
    <t>使用 G6 0.4T 滿載 PL(廢棄品)負重量測，自動震盪模式_不同出力階段測試（生產出力條件模擬）。</t>
    <phoneticPr fontId="1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</si>
</sst>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76" formatCode="0_ "/>
    <numFmt numFmtId="177" formatCode="0.000"/>
  </numFmts>
  <fonts count="74">
    <font>
      <sz val="11"/>
      <color theme="1"/>
      <name val="微軟正黑體"/>
      <family val="2"/>
      <scheme val="minor"/>
    </font>
    <font>
      <b/>
      <sz val="20"/>
      <color theme="4" tint="-0.249977111117893"/>
      <name val="微軟正黑體"/>
      <family val="2"/>
      <scheme val="major"/>
    </font>
    <font>
      <sz val="10"/>
      <name val="微軟正黑體"/>
      <family val="2"/>
      <scheme val="minor"/>
    </font>
    <font>
      <u/>
      <sz val="11"/>
      <color indexed="12"/>
      <name val="Arial"/>
      <family val="2"/>
    </font>
    <font>
      <sz val="10"/>
      <color theme="1"/>
      <name val="微軟正黑體"/>
      <family val="2"/>
      <scheme val="minor"/>
    </font>
    <font>
      <sz val="11"/>
      <name val="微軟正黑體"/>
      <family val="2"/>
      <scheme val="minor"/>
    </font>
    <font>
      <sz val="11"/>
      <color theme="1"/>
      <name val="微軟正黑體"/>
      <family val="2"/>
      <scheme val="minor"/>
    </font>
    <font>
      <b/>
      <sz val="11"/>
      <color theme="1"/>
      <name val="微軟正黑體"/>
      <family val="2"/>
      <scheme val="minor"/>
    </font>
    <font>
      <b/>
      <sz val="9"/>
      <color theme="0"/>
      <name val="微軟正黑體"/>
      <family val="2"/>
      <scheme val="minor"/>
    </font>
    <font>
      <sz val="9"/>
      <color theme="0"/>
      <name val="微軟正黑體"/>
      <family val="2"/>
      <scheme val="minor"/>
    </font>
    <font>
      <sz val="1"/>
      <color theme="0"/>
      <name val="微軟正黑體"/>
      <family val="2"/>
      <scheme val="minor"/>
    </font>
    <font>
      <sz val="9"/>
      <name val="微軟正黑體"/>
      <family val="3"/>
      <charset val="136"/>
      <scheme val="minor"/>
    </font>
    <font>
      <b/>
      <sz val="18"/>
      <color theme="4" tint="-0.249977111117893"/>
      <name val="微軟正黑體"/>
      <family val="2"/>
      <scheme val="major"/>
    </font>
    <font>
      <sz val="8"/>
      <color theme="0"/>
      <name val="微軟正黑體"/>
      <family val="2"/>
      <scheme val="minor"/>
    </font>
    <font>
      <sz val="8"/>
      <color theme="0"/>
      <name val="微軟正黑體"/>
      <family val="2"/>
      <charset val="136"/>
      <scheme val="minor"/>
    </font>
    <font>
      <sz val="11"/>
      <color theme="0" tint="-0.499984740745262"/>
      <name val="微軟正黑體"/>
      <family val="2"/>
      <scheme val="minor"/>
    </font>
    <font>
      <sz val="8"/>
      <color theme="1"/>
      <name val="微軟正黑體"/>
      <family val="2"/>
      <scheme val="minor"/>
    </font>
    <font>
      <sz val="8"/>
      <color theme="1"/>
      <name val="微軟正黑體"/>
      <family val="2"/>
      <charset val="136"/>
      <scheme val="minor"/>
    </font>
    <font>
      <sz val="10"/>
      <color theme="1"/>
      <name val="微軟正黑體"/>
      <family val="2"/>
      <charset val="136"/>
      <scheme val="minor"/>
    </font>
    <font>
      <b/>
      <sz val="9"/>
      <color theme="0"/>
      <name val="微軟正黑體"/>
      <family val="2"/>
      <charset val="136"/>
      <scheme val="minor"/>
    </font>
    <font>
      <sz val="11"/>
      <name val="ＭＳ Ｐゴシック"/>
      <family val="2"/>
      <charset val="128"/>
    </font>
    <font>
      <sz val="12"/>
      <name val="新細明體"/>
      <family val="1"/>
      <charset val="136"/>
    </font>
    <font>
      <sz val="11"/>
      <color indexed="8"/>
      <name val="新細明體"/>
      <family val="1"/>
    </font>
    <font>
      <sz val="11"/>
      <color indexed="9"/>
      <name val="新細明體"/>
      <family val="1"/>
    </font>
    <font>
      <b/>
      <sz val="18"/>
      <color indexed="56"/>
      <name val="新細明體"/>
      <family val="1"/>
    </font>
    <font>
      <b/>
      <sz val="11"/>
      <color indexed="9"/>
      <name val="新細明體"/>
      <family val="1"/>
    </font>
    <font>
      <sz val="11"/>
      <color indexed="60"/>
      <name val="新細明體"/>
      <family val="1"/>
    </font>
    <font>
      <sz val="11"/>
      <color indexed="52"/>
      <name val="新細明體"/>
      <family val="1"/>
    </font>
    <font>
      <sz val="11"/>
      <color indexed="8"/>
      <name val="ＭＳ Ｐゴシック"/>
      <family val="2"/>
      <charset val="128"/>
    </font>
    <font>
      <sz val="11"/>
      <color indexed="62"/>
      <name val="新細明體"/>
      <family val="1"/>
    </font>
    <font>
      <b/>
      <sz val="11"/>
      <color indexed="63"/>
      <name val="新細明體"/>
      <family val="1"/>
    </font>
    <font>
      <sz val="12"/>
      <color rgb="FF006100"/>
      <name val="微軟正黑體"/>
      <family val="1"/>
      <charset val="136"/>
      <scheme val="minor"/>
    </font>
    <font>
      <sz val="12"/>
      <color indexed="17"/>
      <name val="新細明體"/>
      <family val="1"/>
      <charset val="136"/>
    </font>
    <font>
      <sz val="11"/>
      <color rgb="FF006100"/>
      <name val="微軟正黑體"/>
      <family val="1"/>
      <charset val="136"/>
      <scheme val="minor"/>
    </font>
    <font>
      <sz val="11"/>
      <color indexed="17"/>
      <name val="新細明體"/>
      <family val="1"/>
    </font>
    <font>
      <b/>
      <sz val="15"/>
      <color indexed="56"/>
      <name val="新細明體"/>
      <family val="1"/>
    </font>
    <font>
      <b/>
      <sz val="13"/>
      <color indexed="56"/>
      <name val="新細明體"/>
      <family val="1"/>
    </font>
    <font>
      <b/>
      <sz val="11"/>
      <color indexed="56"/>
      <name val="新細明體"/>
      <family val="1"/>
    </font>
    <font>
      <b/>
      <sz val="11"/>
      <color indexed="52"/>
      <name val="新細明體"/>
      <family val="1"/>
    </font>
    <font>
      <sz val="11"/>
      <color indexed="20"/>
      <name val="新細明體"/>
      <family val="1"/>
    </font>
    <font>
      <b/>
      <sz val="11"/>
      <color indexed="8"/>
      <name val="新細明體"/>
      <family val="1"/>
    </font>
    <font>
      <i/>
      <sz val="11"/>
      <color indexed="23"/>
      <name val="新細明體"/>
      <family val="1"/>
    </font>
    <font>
      <sz val="12"/>
      <color rgb="FF9C0006"/>
      <name val="微軟正黑體"/>
      <family val="1"/>
      <charset val="136"/>
      <scheme val="minor"/>
    </font>
    <font>
      <sz val="12"/>
      <color indexed="20"/>
      <name val="新細明體"/>
      <family val="1"/>
      <charset val="136"/>
    </font>
    <font>
      <sz val="11"/>
      <color rgb="FF9C0006"/>
      <name val="微軟正黑體"/>
      <family val="1"/>
      <charset val="136"/>
      <scheme val="minor"/>
    </font>
    <font>
      <sz val="11"/>
      <color indexed="10"/>
      <name val="新細明體"/>
      <family val="1"/>
    </font>
    <font>
      <sz val="11"/>
      <color theme="1"/>
      <name val="微軟正黑體"/>
      <family val="1"/>
      <charset val="136"/>
      <scheme val="minor"/>
    </font>
    <font>
      <b/>
      <sz val="9"/>
      <color indexed="81"/>
      <name val="Tahoma"/>
      <family val="2"/>
    </font>
    <font>
      <b/>
      <sz val="9"/>
      <color indexed="81"/>
      <name val="細明體"/>
      <family val="3"/>
      <charset val="136"/>
    </font>
    <font>
      <sz val="9"/>
      <name val="微軟正黑體"/>
      <family val="2"/>
      <scheme val="minor"/>
    </font>
    <font>
      <sz val="8"/>
      <name val="微軟正黑體"/>
      <family val="2"/>
      <scheme val="minor"/>
    </font>
    <font>
      <sz val="10"/>
      <name val="微軟正黑體"/>
      <family val="2"/>
      <charset val="136"/>
      <scheme val="minor"/>
    </font>
    <font>
      <sz val="9"/>
      <name val="微軟正黑體"/>
      <family val="2"/>
      <charset val="136"/>
      <scheme val="minor"/>
    </font>
    <font>
      <sz val="6"/>
      <color theme="1"/>
      <name val="微軟正黑體"/>
      <family val="2"/>
      <scheme val="minor"/>
    </font>
    <font>
      <u/>
      <sz val="10"/>
      <color indexed="12"/>
      <name val="Arial"/>
      <family val="2"/>
    </font>
    <font>
      <u/>
      <sz val="10"/>
      <color indexed="12"/>
      <name val="微軟正黑體"/>
      <family val="2"/>
    </font>
    <font>
      <sz val="12"/>
      <color theme="1"/>
      <name val="微軟正黑體"/>
      <family val="2"/>
      <scheme val="minor"/>
    </font>
    <font>
      <sz val="6"/>
      <color rgb="FF0066FF"/>
      <name val="微軟正黑體"/>
      <family val="2"/>
      <scheme val="minor"/>
    </font>
    <font>
      <sz val="11"/>
      <color rgb="FF0066FF"/>
      <name val="微軟正黑體"/>
      <family val="2"/>
      <charset val="136"/>
      <scheme val="minor"/>
    </font>
    <font>
      <sz val="11"/>
      <color theme="1"/>
      <name val="微軟正黑體"/>
      <family val="2"/>
      <charset val="136"/>
    </font>
    <font>
      <b/>
      <sz val="11"/>
      <color rgb="FF000000"/>
      <name val="微軟正黑體"/>
      <family val="2"/>
      <charset val="136"/>
    </font>
    <font>
      <sz val="11"/>
      <color rgb="FF000000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11"/>
      <color rgb="FF0000CC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  <scheme val="minor"/>
    </font>
    <font>
      <sz val="14"/>
      <color rgb="FF000000"/>
      <name val="微軟正黑體"/>
      <family val="2"/>
      <charset val="136"/>
    </font>
    <font>
      <vertAlign val="superscript"/>
      <sz val="11"/>
      <color rgb="FF0000CC"/>
      <name val="微軟正黑體"/>
      <family val="2"/>
      <charset val="136"/>
    </font>
    <font>
      <sz val="11"/>
      <color theme="0" tint="-0.34998626667073579"/>
      <name val="微軟正黑體"/>
      <family val="2"/>
      <charset val="136"/>
    </font>
    <font>
      <sz val="11"/>
      <color theme="0" tint="-0.499984740745262"/>
      <name val="微軟正黑體"/>
      <family val="2"/>
      <charset val="136"/>
    </font>
    <font>
      <sz val="11"/>
      <name val="微軟正黑體"/>
      <family val="2"/>
      <charset val="136"/>
    </font>
    <font>
      <b/>
      <sz val="11"/>
      <color rgb="FFFF0000"/>
      <name val="微軟正黑體"/>
      <family val="2"/>
      <charset val="136"/>
    </font>
    <font>
      <b/>
      <sz val="12"/>
      <color rgb="FF000000"/>
      <name val="微軟正黑體"/>
      <family val="2"/>
      <charset val="136"/>
    </font>
  </fonts>
  <fills count="3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  <fill>
      <patternFill patternType="solid">
        <fgColor rgb="FF3957AD"/>
        <bgColor theme="4"/>
      </patternFill>
    </fill>
    <fill>
      <patternFill patternType="solid">
        <fgColor theme="9" tint="0.39997558519241921"/>
        <bgColor theme="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24994659260841701"/>
      </left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/>
      <top style="thin">
        <color theme="4" tint="0.39994506668294322"/>
      </top>
      <bottom/>
      <diagonal/>
    </border>
    <border>
      <left style="thin">
        <color theme="4" tint="0.39994506668294322"/>
      </left>
      <right/>
      <top style="thin">
        <color theme="4" tint="0.39994506668294322"/>
      </top>
      <bottom style="thin">
        <color theme="4" tint="0.39994506668294322"/>
      </bottom>
      <diagonal/>
    </border>
    <border>
      <left/>
      <right style="thin">
        <color theme="4" tint="0.39991454817346722"/>
      </right>
      <top style="thin">
        <color theme="4" tint="0.39994506668294322"/>
      </top>
      <bottom/>
      <diagonal/>
    </border>
    <border>
      <left style="thin">
        <color theme="0" tint="-0.24994659260841701"/>
      </left>
      <right style="thin">
        <color theme="4" tint="0.399914548173467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1454817346722"/>
      </left>
      <right style="thin">
        <color theme="4" tint="0.39988402966399123"/>
      </right>
      <top style="thin">
        <color theme="4" tint="0.39994506668294322"/>
      </top>
      <bottom style="thin">
        <color theme="4" tint="0.39994506668294322"/>
      </bottom>
      <diagonal/>
    </border>
    <border>
      <left/>
      <right/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1454817346722"/>
      </left>
      <right style="thin">
        <color theme="4" tint="0.39988402966399123"/>
      </right>
      <top style="thin">
        <color theme="4" tint="0.39994506668294322"/>
      </top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 diagonalUp="1">
      <left style="thin">
        <color theme="0" tint="-0.24994659260841701"/>
      </left>
      <right style="thin">
        <color theme="4" tint="0.39991454817346722"/>
      </right>
      <top style="thin">
        <color theme="4" tint="0.39994506668294322"/>
      </top>
      <bottom style="thin">
        <color theme="4" tint="0.39994506668294322"/>
      </bottom>
      <diagonal style="thin">
        <color theme="0" tint="-0.24994659260841701"/>
      </diagonal>
    </border>
    <border diagonalUp="1">
      <left style="thin">
        <color theme="0" tint="-0.24994659260841701"/>
      </left>
      <right/>
      <top style="thin">
        <color theme="4" tint="0.39994506668294322"/>
      </top>
      <bottom style="thin">
        <color theme="4" tint="0.39994506668294322"/>
      </bottom>
      <diagonal style="thin">
        <color theme="0" tint="-0.24994659260841701"/>
      </diagonal>
    </border>
  </borders>
  <cellStyleXfs count="7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0" fontId="20" fillId="0" borderId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29" borderId="11" applyNumberFormat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9" fontId="20" fillId="0" borderId="0" applyFont="0" applyFill="0" applyBorder="0" applyAlignment="0" applyProtection="0">
      <alignment vertical="center"/>
    </xf>
    <xf numFmtId="0" fontId="22" fillId="31" borderId="12" applyNumberFormat="0" applyFont="0" applyAlignment="0" applyProtection="0">
      <alignment vertical="center"/>
    </xf>
    <xf numFmtId="0" fontId="27" fillId="0" borderId="13" applyNumberFormat="0" applyFill="0" applyAlignment="0" applyProtection="0">
      <alignment vertical="center"/>
    </xf>
    <xf numFmtId="0" fontId="20" fillId="0" borderId="0">
      <alignment vertical="center"/>
    </xf>
    <xf numFmtId="0" fontId="28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9" fillId="16" borderId="14" applyNumberFormat="0" applyAlignment="0" applyProtection="0">
      <alignment vertical="center"/>
    </xf>
    <xf numFmtId="0" fontId="30" fillId="32" borderId="15" applyNumberFormat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9" fontId="21" fillId="0" borderId="0" applyFont="0" applyFill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0" borderId="16" applyNumberFormat="0" applyFill="0" applyAlignment="0" applyProtection="0">
      <alignment vertical="center"/>
    </xf>
    <xf numFmtId="0" fontId="36" fillId="0" borderId="17" applyNumberFormat="0" applyFill="0" applyAlignment="0" applyProtection="0">
      <alignment vertical="center"/>
    </xf>
    <xf numFmtId="0" fontId="37" fillId="0" borderId="18" applyNumberFormat="0" applyFill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32" borderId="14" applyNumberFormat="0" applyAlignment="0" applyProtection="0">
      <alignment vertical="center"/>
    </xf>
    <xf numFmtId="0" fontId="39" fillId="12" borderId="0" applyNumberFormat="0" applyBorder="0" applyAlignment="0" applyProtection="0">
      <alignment vertical="center"/>
    </xf>
    <xf numFmtId="0" fontId="40" fillId="0" borderId="19" applyNumberFormat="0" applyFill="0" applyAlignment="0" applyProtection="0">
      <alignment vertical="center"/>
    </xf>
    <xf numFmtId="0" fontId="41" fillId="0" borderId="0" applyNumberFormat="0" applyFill="0" applyBorder="0" applyAlignment="0" applyProtection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42" fillId="7" borderId="0" applyNumberFormat="0" applyBorder="0" applyAlignment="0" applyProtection="0">
      <alignment vertical="center"/>
    </xf>
    <xf numFmtId="0" fontId="43" fillId="12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2" fillId="7" borderId="0" applyNumberFormat="0" applyBorder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46" fillId="0" borderId="0">
      <alignment vertical="center"/>
    </xf>
    <xf numFmtId="0" fontId="56" fillId="0" borderId="0"/>
  </cellStyleXfs>
  <cellXfs count="10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vertic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right" vertical="center" indent="1"/>
    </xf>
    <xf numFmtId="14" fontId="0" fillId="0" borderId="2" xfId="0" applyNumberFormat="1" applyFont="1" applyFill="1" applyBorder="1" applyAlignment="1">
      <alignment horizontal="center" vertical="center"/>
    </xf>
    <xf numFmtId="14" fontId="5" fillId="0" borderId="2" xfId="0" applyNumberFormat="1" applyFont="1" applyFill="1" applyBorder="1" applyAlignment="1">
      <alignment horizontal="center" vertical="center"/>
    </xf>
    <xf numFmtId="9" fontId="5" fillId="0" borderId="2" xfId="2" applyNumberFormat="1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 wrapText="1"/>
    </xf>
    <xf numFmtId="14" fontId="5" fillId="2" borderId="2" xfId="0" applyNumberFormat="1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left" vertical="center" wrapText="1" indent="1"/>
    </xf>
    <xf numFmtId="14" fontId="0" fillId="3" borderId="2" xfId="0" applyNumberFormat="1" applyFont="1" applyFill="1" applyBorder="1" applyAlignment="1">
      <alignment horizontal="center" vertical="center"/>
    </xf>
    <xf numFmtId="14" fontId="5" fillId="3" borderId="2" xfId="0" applyNumberFormat="1" applyFont="1" applyFill="1" applyBorder="1" applyAlignment="1">
      <alignment horizontal="center" vertical="center"/>
    </xf>
    <xf numFmtId="0" fontId="5" fillId="3" borderId="2" xfId="0" applyNumberFormat="1" applyFont="1" applyFill="1" applyBorder="1" applyAlignment="1">
      <alignment horizontal="center" vertical="center"/>
    </xf>
    <xf numFmtId="9" fontId="5" fillId="3" borderId="2" xfId="2" applyNumberFormat="1" applyFont="1" applyFill="1" applyBorder="1" applyAlignment="1">
      <alignment horizontal="center" vertical="center"/>
    </xf>
    <xf numFmtId="0" fontId="0" fillId="3" borderId="2" xfId="0" applyFont="1" applyFill="1" applyBorder="1" applyAlignment="1">
      <alignment horizontal="left" vertical="center" indent="1"/>
    </xf>
    <xf numFmtId="0" fontId="9" fillId="5" borderId="4" xfId="0" applyFont="1" applyFill="1" applyBorder="1" applyAlignment="1">
      <alignment horizontal="center" vertical="center" wrapText="1"/>
    </xf>
    <xf numFmtId="0" fontId="8" fillId="4" borderId="4" xfId="0" applyFont="1" applyFill="1" applyBorder="1" applyAlignment="1">
      <alignment horizontal="center" vertical="center" wrapText="1"/>
    </xf>
    <xf numFmtId="0" fontId="5" fillId="2" borderId="7" xfId="0" applyNumberFormat="1" applyFont="1" applyFill="1" applyBorder="1" applyAlignment="1">
      <alignment horizontal="center" vertical="center"/>
    </xf>
    <xf numFmtId="0" fontId="5" fillId="3" borderId="7" xfId="0" applyNumberFormat="1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10" fillId="0" borderId="0" xfId="0" applyFont="1"/>
    <xf numFmtId="0" fontId="8" fillId="5" borderId="4" xfId="0" applyFont="1" applyFill="1" applyBorder="1" applyAlignment="1">
      <alignment horizontal="left" vertical="center" wrapText="1" indent="1"/>
    </xf>
    <xf numFmtId="0" fontId="8" fillId="5" borderId="3" xfId="0" applyFont="1" applyFill="1" applyBorder="1" applyAlignment="1">
      <alignment horizontal="left" vertical="center" wrapText="1" indent="1"/>
    </xf>
    <xf numFmtId="0" fontId="12" fillId="0" borderId="0" xfId="0" applyFont="1" applyAlignment="1">
      <alignment horizontal="left"/>
    </xf>
    <xf numFmtId="0" fontId="13" fillId="5" borderId="4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 vertical="center" wrapText="1"/>
    </xf>
    <xf numFmtId="14" fontId="0" fillId="8" borderId="1" xfId="0" applyNumberFormat="1" applyFill="1" applyBorder="1" applyAlignment="1">
      <alignment horizontal="center" vertical="center"/>
    </xf>
    <xf numFmtId="0" fontId="7" fillId="0" borderId="0" xfId="0" applyFont="1" applyAlignment="1">
      <alignment horizontal="left" vertical="center" indent="1"/>
    </xf>
    <xf numFmtId="0" fontId="5" fillId="2" borderId="9" xfId="0" applyNumberFormat="1" applyFont="1" applyFill="1" applyBorder="1" applyAlignment="1">
      <alignment horizontal="center" vertical="center"/>
    </xf>
    <xf numFmtId="0" fontId="5" fillId="3" borderId="9" xfId="0" applyNumberFormat="1" applyFont="1" applyFill="1" applyBorder="1" applyAlignment="1">
      <alignment horizontal="center" vertical="center"/>
    </xf>
    <xf numFmtId="0" fontId="5" fillId="2" borderId="8" xfId="0" applyNumberFormat="1" applyFont="1" applyFill="1" applyBorder="1" applyAlignment="1">
      <alignment horizontal="center" vertical="center"/>
    </xf>
    <xf numFmtId="0" fontId="5" fillId="3" borderId="8" xfId="0" applyNumberFormat="1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left" vertical="center" indent="1"/>
    </xf>
    <xf numFmtId="0" fontId="16" fillId="0" borderId="2" xfId="0" applyFont="1" applyFill="1" applyBorder="1" applyAlignment="1">
      <alignment horizontal="left" vertical="center" wrapText="1" indent="1"/>
    </xf>
    <xf numFmtId="0" fontId="17" fillId="0" borderId="2" xfId="0" applyFont="1" applyFill="1" applyBorder="1" applyAlignment="1">
      <alignment horizontal="left" vertical="center" wrapText="1" indent="1"/>
    </xf>
    <xf numFmtId="0" fontId="4" fillId="0" borderId="2" xfId="0" applyFont="1" applyFill="1" applyBorder="1" applyAlignment="1">
      <alignment horizontal="left" vertical="center" indent="1"/>
    </xf>
    <xf numFmtId="0" fontId="18" fillId="0" borderId="2" xfId="0" applyFont="1" applyFill="1" applyBorder="1" applyAlignment="1">
      <alignment horizontal="left" vertical="center" indent="1"/>
    </xf>
    <xf numFmtId="0" fontId="7" fillId="0" borderId="5" xfId="0" applyFont="1" applyFill="1" applyBorder="1" applyAlignment="1">
      <alignment horizontal="left" vertical="center" wrapText="1"/>
    </xf>
    <xf numFmtId="176" fontId="5" fillId="2" borderId="2" xfId="0" applyNumberFormat="1" applyFont="1" applyFill="1" applyBorder="1" applyAlignment="1">
      <alignment horizontal="center" vertical="center"/>
    </xf>
    <xf numFmtId="0" fontId="14" fillId="9" borderId="10" xfId="0" applyFont="1" applyFill="1" applyBorder="1" applyAlignment="1">
      <alignment horizontal="center" vertical="center" wrapText="1"/>
    </xf>
    <xf numFmtId="0" fontId="19" fillId="10" borderId="10" xfId="0" applyFont="1" applyFill="1" applyBorder="1" applyAlignment="1">
      <alignment horizontal="center" vertical="center" wrapText="1"/>
    </xf>
    <xf numFmtId="0" fontId="2" fillId="2" borderId="9" xfId="0" applyNumberFormat="1" applyFont="1" applyFill="1" applyBorder="1" applyAlignment="1">
      <alignment horizontal="center" vertical="center"/>
    </xf>
    <xf numFmtId="0" fontId="2" fillId="2" borderId="2" xfId="0" applyNumberFormat="1" applyFont="1" applyFill="1" applyBorder="1" applyAlignment="1">
      <alignment horizontal="center" vertical="center"/>
    </xf>
    <xf numFmtId="177" fontId="50" fillId="2" borderId="9" xfId="0" applyNumberFormat="1" applyFont="1" applyFill="1" applyBorder="1" applyAlignment="1">
      <alignment horizontal="center" vertical="center" wrapText="1"/>
    </xf>
    <xf numFmtId="177" fontId="50" fillId="2" borderId="2" xfId="0" applyNumberFormat="1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left" vertical="center" wrapText="1" indent="1"/>
    </xf>
    <xf numFmtId="0" fontId="51" fillId="3" borderId="8" xfId="0" applyNumberFormat="1" applyFont="1" applyFill="1" applyBorder="1" applyAlignment="1">
      <alignment horizontal="center" vertical="center"/>
    </xf>
    <xf numFmtId="0" fontId="49" fillId="2" borderId="8" xfId="0" applyNumberFormat="1" applyFont="1" applyFill="1" applyBorder="1" applyAlignment="1">
      <alignment horizontal="left" vertical="center"/>
    </xf>
    <xf numFmtId="0" fontId="52" fillId="2" borderId="8" xfId="0" applyNumberFormat="1" applyFont="1" applyFill="1" applyBorder="1" applyAlignment="1">
      <alignment horizontal="left" vertical="center"/>
    </xf>
    <xf numFmtId="0" fontId="52" fillId="2" borderId="8" xfId="0" applyNumberFormat="1" applyFont="1" applyFill="1" applyBorder="1" applyAlignment="1">
      <alignment horizontal="left" vertical="center" wrapText="1"/>
    </xf>
    <xf numFmtId="0" fontId="5" fillId="2" borderId="21" xfId="0" applyNumberFormat="1" applyFont="1" applyFill="1" applyBorder="1" applyAlignment="1">
      <alignment horizontal="center" vertical="center"/>
    </xf>
    <xf numFmtId="0" fontId="5" fillId="2" borderId="20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53" fillId="0" borderId="0" xfId="0" applyFont="1" applyAlignment="1">
      <alignment horizontal="right" vertical="center"/>
    </xf>
    <xf numFmtId="0" fontId="54" fillId="0" borderId="0" xfId="1" applyFont="1" applyAlignment="1" applyProtection="1">
      <alignment vertical="center"/>
    </xf>
    <xf numFmtId="0" fontId="56" fillId="0" borderId="0" xfId="0" applyFont="1" applyAlignment="1">
      <alignment horizontal="right" vertical="center"/>
    </xf>
    <xf numFmtId="0" fontId="57" fillId="0" borderId="0" xfId="0" applyFont="1" applyAlignment="1">
      <alignment horizontal="right" vertical="center"/>
    </xf>
    <xf numFmtId="0" fontId="58" fillId="0" borderId="0" xfId="0" applyFont="1" applyAlignment="1">
      <alignment vertical="center"/>
    </xf>
    <xf numFmtId="0" fontId="3" fillId="0" borderId="0" xfId="1" applyAlignment="1" applyProtection="1">
      <alignment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9" fillId="33" borderId="0" xfId="72" applyFont="1" applyFill="1"/>
    <xf numFmtId="0" fontId="59" fillId="0" borderId="0" xfId="72" applyFont="1"/>
    <xf numFmtId="0" fontId="60" fillId="33" borderId="0" xfId="72" applyFont="1" applyFill="1" applyAlignment="1">
      <alignment vertical="center"/>
    </xf>
    <xf numFmtId="0" fontId="61" fillId="33" borderId="0" xfId="72" applyFont="1" applyFill="1" applyAlignment="1">
      <alignment vertical="center"/>
    </xf>
    <xf numFmtId="0" fontId="64" fillId="33" borderId="0" xfId="72" applyFont="1" applyFill="1"/>
    <xf numFmtId="0" fontId="61" fillId="33" borderId="0" xfId="72" applyFont="1" applyFill="1"/>
    <xf numFmtId="20" fontId="59" fillId="33" borderId="0" xfId="72" applyNumberFormat="1" applyFont="1" applyFill="1"/>
    <xf numFmtId="0" fontId="59" fillId="33" borderId="0" xfId="72" applyFont="1" applyFill="1" applyAlignment="1">
      <alignment horizontal="right" vertical="center"/>
    </xf>
    <xf numFmtId="0" fontId="59" fillId="33" borderId="0" xfId="72" applyFont="1" applyFill="1" applyAlignment="1">
      <alignment horizontal="left" vertical="center"/>
    </xf>
    <xf numFmtId="0" fontId="59" fillId="33" borderId="0" xfId="72" applyFont="1" applyFill="1" applyAlignment="1">
      <alignment horizontal="distributed" vertical="center"/>
    </xf>
    <xf numFmtId="0" fontId="61" fillId="33" borderId="0" xfId="72" applyFont="1" applyFill="1" applyAlignment="1">
      <alignment horizontal="right" vertical="center"/>
    </xf>
    <xf numFmtId="0" fontId="59" fillId="33" borderId="0" xfId="72" applyFont="1" applyFill="1" applyAlignment="1"/>
    <xf numFmtId="0" fontId="59" fillId="33" borderId="0" xfId="72" applyFont="1" applyFill="1" applyAlignment="1">
      <alignment vertical="center"/>
    </xf>
    <xf numFmtId="0" fontId="66" fillId="0" borderId="0" xfId="0" applyFont="1"/>
    <xf numFmtId="0" fontId="67" fillId="0" borderId="0" xfId="72" applyFont="1" applyFill="1" applyAlignment="1">
      <alignment horizontal="right" vertical="center"/>
    </xf>
    <xf numFmtId="0" fontId="64" fillId="33" borderId="0" xfId="72" applyFont="1" applyFill="1" applyAlignment="1">
      <alignment horizontal="right" vertical="center"/>
    </xf>
    <xf numFmtId="0" fontId="64" fillId="33" borderId="0" xfId="72" applyFont="1" applyFill="1" applyAlignment="1"/>
    <xf numFmtId="0" fontId="59" fillId="0" borderId="0" xfId="0" applyFont="1"/>
    <xf numFmtId="0" fontId="62" fillId="33" borderId="0" xfId="72" applyFont="1" applyFill="1" applyAlignment="1">
      <alignment horizontal="center" vertical="center"/>
    </xf>
    <xf numFmtId="0" fontId="54" fillId="0" borderId="0" xfId="1" applyFont="1" applyAlignment="1" applyProtection="1">
      <alignment horizontal="left" vertical="center"/>
    </xf>
    <xf numFmtId="0" fontId="69" fillId="33" borderId="0" xfId="72" applyFont="1" applyFill="1" applyAlignment="1">
      <alignment vertical="center"/>
    </xf>
    <xf numFmtId="0" fontId="70" fillId="33" borderId="0" xfId="72" applyFont="1" applyFill="1" applyAlignment="1">
      <alignment vertical="center"/>
    </xf>
    <xf numFmtId="0" fontId="70" fillId="33" borderId="0" xfId="72" applyFont="1" applyFill="1" applyAlignment="1">
      <alignment horizontal="right" vertical="center"/>
    </xf>
    <xf numFmtId="0" fontId="71" fillId="33" borderId="0" xfId="72" applyFont="1" applyFill="1" applyBorder="1" applyAlignment="1">
      <alignment horizontal="center" vertical="center" wrapText="1"/>
    </xf>
    <xf numFmtId="56" fontId="72" fillId="33" borderId="0" xfId="72" applyNumberFormat="1" applyFont="1" applyFill="1" applyBorder="1" applyAlignment="1">
      <alignment horizontal="left" vertical="center"/>
    </xf>
    <xf numFmtId="0" fontId="59" fillId="33" borderId="0" xfId="72" applyFont="1" applyFill="1" applyBorder="1" applyAlignment="1">
      <alignment vertical="center" wrapText="1"/>
    </xf>
    <xf numFmtId="0" fontId="59" fillId="33" borderId="0" xfId="72" applyFont="1" applyFill="1" applyBorder="1" applyAlignment="1">
      <alignment horizontal="center" vertical="center"/>
    </xf>
    <xf numFmtId="0" fontId="59" fillId="33" borderId="0" xfId="72" applyFont="1" applyFill="1" applyBorder="1" applyAlignment="1">
      <alignment horizontal="distributed" vertical="center" wrapText="1"/>
    </xf>
    <xf numFmtId="0" fontId="59" fillId="33" borderId="0" xfId="72" applyFont="1" applyFill="1" applyBorder="1" applyAlignment="1">
      <alignment horizontal="left" vertical="center"/>
    </xf>
    <xf numFmtId="0" fontId="59" fillId="33" borderId="0" xfId="72" applyFont="1" applyFill="1" applyBorder="1" applyAlignment="1">
      <alignment horizontal="left" vertical="center" wrapText="1"/>
    </xf>
    <xf numFmtId="0" fontId="59" fillId="33" borderId="0" xfId="72" applyFont="1" applyFill="1" applyBorder="1" applyAlignment="1">
      <alignment vertical="center"/>
    </xf>
    <xf numFmtId="0" fontId="59" fillId="33" borderId="0" xfId="72" applyFont="1" applyFill="1" applyBorder="1" applyAlignment="1">
      <alignment horizontal="distributed" vertical="center"/>
    </xf>
    <xf numFmtId="0" fontId="59" fillId="33" borderId="0" xfId="72" applyFont="1" applyFill="1" applyAlignment="1">
      <alignment horizontal="left" vertical="center" wrapText="1"/>
    </xf>
    <xf numFmtId="0" fontId="59" fillId="33" borderId="0" xfId="72" applyFont="1" applyFill="1" applyBorder="1" applyAlignment="1">
      <alignment horizontal="right" vertical="center"/>
    </xf>
    <xf numFmtId="0" fontId="59" fillId="33" borderId="0" xfId="72" applyFont="1" applyFill="1" applyAlignment="1">
      <alignment horizontal="left"/>
    </xf>
    <xf numFmtId="0" fontId="73" fillId="33" borderId="0" xfId="72" applyFont="1" applyFill="1" applyAlignment="1">
      <alignment horizontal="left" vertical="center"/>
    </xf>
  </cellXfs>
  <cellStyles count="73">
    <cellStyle name="20% - アクセント 1" xfId="4" xr:uid="{00000000-0005-0000-0000-000000000000}"/>
    <cellStyle name="20% - アクセント 2" xfId="5" xr:uid="{00000000-0005-0000-0000-000001000000}"/>
    <cellStyle name="20% - アクセント 3" xfId="6" xr:uid="{00000000-0005-0000-0000-000002000000}"/>
    <cellStyle name="20% - アクセント 4" xfId="7" xr:uid="{00000000-0005-0000-0000-000003000000}"/>
    <cellStyle name="20% - アクセント 5" xfId="8" xr:uid="{00000000-0005-0000-0000-000004000000}"/>
    <cellStyle name="20% - アクセント 6" xfId="9" xr:uid="{00000000-0005-0000-0000-000005000000}"/>
    <cellStyle name="40% - アクセント 1" xfId="10" xr:uid="{00000000-0005-0000-0000-000006000000}"/>
    <cellStyle name="40% - アクセント 2" xfId="11" xr:uid="{00000000-0005-0000-0000-000007000000}"/>
    <cellStyle name="40% - アクセント 3" xfId="12" xr:uid="{00000000-0005-0000-0000-000008000000}"/>
    <cellStyle name="40% - アクセント 4" xfId="13" xr:uid="{00000000-0005-0000-0000-000009000000}"/>
    <cellStyle name="40% - アクセント 5" xfId="14" xr:uid="{00000000-0005-0000-0000-00000A000000}"/>
    <cellStyle name="40% - アクセント 6" xfId="15" xr:uid="{00000000-0005-0000-0000-00000B000000}"/>
    <cellStyle name="60% - アクセント 1" xfId="16" xr:uid="{00000000-0005-0000-0000-00000C000000}"/>
    <cellStyle name="60% - アクセント 2" xfId="17" xr:uid="{00000000-0005-0000-0000-00000D000000}"/>
    <cellStyle name="60% - アクセント 3" xfId="18" xr:uid="{00000000-0005-0000-0000-00000E000000}"/>
    <cellStyle name="60% - アクセント 4" xfId="19" xr:uid="{00000000-0005-0000-0000-00000F000000}"/>
    <cellStyle name="60% - アクセント 5" xfId="20" xr:uid="{00000000-0005-0000-0000-000010000000}"/>
    <cellStyle name="60% - アクセント 6" xfId="21" xr:uid="{00000000-0005-0000-0000-000011000000}"/>
    <cellStyle name="アクセント 1" xfId="22" xr:uid="{00000000-0005-0000-0000-000012000000}"/>
    <cellStyle name="アクセント 2" xfId="23" xr:uid="{00000000-0005-0000-0000-000013000000}"/>
    <cellStyle name="アクセント 3" xfId="24" xr:uid="{00000000-0005-0000-0000-000014000000}"/>
    <cellStyle name="アクセント 4" xfId="25" xr:uid="{00000000-0005-0000-0000-000015000000}"/>
    <cellStyle name="アクセント 5" xfId="26" xr:uid="{00000000-0005-0000-0000-000016000000}"/>
    <cellStyle name="アクセント 6" xfId="27" xr:uid="{00000000-0005-0000-0000-000017000000}"/>
    <cellStyle name="タイトル" xfId="28" xr:uid="{00000000-0005-0000-0000-000018000000}"/>
    <cellStyle name="チェック セル" xfId="29" xr:uid="{00000000-0005-0000-0000-000019000000}"/>
    <cellStyle name="どちらでもない" xfId="30" xr:uid="{00000000-0005-0000-0000-00001A000000}"/>
    <cellStyle name="パーセント 13" xfId="31" xr:uid="{00000000-0005-0000-0000-00001B000000}"/>
    <cellStyle name="メモ" xfId="32" xr:uid="{00000000-0005-0000-0000-00001C000000}"/>
    <cellStyle name="リンク セル" xfId="33" xr:uid="{00000000-0005-0000-0000-00001D000000}"/>
    <cellStyle name="一般" xfId="0" builtinId="0"/>
    <cellStyle name="一般 2" xfId="3" xr:uid="{00000000-0005-0000-0000-00001F000000}"/>
    <cellStyle name="一般 2 2" xfId="34" xr:uid="{00000000-0005-0000-0000-000020000000}"/>
    <cellStyle name="一般 2_M-PRO者THEME" xfId="35" xr:uid="{00000000-0005-0000-0000-000021000000}"/>
    <cellStyle name="一般 3" xfId="36" xr:uid="{00000000-0005-0000-0000-000022000000}"/>
    <cellStyle name="一般 4" xfId="72" xr:uid="{8527FBB5-D6AC-45A9-A780-12D0E800A8B3}"/>
    <cellStyle name="一般 5" xfId="37" xr:uid="{00000000-0005-0000-0000-000023000000}"/>
    <cellStyle name="入力" xfId="38" xr:uid="{00000000-0005-0000-0000-000024000000}"/>
    <cellStyle name="出力" xfId="39" xr:uid="{00000000-0005-0000-0000-000025000000}"/>
    <cellStyle name="好_M-PRO者THEME" xfId="40" xr:uid="{00000000-0005-0000-0000-000026000000}"/>
    <cellStyle name="好_M-PRO者THEME_1" xfId="41" xr:uid="{00000000-0005-0000-0000-000027000000}"/>
    <cellStyle name="好_TREE(空)" xfId="42" xr:uid="{00000000-0005-0000-0000-000028000000}"/>
    <cellStyle name="好_工作表1" xfId="43" xr:uid="{00000000-0005-0000-0000-000029000000}"/>
    <cellStyle name="好_工作表2" xfId="44" xr:uid="{00000000-0005-0000-0000-00002A000000}"/>
    <cellStyle name="好_工作表3" xfId="45" xr:uid="{00000000-0005-0000-0000-00002B000000}"/>
    <cellStyle name="好_工作表4" xfId="46" xr:uid="{00000000-0005-0000-0000-00002C000000}"/>
    <cellStyle name="好_重點課題表(空)" xfId="47" xr:uid="{00000000-0005-0000-0000-00002D000000}"/>
    <cellStyle name="百分比" xfId="2" builtinId="5"/>
    <cellStyle name="百分比 2" xfId="48" xr:uid="{00000000-0005-0000-0000-00002F000000}"/>
    <cellStyle name="良い" xfId="49" xr:uid="{00000000-0005-0000-0000-000030000000}"/>
    <cellStyle name="見出し 1" xfId="50" xr:uid="{00000000-0005-0000-0000-000031000000}"/>
    <cellStyle name="見出し 2" xfId="51" xr:uid="{00000000-0005-0000-0000-000032000000}"/>
    <cellStyle name="見出し 3" xfId="52" xr:uid="{00000000-0005-0000-0000-000033000000}"/>
    <cellStyle name="見出し 4" xfId="53" xr:uid="{00000000-0005-0000-0000-000034000000}"/>
    <cellStyle name="計算" xfId="54" xr:uid="{00000000-0005-0000-0000-000035000000}"/>
    <cellStyle name="悪い" xfId="55" xr:uid="{00000000-0005-0000-0000-000036000000}"/>
    <cellStyle name="超連結" xfId="1" builtinId="8" customBuiltin="1"/>
    <cellStyle name="集計" xfId="56" xr:uid="{00000000-0005-0000-0000-000038000000}"/>
    <cellStyle name="説明文" xfId="57" xr:uid="{00000000-0005-0000-0000-000039000000}"/>
    <cellStyle name="標準 10 3" xfId="58" xr:uid="{00000000-0005-0000-0000-00003A000000}"/>
    <cellStyle name="標準 2" xfId="59" xr:uid="{00000000-0005-0000-0000-00003B000000}"/>
    <cellStyle name="標準 2 2" xfId="60" xr:uid="{00000000-0005-0000-0000-00003C000000}"/>
    <cellStyle name="標準 2 3" xfId="61" xr:uid="{00000000-0005-0000-0000-00003D000000}"/>
    <cellStyle name="壞_M-PRO者THEME" xfId="62" xr:uid="{00000000-0005-0000-0000-00003E000000}"/>
    <cellStyle name="壞_M-PRO者THEME_1" xfId="63" xr:uid="{00000000-0005-0000-0000-00003F000000}"/>
    <cellStyle name="壞_TREE(空)" xfId="64" xr:uid="{00000000-0005-0000-0000-000040000000}"/>
    <cellStyle name="壞_工作表1" xfId="65" xr:uid="{00000000-0005-0000-0000-000041000000}"/>
    <cellStyle name="壞_工作表2" xfId="66" xr:uid="{00000000-0005-0000-0000-000042000000}"/>
    <cellStyle name="壞_工作表3" xfId="67" xr:uid="{00000000-0005-0000-0000-000043000000}"/>
    <cellStyle name="壞_工作表4" xfId="68" xr:uid="{00000000-0005-0000-0000-000044000000}"/>
    <cellStyle name="壞_重點課題表(空)" xfId="69" xr:uid="{00000000-0005-0000-0000-000045000000}"/>
    <cellStyle name="警告文" xfId="70" xr:uid="{00000000-0005-0000-0000-000046000000}"/>
    <cellStyle name="표준 2" xfId="71" xr:uid="{00000000-0005-0000-0000-000047000000}"/>
  </cellStyles>
  <dxfs count="12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border>
        <left style="thin">
          <color theme="0" tint="-0.24994659260841701"/>
        </left>
      </border>
    </dxf>
    <dxf>
      <border>
        <left style="thin">
          <color theme="0" tint="-0.24994659260841701"/>
        </left>
      </border>
    </dxf>
    <dxf>
      <border>
        <top style="thin">
          <color theme="4" tint="0.39994506668294322"/>
        </top>
      </border>
    </dxf>
    <dxf>
      <fill>
        <patternFill>
          <bgColor theme="0" tint="-4.9989318521683403E-2"/>
        </patternFill>
      </fill>
      <border>
        <top style="thin">
          <color theme="4" tint="0.39994506668294322"/>
        </top>
      </border>
    </dxf>
    <dxf>
      <font>
        <b/>
        <color theme="1"/>
      </font>
    </dxf>
    <dxf>
      <font>
        <b val="0"/>
        <i val="0"/>
        <color theme="1"/>
      </font>
      <border>
        <left style="thin">
          <color theme="4"/>
        </left>
      </border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</border>
    </dxf>
  </dxfs>
  <tableStyles count="1" defaultTableStyle="TableStyleMedium2" defaultPivotStyle="PivotStyleLight16">
    <tableStyle name="ToDoList" pivot="0" count="9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secondRowStripe" dxfId="5"/>
      <tableStyleElement type="firstColumnStripe" dxfId="4"/>
      <tableStyleElement type="secondColumnStripe" dxfId="3"/>
    </tableStyle>
  </tableStyles>
  <colors>
    <mruColors>
      <color rgb="FF0000CC"/>
      <color rgb="FF0066FF"/>
      <color rgb="FF4EEBFC"/>
      <color rgb="FF4CDCFE"/>
      <color rgb="FF00CC00"/>
      <color rgb="FF333399"/>
      <color rgb="FF395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ProjectTaskList!$B$1</c:f>
          <c:strCache>
            <c:ptCount val="1"/>
            <c:pt idx="0">
              <c:v>2017年度素材製造二課【重 點 課 題】-CF 陳俊碩</c:v>
            </c:pt>
          </c:strCache>
        </c:strRef>
      </c:tx>
      <c:layout>
        <c:manualLayout>
          <c:xMode val="edge"/>
          <c:yMode val="edge"/>
          <c:x val="7.9631101158226722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500" b="1" i="0" u="none" strike="noStrike" kern="1200" spc="0" baseline="0">
              <a:solidFill>
                <a:srgbClr val="0000CC"/>
              </a:solidFill>
              <a:latin typeface="+mj-ea"/>
              <a:ea typeface="+mj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6145360252750443"/>
          <c:y val="0.1847412073490815"/>
          <c:w val="0.8184011172915312"/>
          <c:h val="0.8046205394538452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ProjectTaskList!$I$4</c:f>
              <c:strCache>
                <c:ptCount val="1"/>
                <c:pt idx="0">
                  <c:v>Project Start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ProjectTaskList!$B$5:$C$19</c:f>
              <c:multiLvlStrCache>
                <c:ptCount val="14"/>
                <c:lvl>
                  <c:pt idx="0">
                    <c:v>課內安全巡檢(A階以上)</c:v>
                  </c:pt>
                  <c:pt idx="1">
                    <c:v>現場環境改善</c:v>
                  </c:pt>
                  <c:pt idx="2">
                    <c:v>窯前集塵器再利用</c:v>
                  </c:pt>
                  <c:pt idx="3">
                    <c:v>莊勝傑 育成(C階)</c:v>
                  </c:pt>
                  <c:pt idx="4">
                    <c:v>蔡智宇 育成(B階)</c:v>
                  </c:pt>
                  <c:pt idx="5">
                    <c:v>日文能力強化</c:v>
                  </c:pt>
                  <c:pt idx="6">
                    <c:v>N窯保全強化</c:v>
                  </c:pt>
                  <c:pt idx="7">
                    <c:v>調合異常撲滅(PEGAS@s)</c:v>
                  </c:pt>
                  <c:pt idx="8">
                    <c:v>異常對應／對應演練</c:v>
                  </c:pt>
                  <c:pt idx="9">
                    <c:v>人為Miss撲滅(異常預想)</c:v>
                  </c:pt>
                  <c:pt idx="10">
                    <c:v>CF窯生產量1050ｋ㎡達成</c:v>
                  </c:pt>
                  <c:pt idx="11">
                    <c:v>泡／T棒改善</c:v>
                  </c:pt>
                  <c:pt idx="12">
                    <c:v>異常擴大避免</c:v>
                  </c:pt>
                  <c:pt idx="13">
                    <c:v>聯絡體制確保／再審視</c:v>
                  </c:pt>
                </c:lvl>
                <c:lvl>
                  <c:pt idx="0">
                    <c:v>安全環境</c:v>
                  </c:pt>
                  <c:pt idx="3">
                    <c:v>人材育成</c:v>
                  </c:pt>
                  <c:pt idx="6">
                    <c:v>設備保全</c:v>
                  </c:pt>
                  <c:pt idx="10">
                    <c:v>卓越製造</c:v>
                  </c:pt>
                </c:lvl>
              </c:multiLvlStrCache>
            </c:multiLvlStrRef>
          </c:cat>
          <c:val>
            <c:numRef>
              <c:f>ProjectTaskList!$I$5:$I$19</c:f>
              <c:numCache>
                <c:formatCode>m/d/yyyy</c:formatCode>
                <c:ptCount val="15"/>
                <c:pt idx="0">
                  <c:v>42736</c:v>
                </c:pt>
                <c:pt idx="1">
                  <c:v>42736</c:v>
                </c:pt>
                <c:pt idx="2">
                  <c:v>42736</c:v>
                </c:pt>
                <c:pt idx="3">
                  <c:v>42736</c:v>
                </c:pt>
                <c:pt idx="4">
                  <c:v>42736</c:v>
                </c:pt>
                <c:pt idx="5">
                  <c:v>42736</c:v>
                </c:pt>
                <c:pt idx="6">
                  <c:v>42736</c:v>
                </c:pt>
                <c:pt idx="7">
                  <c:v>42736</c:v>
                </c:pt>
                <c:pt idx="8">
                  <c:v>42736</c:v>
                </c:pt>
                <c:pt idx="9">
                  <c:v>42736</c:v>
                </c:pt>
                <c:pt idx="10">
                  <c:v>42736</c:v>
                </c:pt>
                <c:pt idx="11">
                  <c:v>42736</c:v>
                </c:pt>
                <c:pt idx="12">
                  <c:v>42736</c:v>
                </c:pt>
                <c:pt idx="13">
                  <c:v>42736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6-45F7-AE0A-DF408E829EF2}"/>
            </c:ext>
          </c:extLst>
        </c:ser>
        <c:ser>
          <c:idx val="1"/>
          <c:order val="1"/>
          <c:tx>
            <c:strRef>
              <c:f>ProjectTaskList!$J$4</c:f>
              <c:strCache>
                <c:ptCount val="1"/>
                <c:pt idx="0">
                  <c:v>Days to Start</c:v>
                </c:pt>
              </c:strCache>
            </c:strRef>
          </c:tx>
          <c:spPr>
            <a:solidFill>
              <a:schemeClr val="bg1"/>
            </a:solidFill>
            <a:ln>
              <a:solidFill>
                <a:sysClr val="window" lastClr="FFFFFF">
                  <a:lumMod val="75000"/>
                  <a:alpha val="90000"/>
                </a:sysClr>
              </a:solidFill>
              <a:prstDash val="sysDot"/>
            </a:ln>
            <a:effectLst/>
          </c:spPr>
          <c:invertIfNegative val="0"/>
          <c:cat>
            <c:multiLvlStrRef>
              <c:f>ProjectTaskList!$B$5:$C$19</c:f>
              <c:multiLvlStrCache>
                <c:ptCount val="14"/>
                <c:lvl>
                  <c:pt idx="0">
                    <c:v>課內安全巡檢(A階以上)</c:v>
                  </c:pt>
                  <c:pt idx="1">
                    <c:v>現場環境改善</c:v>
                  </c:pt>
                  <c:pt idx="2">
                    <c:v>窯前集塵器再利用</c:v>
                  </c:pt>
                  <c:pt idx="3">
                    <c:v>莊勝傑 育成(C階)</c:v>
                  </c:pt>
                  <c:pt idx="4">
                    <c:v>蔡智宇 育成(B階)</c:v>
                  </c:pt>
                  <c:pt idx="5">
                    <c:v>日文能力強化</c:v>
                  </c:pt>
                  <c:pt idx="6">
                    <c:v>N窯保全強化</c:v>
                  </c:pt>
                  <c:pt idx="7">
                    <c:v>調合異常撲滅(PEGAS@s)</c:v>
                  </c:pt>
                  <c:pt idx="8">
                    <c:v>異常對應／對應演練</c:v>
                  </c:pt>
                  <c:pt idx="9">
                    <c:v>人為Miss撲滅(異常預想)</c:v>
                  </c:pt>
                  <c:pt idx="10">
                    <c:v>CF窯生產量1050ｋ㎡達成</c:v>
                  </c:pt>
                  <c:pt idx="11">
                    <c:v>泡／T棒改善</c:v>
                  </c:pt>
                  <c:pt idx="12">
                    <c:v>異常擴大避免</c:v>
                  </c:pt>
                  <c:pt idx="13">
                    <c:v>聯絡體制確保／再審視</c:v>
                  </c:pt>
                </c:lvl>
                <c:lvl>
                  <c:pt idx="0">
                    <c:v>安全環境</c:v>
                  </c:pt>
                  <c:pt idx="3">
                    <c:v>人材育成</c:v>
                  </c:pt>
                  <c:pt idx="6">
                    <c:v>設備保全</c:v>
                  </c:pt>
                  <c:pt idx="10">
                    <c:v>卓越製造</c:v>
                  </c:pt>
                </c:lvl>
              </c:multiLvlStrCache>
            </c:multiLvlStrRef>
          </c:cat>
          <c:val>
            <c:numRef>
              <c:f>ProjectTaskList!$J$5:$J$19</c:f>
              <c:numCache>
                <c:formatCode>General</c:formatCode>
                <c:ptCount val="15"/>
                <c:pt idx="0">
                  <c:v>0</c:v>
                </c:pt>
                <c:pt idx="1">
                  <c:v>15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141</c:v>
                </c:pt>
                <c:pt idx="6">
                  <c:v>31</c:v>
                </c:pt>
                <c:pt idx="7">
                  <c:v>31</c:v>
                </c:pt>
                <c:pt idx="8">
                  <c:v>59</c:v>
                </c:pt>
                <c:pt idx="9">
                  <c:v>43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446-45F7-AE0A-DF408E829EF2}"/>
            </c:ext>
          </c:extLst>
        </c:ser>
        <c:ser>
          <c:idx val="2"/>
          <c:order val="2"/>
          <c:tx>
            <c:strRef>
              <c:f>ProjectTaskList!$K$4</c:f>
              <c:strCache>
                <c:ptCount val="1"/>
                <c:pt idx="0">
                  <c:v>Complete
(完成)</c:v>
                </c:pt>
              </c:strCache>
            </c:strRef>
          </c:tx>
          <c:spPr>
            <a:solidFill>
              <a:srgbClr val="00CC00"/>
            </a:solidFill>
            <a:ln>
              <a:solidFill>
                <a:srgbClr val="FFC000">
                  <a:alpha val="85000"/>
                </a:srgbClr>
              </a:solidFill>
              <a:prstDash val="sysDash"/>
            </a:ln>
            <a:effectLst/>
          </c:spPr>
          <c:invertIfNegative val="0"/>
          <c:cat>
            <c:multiLvlStrRef>
              <c:f>ProjectTaskList!$B$5:$C$19</c:f>
              <c:multiLvlStrCache>
                <c:ptCount val="14"/>
                <c:lvl>
                  <c:pt idx="0">
                    <c:v>課內安全巡檢(A階以上)</c:v>
                  </c:pt>
                  <c:pt idx="1">
                    <c:v>現場環境改善</c:v>
                  </c:pt>
                  <c:pt idx="2">
                    <c:v>窯前集塵器再利用</c:v>
                  </c:pt>
                  <c:pt idx="3">
                    <c:v>莊勝傑 育成(C階)</c:v>
                  </c:pt>
                  <c:pt idx="4">
                    <c:v>蔡智宇 育成(B階)</c:v>
                  </c:pt>
                  <c:pt idx="5">
                    <c:v>日文能力強化</c:v>
                  </c:pt>
                  <c:pt idx="6">
                    <c:v>N窯保全強化</c:v>
                  </c:pt>
                  <c:pt idx="7">
                    <c:v>調合異常撲滅(PEGAS@s)</c:v>
                  </c:pt>
                  <c:pt idx="8">
                    <c:v>異常對應／對應演練</c:v>
                  </c:pt>
                  <c:pt idx="9">
                    <c:v>人為Miss撲滅(異常預想)</c:v>
                  </c:pt>
                  <c:pt idx="10">
                    <c:v>CF窯生產量1050ｋ㎡達成</c:v>
                  </c:pt>
                  <c:pt idx="11">
                    <c:v>泡／T棒改善</c:v>
                  </c:pt>
                  <c:pt idx="12">
                    <c:v>異常擴大避免</c:v>
                  </c:pt>
                  <c:pt idx="13">
                    <c:v>聯絡體制確保／再審視</c:v>
                  </c:pt>
                </c:lvl>
                <c:lvl>
                  <c:pt idx="0">
                    <c:v>安全環境</c:v>
                  </c:pt>
                  <c:pt idx="3">
                    <c:v>人材育成</c:v>
                  </c:pt>
                  <c:pt idx="6">
                    <c:v>設備保全</c:v>
                  </c:pt>
                  <c:pt idx="10">
                    <c:v>卓越製造</c:v>
                  </c:pt>
                </c:lvl>
              </c:multiLvlStrCache>
            </c:multiLvlStrRef>
          </c:cat>
          <c:val>
            <c:numRef>
              <c:f>ProjectTaskList!$K$5:$K$19</c:f>
              <c:numCache>
                <c:formatCode>0_ </c:formatCode>
                <c:ptCount val="15"/>
                <c:pt idx="0">
                  <c:v>212.33333333333334</c:v>
                </c:pt>
                <c:pt idx="1">
                  <c:v>135.72222222222223</c:v>
                </c:pt>
                <c:pt idx="2">
                  <c:v>0</c:v>
                </c:pt>
                <c:pt idx="3">
                  <c:v>121.33333333333333</c:v>
                </c:pt>
                <c:pt idx="4">
                  <c:v>242.66666666666666</c:v>
                </c:pt>
                <c:pt idx="5">
                  <c:v>0</c:v>
                </c:pt>
                <c:pt idx="6">
                  <c:v>146.28571428571428</c:v>
                </c:pt>
                <c:pt idx="7">
                  <c:v>121.09090909090909</c:v>
                </c:pt>
                <c:pt idx="8">
                  <c:v>122.66666666666666</c:v>
                </c:pt>
                <c:pt idx="9">
                  <c:v>160.5</c:v>
                </c:pt>
                <c:pt idx="10">
                  <c:v>0</c:v>
                </c:pt>
                <c:pt idx="11">
                  <c:v>163.79999999999998</c:v>
                </c:pt>
                <c:pt idx="12">
                  <c:v>200.89999999999998</c:v>
                </c:pt>
                <c:pt idx="13">
                  <c:v>60.6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46-45F7-AE0A-DF408E829EF2}"/>
            </c:ext>
          </c:extLst>
        </c:ser>
        <c:ser>
          <c:idx val="3"/>
          <c:order val="3"/>
          <c:tx>
            <c:strRef>
              <c:f>ProjectTaskList!$L$4</c:f>
              <c:strCache>
                <c:ptCount val="1"/>
                <c:pt idx="0">
                  <c:v>Incomplete
(未完)</c:v>
                </c:pt>
              </c:strCache>
            </c:strRef>
          </c:tx>
          <c:spPr>
            <a:solidFill>
              <a:srgbClr val="0070C0">
                <a:alpha val="85000"/>
              </a:srgbClr>
            </a:solidFill>
            <a:ln>
              <a:solidFill>
                <a:srgbClr val="FF0000">
                  <a:alpha val="75000"/>
                </a:srgbClr>
              </a:solidFill>
              <a:prstDash val="sysDash"/>
            </a:ln>
            <a:effectLst/>
          </c:spPr>
          <c:invertIfNegative val="0"/>
          <c:cat>
            <c:multiLvlStrRef>
              <c:f>ProjectTaskList!$B$5:$C$19</c:f>
              <c:multiLvlStrCache>
                <c:ptCount val="14"/>
                <c:lvl>
                  <c:pt idx="0">
                    <c:v>課內安全巡檢(A階以上)</c:v>
                  </c:pt>
                  <c:pt idx="1">
                    <c:v>現場環境改善</c:v>
                  </c:pt>
                  <c:pt idx="2">
                    <c:v>窯前集塵器再利用</c:v>
                  </c:pt>
                  <c:pt idx="3">
                    <c:v>莊勝傑 育成(C階)</c:v>
                  </c:pt>
                  <c:pt idx="4">
                    <c:v>蔡智宇 育成(B階)</c:v>
                  </c:pt>
                  <c:pt idx="5">
                    <c:v>日文能力強化</c:v>
                  </c:pt>
                  <c:pt idx="6">
                    <c:v>N窯保全強化</c:v>
                  </c:pt>
                  <c:pt idx="7">
                    <c:v>調合異常撲滅(PEGAS@s)</c:v>
                  </c:pt>
                  <c:pt idx="8">
                    <c:v>異常對應／對應演練</c:v>
                  </c:pt>
                  <c:pt idx="9">
                    <c:v>人為Miss撲滅(異常預想)</c:v>
                  </c:pt>
                  <c:pt idx="10">
                    <c:v>CF窯生產量1050ｋ㎡達成</c:v>
                  </c:pt>
                  <c:pt idx="11">
                    <c:v>泡／T棒改善</c:v>
                  </c:pt>
                  <c:pt idx="12">
                    <c:v>異常擴大避免</c:v>
                  </c:pt>
                  <c:pt idx="13">
                    <c:v>聯絡體制確保／再審視</c:v>
                  </c:pt>
                </c:lvl>
                <c:lvl>
                  <c:pt idx="0">
                    <c:v>安全環境</c:v>
                  </c:pt>
                  <c:pt idx="3">
                    <c:v>人材育成</c:v>
                  </c:pt>
                  <c:pt idx="6">
                    <c:v>設備保全</c:v>
                  </c:pt>
                  <c:pt idx="10">
                    <c:v>卓越製造</c:v>
                  </c:pt>
                </c:lvl>
              </c:multiLvlStrCache>
            </c:multiLvlStrRef>
          </c:cat>
          <c:val>
            <c:numRef>
              <c:f>ProjectTaskList!$L$5:$L$19</c:f>
              <c:numCache>
                <c:formatCode>0_ </c:formatCode>
                <c:ptCount val="15"/>
                <c:pt idx="0">
                  <c:v>151.66666666666666</c:v>
                </c:pt>
                <c:pt idx="1">
                  <c:v>213.27777777777777</c:v>
                </c:pt>
                <c:pt idx="2">
                  <c:v>0</c:v>
                </c:pt>
                <c:pt idx="3">
                  <c:v>242.66666666666669</c:v>
                </c:pt>
                <c:pt idx="4">
                  <c:v>121.33333333333334</c:v>
                </c:pt>
                <c:pt idx="5">
                  <c:v>223</c:v>
                </c:pt>
                <c:pt idx="6">
                  <c:v>109.71428571428572</c:v>
                </c:pt>
                <c:pt idx="7">
                  <c:v>211.90909090909091</c:v>
                </c:pt>
                <c:pt idx="8">
                  <c:v>61.333333333333343</c:v>
                </c:pt>
                <c:pt idx="9">
                  <c:v>160.5</c:v>
                </c:pt>
                <c:pt idx="10">
                  <c:v>273</c:v>
                </c:pt>
                <c:pt idx="11">
                  <c:v>109.20000000000002</c:v>
                </c:pt>
                <c:pt idx="12">
                  <c:v>86.100000000000023</c:v>
                </c:pt>
                <c:pt idx="13">
                  <c:v>242.4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446-45F7-AE0A-DF408E829EF2}"/>
            </c:ext>
          </c:extLst>
        </c:ser>
        <c:ser>
          <c:idx val="4"/>
          <c:order val="4"/>
          <c:tx>
            <c:strRef>
              <c:f>ProjectTaskList!$M$4</c:f>
              <c:strCache>
                <c:ptCount val="1"/>
                <c:pt idx="0">
                  <c:v>Slippage
(延遲)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ProjectTaskList!$B$5:$C$19</c:f>
              <c:multiLvlStrCache>
                <c:ptCount val="14"/>
                <c:lvl>
                  <c:pt idx="0">
                    <c:v>課內安全巡檢(A階以上)</c:v>
                  </c:pt>
                  <c:pt idx="1">
                    <c:v>現場環境改善</c:v>
                  </c:pt>
                  <c:pt idx="2">
                    <c:v>窯前集塵器再利用</c:v>
                  </c:pt>
                  <c:pt idx="3">
                    <c:v>莊勝傑 育成(C階)</c:v>
                  </c:pt>
                  <c:pt idx="4">
                    <c:v>蔡智宇 育成(B階)</c:v>
                  </c:pt>
                  <c:pt idx="5">
                    <c:v>日文能力強化</c:v>
                  </c:pt>
                  <c:pt idx="6">
                    <c:v>N窯保全強化</c:v>
                  </c:pt>
                  <c:pt idx="7">
                    <c:v>調合異常撲滅(PEGAS@s)</c:v>
                  </c:pt>
                  <c:pt idx="8">
                    <c:v>異常對應／對應演練</c:v>
                  </c:pt>
                  <c:pt idx="9">
                    <c:v>人為Miss撲滅(異常預想)</c:v>
                  </c:pt>
                  <c:pt idx="10">
                    <c:v>CF窯生產量1050ｋ㎡達成</c:v>
                  </c:pt>
                  <c:pt idx="11">
                    <c:v>泡／T棒改善</c:v>
                  </c:pt>
                  <c:pt idx="12">
                    <c:v>異常擴大避免</c:v>
                  </c:pt>
                  <c:pt idx="13">
                    <c:v>聯絡體制確保／再審視</c:v>
                  </c:pt>
                </c:lvl>
                <c:lvl>
                  <c:pt idx="0">
                    <c:v>安全環境</c:v>
                  </c:pt>
                  <c:pt idx="3">
                    <c:v>人材育成</c:v>
                  </c:pt>
                  <c:pt idx="6">
                    <c:v>設備保全</c:v>
                  </c:pt>
                  <c:pt idx="10">
                    <c:v>卓越製造</c:v>
                  </c:pt>
                </c:lvl>
              </c:multiLvlStrCache>
            </c:multiLvlStrRef>
          </c:cat>
          <c:val>
            <c:numRef>
              <c:f>ProjectTaskList!$M$5:$M$19</c:f>
              <c:numCache>
                <c:formatCode>General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446-45F7-AE0A-DF408E829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26849792"/>
        <c:axId val="126851328"/>
      </c:barChart>
      <c:catAx>
        <c:axId val="12684979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6851328"/>
        <c:crosses val="autoZero"/>
        <c:auto val="1"/>
        <c:lblAlgn val="ctr"/>
        <c:lblOffset val="100"/>
        <c:tickLblSkip val="1"/>
        <c:noMultiLvlLbl val="0"/>
      </c:catAx>
      <c:valAx>
        <c:axId val="126851328"/>
        <c:scaling>
          <c:orientation val="minMax"/>
          <c:max val="43100"/>
          <c:min val="42736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;@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6849792"/>
        <c:crosses val="autoZero"/>
        <c:crossBetween val="between"/>
        <c:majorUnit val="28"/>
        <c:minorUnit val="14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t"/>
      <c:legendEntry>
        <c:idx val="0"/>
        <c:delete val="1"/>
      </c:legendEntry>
      <c:legendEntry>
        <c:idx val="1"/>
        <c:delete val="1"/>
      </c:legendEntry>
      <c:layout>
        <c:manualLayout>
          <c:xMode val="edge"/>
          <c:yMode val="edge"/>
          <c:x val="0.76511510696819296"/>
          <c:y val="5.412810240825154E-4"/>
          <c:w val="0.23340648780484563"/>
          <c:h val="9.151977713312151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ProjectTaskList!$B$1</c:f>
          <c:strCache>
            <c:ptCount val="1"/>
            <c:pt idx="0">
              <c:v>2017年度素材製造二課【重 點 課 題】-CF 陳俊碩</c:v>
            </c:pt>
          </c:strCache>
        </c:strRef>
      </c:tx>
      <c:layout>
        <c:manualLayout>
          <c:xMode val="edge"/>
          <c:yMode val="edge"/>
          <c:x val="7.9631101158226776E-4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500" b="1" i="0" u="none" strike="noStrike" kern="1200" spc="0" baseline="0">
              <a:solidFill>
                <a:srgbClr val="0000CC"/>
              </a:solidFill>
              <a:latin typeface="+mj-ea"/>
              <a:ea typeface="+mj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0.16145360252750443"/>
          <c:y val="0.18474120734908156"/>
          <c:w val="0.81840111729153142"/>
          <c:h val="0.80462053945384571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ProjectTaskList!$H$4</c:f>
              <c:strCache>
                <c:ptCount val="1"/>
                <c:pt idx="0">
                  <c:v>% COMPLETE</c:v>
                </c:pt>
              </c:strCache>
            </c:strRef>
          </c:tx>
          <c:spPr>
            <a:gradFill flip="none" rotWithShape="1">
              <a:gsLst>
                <a:gs pos="0">
                  <a:srgbClr val="0000CC">
                    <a:alpha val="74000"/>
                  </a:srgbClr>
                </a:gs>
                <a:gs pos="39999">
                  <a:srgbClr val="0066FF">
                    <a:alpha val="75000"/>
                  </a:srgbClr>
                </a:gs>
                <a:gs pos="70000">
                  <a:srgbClr val="00B0F0">
                    <a:alpha val="75000"/>
                  </a:srgbClr>
                </a:gs>
                <a:gs pos="100000">
                  <a:srgbClr val="4EEBFC">
                    <a:alpha val="75000"/>
                  </a:srgbClr>
                </a:gs>
              </a:gsLst>
              <a:lin ang="0" scaled="1"/>
              <a:tileRect/>
            </a:gradFill>
          </c:spPr>
          <c:invertIfNegative val="0"/>
          <c:cat>
            <c:multiLvlStrRef>
              <c:f>ProjectTaskList!$B$5:$C$19</c:f>
              <c:multiLvlStrCache>
                <c:ptCount val="14"/>
                <c:lvl>
                  <c:pt idx="0">
                    <c:v>課內安全巡檢(A階以上)</c:v>
                  </c:pt>
                  <c:pt idx="1">
                    <c:v>現場環境改善</c:v>
                  </c:pt>
                  <c:pt idx="2">
                    <c:v>窯前集塵器再利用</c:v>
                  </c:pt>
                  <c:pt idx="3">
                    <c:v>莊勝傑 育成(C階)</c:v>
                  </c:pt>
                  <c:pt idx="4">
                    <c:v>蔡智宇 育成(B階)</c:v>
                  </c:pt>
                  <c:pt idx="5">
                    <c:v>日文能力強化</c:v>
                  </c:pt>
                  <c:pt idx="6">
                    <c:v>N窯保全強化</c:v>
                  </c:pt>
                  <c:pt idx="7">
                    <c:v>調合異常撲滅(PEGAS@s)</c:v>
                  </c:pt>
                  <c:pt idx="8">
                    <c:v>異常對應／對應演練</c:v>
                  </c:pt>
                  <c:pt idx="9">
                    <c:v>人為Miss撲滅(異常預想)</c:v>
                  </c:pt>
                  <c:pt idx="10">
                    <c:v>CF窯生產量1050ｋ㎡達成</c:v>
                  </c:pt>
                  <c:pt idx="11">
                    <c:v>泡／T棒改善</c:v>
                  </c:pt>
                  <c:pt idx="12">
                    <c:v>異常擴大避免</c:v>
                  </c:pt>
                  <c:pt idx="13">
                    <c:v>聯絡體制確保／再審視</c:v>
                  </c:pt>
                </c:lvl>
                <c:lvl>
                  <c:pt idx="0">
                    <c:v>安全環境</c:v>
                  </c:pt>
                  <c:pt idx="3">
                    <c:v>人材育成</c:v>
                  </c:pt>
                  <c:pt idx="6">
                    <c:v>設備保全</c:v>
                  </c:pt>
                  <c:pt idx="10">
                    <c:v>卓越製造</c:v>
                  </c:pt>
                </c:lvl>
              </c:multiLvlStrCache>
            </c:multiLvlStrRef>
          </c:cat>
          <c:val>
            <c:numRef>
              <c:f>ProjectTaskList!$H$5:$H$19</c:f>
              <c:numCache>
                <c:formatCode>0%</c:formatCode>
                <c:ptCount val="15"/>
                <c:pt idx="0">
                  <c:v>0.58333333333333337</c:v>
                </c:pt>
                <c:pt idx="1">
                  <c:v>0.3888888888888889</c:v>
                </c:pt>
                <c:pt idx="2">
                  <c:v>0</c:v>
                </c:pt>
                <c:pt idx="3">
                  <c:v>0.33333333333333331</c:v>
                </c:pt>
                <c:pt idx="4">
                  <c:v>0.66666666666666663</c:v>
                </c:pt>
                <c:pt idx="5">
                  <c:v>0</c:v>
                </c:pt>
                <c:pt idx="6">
                  <c:v>0.5714285714285714</c:v>
                </c:pt>
                <c:pt idx="7">
                  <c:v>0.36363636363636365</c:v>
                </c:pt>
                <c:pt idx="8">
                  <c:v>0.66666666666666663</c:v>
                </c:pt>
                <c:pt idx="9">
                  <c:v>0.5</c:v>
                </c:pt>
                <c:pt idx="10">
                  <c:v>0</c:v>
                </c:pt>
                <c:pt idx="11">
                  <c:v>0.6</c:v>
                </c:pt>
                <c:pt idx="12">
                  <c:v>0.7</c:v>
                </c:pt>
                <c:pt idx="13">
                  <c:v>0.2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46-45F7-AE0A-DF408E829E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100"/>
        <c:axId val="126789504"/>
        <c:axId val="126791040"/>
      </c:barChart>
      <c:catAx>
        <c:axId val="126789504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6791040"/>
        <c:crosses val="autoZero"/>
        <c:auto val="1"/>
        <c:lblAlgn val="ctr"/>
        <c:lblOffset val="100"/>
        <c:tickLblSkip val="1"/>
        <c:noMultiLvlLbl val="0"/>
      </c:catAx>
      <c:valAx>
        <c:axId val="126791040"/>
        <c:scaling>
          <c:orientation val="minMax"/>
          <c:max val="1"/>
          <c:min val="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b" anchorCtr="1"/>
          <a:lstStyle/>
          <a:p>
            <a:pPr>
              <a:defRPr lang="en-US" sz="11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126789504"/>
        <c:crosses val="autoZero"/>
        <c:crossBetween val="between"/>
        <c:majorUnit val="0.1"/>
      </c:valAx>
      <c:spPr>
        <a:noFill/>
        <a:ln>
          <a:solidFill>
            <a:schemeClr val="bg1">
              <a:lumMod val="75000"/>
            </a:schemeClr>
          </a:solidFill>
        </a:ln>
        <a:effectLst/>
      </c:spPr>
    </c:plotArea>
    <c:legend>
      <c:legendPos val="t"/>
      <c:layout>
        <c:manualLayout>
          <c:xMode val="edge"/>
          <c:yMode val="edge"/>
          <c:x val="0.90128111279668022"/>
          <c:y val="1.4619883040935672E-3"/>
          <c:w val="9.8559079197669097E-2"/>
          <c:h val="5.1499056039047753E-2"/>
        </c:manualLayout>
      </c:layout>
      <c:overlay val="0"/>
      <c:spPr>
        <a:solidFill>
          <a:sysClr val="window" lastClr="F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0"/>
    <c:dispBlanksAs val="gap"/>
    <c:showDLblsOverMax val="0"/>
  </c:chart>
  <c:spPr>
    <a:solidFill>
      <a:schemeClr val="bg1"/>
    </a:solidFill>
    <a:ln w="952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000000000000078" l="0.70000000000000062" r="0.70000000000000062" t="0.75000000000000078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2</xdr:row>
      <xdr:rowOff>0</xdr:rowOff>
    </xdr:from>
    <xdr:to>
      <xdr:col>11</xdr:col>
      <xdr:colOff>5632</xdr:colOff>
      <xdr:row>23</xdr:row>
      <xdr:rowOff>19050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176EFA6-2272-4BF3-9AEA-1FC308E633C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screen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>
        <a:xfrm>
          <a:off x="857250" y="285750"/>
          <a:ext cx="6863632" cy="4019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20</xdr:row>
      <xdr:rowOff>0</xdr:rowOff>
    </xdr:from>
    <xdr:to>
      <xdr:col>15</xdr:col>
      <xdr:colOff>0</xdr:colOff>
      <xdr:row>42</xdr:row>
      <xdr:rowOff>152400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44</xdr:row>
      <xdr:rowOff>0</xdr:rowOff>
    </xdr:from>
    <xdr:to>
      <xdr:col>15</xdr:col>
      <xdr:colOff>0</xdr:colOff>
      <xdr:row>66</xdr:row>
      <xdr:rowOff>152400</xdr:rowOff>
    </xdr:to>
    <xdr:graphicFrame macro="">
      <xdr:nvGraphicFramePr>
        <xdr:cNvPr id="6" name="Chart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Vertex42 - CalendarBoldBlue">
      <a:dk1>
        <a:sysClr val="windowText" lastClr="000000"/>
      </a:dk1>
      <a:lt1>
        <a:sysClr val="window" lastClr="FFFFFF"/>
      </a:lt1>
      <a:dk2>
        <a:srgbClr val="3A5D9C"/>
      </a:dk2>
      <a:lt2>
        <a:srgbClr val="EEECE2"/>
      </a:lt2>
      <a:accent1>
        <a:srgbClr val="3969AD"/>
      </a:accent1>
      <a:accent2>
        <a:srgbClr val="C04E4E"/>
      </a:accent2>
      <a:accent3>
        <a:srgbClr val="E68422"/>
      </a:accent3>
      <a:accent4>
        <a:srgbClr val="846648"/>
      </a:accent4>
      <a:accent5>
        <a:srgbClr val="26AA26"/>
      </a:accent5>
      <a:accent6>
        <a:srgbClr val="7860B4"/>
      </a:accent6>
      <a:hlink>
        <a:srgbClr val="4C92AE"/>
      </a:hlink>
      <a:folHlink>
        <a:srgbClr val="969696"/>
      </a:folHlink>
    </a:clrScheme>
    <a:fontScheme name="Arial">
      <a:maj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..\..\..\..\..\..\..\&#32032;&#26448;&#35069;&#36896;&#20849;&#36890;\&#25216;&#34899;&#22577;&#21578;&#20250;&#36039;&#26009;\2016&#24180;\20160510\CF\CF&#30333;&#37329;2016.xlsx" TargetMode="External"/><Relationship Id="rId13" Type="http://schemas.openxmlformats.org/officeDocument/2006/relationships/hyperlink" Target="file:///\\172.18.154.189\mfg_public\00%20&#35069;&#36896;&#19968;&#37096;&#20849;&#36890;\&#26412;&#31038;&#30740;&#30952;&#36000;&#33655;&#26085;&#22577;\&#26032;&#65350;&#65359;&#65362;&#65357;&#65345;&#65364;" TargetMode="External"/><Relationship Id="rId3" Type="http://schemas.openxmlformats.org/officeDocument/2006/relationships/hyperlink" Target="file:///\\172.18.154.188\adt_public\08_&#37096;&#38272;&#24773;&#22577;\8409_&#21697;&#36074;&#24773;&#22577;&#26371;&#35696;-&#21697;&#20445;CS&#27963;&#21205;\&#32032;&#26495;AN-QC&#26371;&#35696;" TargetMode="External"/><Relationship Id="rId7" Type="http://schemas.openxmlformats.org/officeDocument/2006/relationships/hyperlink" Target="file:///\\stw1fspf01\14&#12289;18%20K\&#24033;&#27298;&#32570;&#22833;\2017\&#20108;&#35506;&#33258;&#20027;&#24033;&#27298;" TargetMode="External"/><Relationship Id="rId12" Type="http://schemas.openxmlformats.org/officeDocument/2006/relationships/hyperlink" Target="..\..\..\..\..\..\02%20EF\EF&#20837;&#24235;&#25351;&#31034;&#26360;\&#12298;EF&#31407;&#12299;NONTAS&#23455;&#32318;\&#26032;Form" TargetMode="External"/><Relationship Id="rId17" Type="http://schemas.openxmlformats.org/officeDocument/2006/relationships/comments" Target="../comments1.xml"/><Relationship Id="rId2" Type="http://schemas.openxmlformats.org/officeDocument/2006/relationships/hyperlink" Target="file:///\\stw1fspf01\..\..\&#32032;&#26448;&#35069;&#36896;&#20849;&#36890;\&#25216;&#34899;&#22577;&#21578;&#20250;&#36039;&#26009;" TargetMode="External"/><Relationship Id="rId16" Type="http://schemas.openxmlformats.org/officeDocument/2006/relationships/vmlDrawing" Target="../drawings/vmlDrawing1.vml"/><Relationship Id="rId1" Type="http://schemas.openxmlformats.org/officeDocument/2006/relationships/hyperlink" Target="file:///\\172.18.154.188\adt_public\09_V&#22996;&#21729;&#26371;\&#21488;&#21335;-&#30740;&#30952;&#24773;&#22577;\2017&#24180;&#32032;&#26495;-&#30740;&#30952;MTG" TargetMode="External"/><Relationship Id="rId6" Type="http://schemas.openxmlformats.org/officeDocument/2006/relationships/hyperlink" Target="file:///\\stw1fspf01\..\01%20CF\&#25972;&#20633;&#29677;&#30456;&#38364;&#36039;&#26009;\CF-3%20&#21508;&#21312;&#20316;&#26989;&#27298;&#35222;\CF%20HOT&#29694;&#22580;&#29872;&#22659;&#25913;&#21892;&#35336;&#30059;.xlsx" TargetMode="External"/><Relationship Id="rId11" Type="http://schemas.openxmlformats.org/officeDocument/2006/relationships/hyperlink" Target="..\..\..\..\..\..\..\&#32032;&#26448;&#35069;&#36896;&#20849;&#36890;\&#25216;&#34899;&#22577;&#21578;&#20250;&#36039;&#26009;\2016&#24180;\20160307\CF\Data\CF3%2020160206%20&#22320;&#38663;&#26178;&#33853;&#19979;&#29001;&#29926;.xlsx" TargetMode="External"/><Relationship Id="rId5" Type="http://schemas.openxmlformats.org/officeDocument/2006/relationships/hyperlink" Target="file:///\\stw1fspf01\..\01%20CF\&#25972;&#20633;&#29677;&#30456;&#38364;&#36039;&#26009;\2017%20&#20316;&#26989;&#20998;&#37197;&#32317;&#35261;" TargetMode="External"/><Relationship Id="rId15" Type="http://schemas.openxmlformats.org/officeDocument/2006/relationships/printerSettings" Target="../printerSettings/printerSettings2.bin"/><Relationship Id="rId10" Type="http://schemas.openxmlformats.org/officeDocument/2006/relationships/hyperlink" Target="..\..\..\..\..\..\01%20CF\&#19977;&#20132;&#20195;-CF2\&#21697;&#36074;&#25805;&#20316;&#27010;&#27841;\chunshuo\CF3\IF\J&#31649;&#25276;&#12373;&#12360;&#33995;&#12488;&#12521;&#12502;&#12523;&#38450;&#27490;&#31649;&#29702;" TargetMode="External"/><Relationship Id="rId4" Type="http://schemas.openxmlformats.org/officeDocument/2006/relationships/hyperlink" Target="file:///\\stw1fspf01\..\01%20CF\CF4&#20919;&#20462;\5.CF3&#29105;&#19979;&#28310;&#20633;" TargetMode="External"/><Relationship Id="rId9" Type="http://schemas.openxmlformats.org/officeDocument/2006/relationships/hyperlink" Target="..\..\..\..\..\..\..\&#32032;&#26448;&#35069;&#36896;&#20849;&#36890;\&#25216;&#34899;&#22577;&#21578;&#20250;&#36039;&#26009;\2016&#24180;\20161209\CF\Data\CF&#31407;%20EB-12%20&#27700;&#20919;&#21283;&#27945;&#28431;&#27010;&#27841;-2016.11.24.xlsx" TargetMode="External"/><Relationship Id="rId14" Type="http://schemas.openxmlformats.org/officeDocument/2006/relationships/hyperlink" Target="file:///\\stw1fspf01\..\01%20CF\&#25972;&#20633;&#29677;&#30456;&#38364;&#36039;&#26009;\2017%20&#20316;&#26989;&#20998;&#37197;&#32317;&#35261;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14ECD-4168-4892-9B6D-FCD5372293A1}">
  <sheetPr>
    <pageSetUpPr fitToPage="1"/>
  </sheetPr>
  <dimension ref="A1:O66"/>
  <sheetViews>
    <sheetView tabSelected="1" view="pageBreakPreview" zoomScale="145" zoomScaleNormal="100" zoomScaleSheetLayoutView="145" workbookViewId="0">
      <selection activeCell="C4" sqref="C4"/>
    </sheetView>
  </sheetViews>
  <sheetFormatPr defaultRowHeight="15"/>
  <cols>
    <col min="1" max="1" width="1.6640625" style="67" customWidth="1"/>
    <col min="2" max="2" width="7.77734375" style="67" customWidth="1"/>
    <col min="3" max="3" width="12.109375" style="67" customWidth="1"/>
    <col min="4" max="14" width="9.33203125" style="67" customWidth="1"/>
    <col min="15" max="15" width="1.109375" style="67" customWidth="1"/>
    <col min="16" max="16384" width="8.88671875" style="67"/>
  </cols>
  <sheetData>
    <row r="1" spans="1:15">
      <c r="A1" s="66"/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</row>
    <row r="2" spans="1:15" ht="18.75">
      <c r="A2" s="66"/>
      <c r="B2" s="84" t="s">
        <v>319</v>
      </c>
      <c r="C2" s="84"/>
      <c r="D2" s="84"/>
      <c r="E2" s="84"/>
      <c r="F2" s="84"/>
      <c r="G2" s="84"/>
      <c r="H2" s="84"/>
      <c r="I2" s="84"/>
      <c r="J2" s="84"/>
      <c r="K2" s="84"/>
      <c r="L2" s="84"/>
      <c r="M2" s="84"/>
      <c r="N2" s="84"/>
      <c r="O2" s="66"/>
    </row>
    <row r="3" spans="1:15">
      <c r="A3" s="66"/>
      <c r="B3" s="66"/>
      <c r="C3" s="66"/>
      <c r="D3" s="66"/>
      <c r="E3" s="66"/>
      <c r="F3" s="66"/>
      <c r="G3" s="86"/>
      <c r="H3" s="86"/>
      <c r="I3" s="66"/>
      <c r="J3" s="66"/>
      <c r="K3" s="66"/>
      <c r="L3" s="66"/>
      <c r="M3" s="87"/>
      <c r="N3" s="88" t="s">
        <v>330</v>
      </c>
      <c r="O3" s="66"/>
    </row>
    <row r="4" spans="1:15" ht="16.5">
      <c r="A4" s="66"/>
      <c r="B4" s="101" t="s">
        <v>321</v>
      </c>
      <c r="C4" s="66" t="s">
        <v>314</v>
      </c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</row>
    <row r="5" spans="1:15" ht="3.75" customHeight="1">
      <c r="A5" s="66"/>
      <c r="B5" s="68"/>
      <c r="C5" s="66"/>
      <c r="D5" s="66"/>
      <c r="E5" s="66"/>
      <c r="F5" s="66"/>
      <c r="G5" s="66"/>
      <c r="H5" s="66"/>
      <c r="I5" s="66"/>
      <c r="J5" s="66"/>
      <c r="K5" s="66"/>
      <c r="L5" s="66"/>
      <c r="M5" s="66"/>
      <c r="N5" s="66"/>
      <c r="O5" s="66"/>
    </row>
    <row r="6" spans="1:15">
      <c r="A6" s="66"/>
      <c r="B6" s="76" t="s">
        <v>315</v>
      </c>
      <c r="C6" s="66" t="s">
        <v>333</v>
      </c>
      <c r="D6" s="66"/>
      <c r="E6" s="66"/>
      <c r="F6" s="66"/>
      <c r="G6" s="66"/>
      <c r="H6" s="66"/>
      <c r="I6" s="66"/>
      <c r="J6" s="66"/>
      <c r="K6" s="66"/>
      <c r="L6" s="66"/>
      <c r="M6" s="66"/>
      <c r="N6" s="66"/>
      <c r="O6" s="66"/>
    </row>
    <row r="7" spans="1:15">
      <c r="A7" s="66"/>
      <c r="B7" s="69"/>
      <c r="C7" s="66" t="s">
        <v>316</v>
      </c>
      <c r="D7" s="66"/>
      <c r="E7" s="66"/>
      <c r="F7" s="66"/>
      <c r="G7" s="66"/>
      <c r="H7" s="66"/>
      <c r="I7" s="66"/>
      <c r="J7" s="66"/>
      <c r="K7" s="66"/>
      <c r="L7" s="66"/>
      <c r="M7" s="66"/>
      <c r="N7" s="66"/>
      <c r="O7" s="66"/>
    </row>
    <row r="8" spans="1:15">
      <c r="A8" s="66"/>
      <c r="B8" s="76" t="s">
        <v>315</v>
      </c>
      <c r="C8" s="66" t="s">
        <v>326</v>
      </c>
      <c r="D8" s="66"/>
      <c r="E8" s="66"/>
      <c r="F8" s="66"/>
      <c r="G8" s="66"/>
      <c r="H8" s="66"/>
      <c r="I8" s="66"/>
      <c r="J8" s="66"/>
      <c r="K8" s="66"/>
      <c r="L8" s="66"/>
      <c r="M8" s="66"/>
      <c r="N8" s="66"/>
      <c r="O8" s="66"/>
    </row>
    <row r="9" spans="1:15">
      <c r="A9" s="66"/>
      <c r="B9" s="76" t="s">
        <v>315</v>
      </c>
      <c r="C9" s="66" t="s">
        <v>317</v>
      </c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</row>
    <row r="10" spans="1:15">
      <c r="A10" s="66"/>
      <c r="B10" s="76"/>
      <c r="C10" s="66" t="s">
        <v>318</v>
      </c>
      <c r="D10" s="66"/>
      <c r="E10" s="66"/>
      <c r="F10" s="66"/>
      <c r="G10" s="66"/>
      <c r="H10" s="66"/>
      <c r="I10" s="66"/>
      <c r="J10" s="66"/>
      <c r="K10" s="66"/>
      <c r="L10" s="66"/>
      <c r="M10" s="66"/>
      <c r="N10" s="66"/>
      <c r="O10" s="66"/>
    </row>
    <row r="11" spans="1:15">
      <c r="A11" s="66"/>
      <c r="B11" s="76" t="s">
        <v>315</v>
      </c>
      <c r="C11" s="66" t="s">
        <v>334</v>
      </c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</row>
    <row r="12" spans="1:15" ht="17.25">
      <c r="A12" s="66"/>
      <c r="B12" s="81" t="s">
        <v>327</v>
      </c>
      <c r="C12" s="70" t="s">
        <v>331</v>
      </c>
      <c r="D12" s="66"/>
      <c r="E12" s="66"/>
      <c r="F12" s="66"/>
      <c r="G12" s="66"/>
      <c r="H12" s="66"/>
      <c r="I12" s="66"/>
      <c r="J12" s="66"/>
      <c r="K12" s="66"/>
      <c r="L12" s="66"/>
      <c r="M12" s="66"/>
      <c r="N12" s="66"/>
      <c r="O12" s="66"/>
    </row>
    <row r="13" spans="1:15" ht="11.25" customHeight="1">
      <c r="A13" s="66"/>
      <c r="B13" s="76"/>
      <c r="C13" s="66"/>
      <c r="D13" s="66"/>
      <c r="E13" s="66"/>
      <c r="F13" s="66"/>
      <c r="G13" s="66"/>
      <c r="H13" s="66"/>
      <c r="I13" s="66"/>
      <c r="J13" s="66"/>
      <c r="K13" s="66"/>
      <c r="L13" s="66"/>
      <c r="M13" s="66"/>
      <c r="N13" s="66"/>
      <c r="O13" s="66"/>
    </row>
    <row r="14" spans="1:15" ht="16.5">
      <c r="A14" s="66"/>
      <c r="B14" s="101" t="s">
        <v>320</v>
      </c>
      <c r="C14" s="66"/>
      <c r="D14" s="66"/>
      <c r="E14" s="66"/>
      <c r="F14" s="66"/>
      <c r="G14" s="66"/>
      <c r="H14" s="66"/>
      <c r="I14" s="66"/>
      <c r="J14" s="66"/>
      <c r="K14" s="66"/>
      <c r="L14" s="66"/>
      <c r="M14" s="66"/>
      <c r="N14" s="66"/>
      <c r="O14" s="66"/>
    </row>
    <row r="15" spans="1:15">
      <c r="A15" s="66"/>
      <c r="B15" s="76" t="s">
        <v>315</v>
      </c>
      <c r="C15" s="78" t="s">
        <v>325</v>
      </c>
      <c r="D15" s="66"/>
      <c r="E15" s="66"/>
      <c r="F15" s="66"/>
      <c r="G15" s="66"/>
      <c r="H15" s="66"/>
      <c r="I15" s="66"/>
      <c r="J15" s="66"/>
      <c r="K15" s="66"/>
      <c r="L15" s="66"/>
      <c r="M15" s="66"/>
      <c r="N15" s="66"/>
      <c r="O15" s="66"/>
    </row>
    <row r="16" spans="1:15">
      <c r="A16" s="66"/>
      <c r="B16" s="76" t="s">
        <v>315</v>
      </c>
      <c r="C16" s="77" t="s">
        <v>323</v>
      </c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</row>
    <row r="17" spans="1:15">
      <c r="A17" s="66"/>
      <c r="B17" s="81" t="s">
        <v>328</v>
      </c>
      <c r="C17" s="82" t="s">
        <v>329</v>
      </c>
      <c r="D17" s="66"/>
      <c r="E17" s="66"/>
      <c r="F17" s="66"/>
      <c r="G17" s="66"/>
      <c r="H17" s="66"/>
      <c r="I17" s="66"/>
      <c r="J17" s="66"/>
      <c r="K17" s="66"/>
      <c r="L17" s="66"/>
      <c r="M17" s="66"/>
      <c r="N17" s="66"/>
      <c r="O17" s="66"/>
    </row>
    <row r="18" spans="1:15" ht="11.25" customHeight="1">
      <c r="A18" s="66"/>
      <c r="B18" s="69"/>
      <c r="C18" s="77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66"/>
      <c r="O18" s="66"/>
    </row>
    <row r="19" spans="1:15" ht="16.5">
      <c r="A19" s="66"/>
      <c r="B19" s="101" t="s">
        <v>324</v>
      </c>
      <c r="C19" s="6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</row>
    <row r="20" spans="1:15">
      <c r="A20" s="66"/>
      <c r="B20" s="76" t="s">
        <v>315</v>
      </c>
      <c r="C20" s="66" t="s">
        <v>345</v>
      </c>
      <c r="D20" s="66" t="s">
        <v>346</v>
      </c>
      <c r="E20" s="66"/>
      <c r="F20" s="66"/>
      <c r="G20" s="66"/>
      <c r="H20" s="66"/>
      <c r="I20" s="66"/>
      <c r="J20" s="66"/>
      <c r="K20" s="66"/>
      <c r="L20" s="66"/>
      <c r="M20" s="66"/>
      <c r="N20" s="66"/>
      <c r="O20" s="66"/>
    </row>
    <row r="21" spans="1:15">
      <c r="A21" s="66"/>
      <c r="B21" s="76" t="s">
        <v>315</v>
      </c>
      <c r="C21" s="66" t="s">
        <v>347</v>
      </c>
      <c r="D21" s="66" t="s">
        <v>348</v>
      </c>
      <c r="E21" s="66"/>
      <c r="F21" s="66"/>
      <c r="G21" s="66"/>
      <c r="H21" s="66"/>
      <c r="I21" s="66"/>
      <c r="J21" s="66"/>
      <c r="K21" s="66"/>
      <c r="L21" s="66"/>
      <c r="M21" s="66"/>
      <c r="N21" s="66"/>
      <c r="O21" s="66"/>
    </row>
    <row r="22" spans="1:15" ht="7.5" customHeight="1">
      <c r="A22" s="66"/>
      <c r="B22" s="66"/>
      <c r="C22" s="6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</row>
    <row r="23" spans="1:15" ht="16.5">
      <c r="A23" s="66"/>
      <c r="B23" s="101" t="s">
        <v>332</v>
      </c>
      <c r="C23" s="66"/>
      <c r="D23" s="66"/>
      <c r="E23" s="66"/>
      <c r="F23" s="66"/>
      <c r="G23" s="66"/>
      <c r="H23" s="66"/>
      <c r="I23" s="66"/>
      <c r="J23" s="66"/>
      <c r="K23" s="66"/>
      <c r="L23" s="66"/>
      <c r="M23" s="66"/>
      <c r="N23" s="66"/>
      <c r="O23" s="66"/>
    </row>
    <row r="24" spans="1:15">
      <c r="A24" s="66"/>
      <c r="B24" s="76" t="s">
        <v>315</v>
      </c>
      <c r="C24" s="83" t="s">
        <v>335</v>
      </c>
      <c r="D24" s="66" t="s">
        <v>336</v>
      </c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</row>
    <row r="25" spans="1:15" ht="15" customHeight="1">
      <c r="A25" s="66"/>
      <c r="B25" s="76" t="s">
        <v>315</v>
      </c>
      <c r="C25" s="66" t="s">
        <v>337</v>
      </c>
      <c r="D25" s="66" t="s">
        <v>338</v>
      </c>
      <c r="E25" s="66"/>
      <c r="F25" s="66"/>
      <c r="G25" s="66"/>
      <c r="H25" s="66"/>
      <c r="I25" s="66"/>
      <c r="J25" s="66"/>
      <c r="K25" s="66"/>
      <c r="L25" s="66"/>
      <c r="M25" s="66"/>
      <c r="N25" s="66"/>
      <c r="O25" s="66"/>
    </row>
    <row r="26" spans="1:15">
      <c r="A26" s="66"/>
      <c r="B26" s="76" t="s">
        <v>315</v>
      </c>
      <c r="C26" s="66" t="s">
        <v>339</v>
      </c>
      <c r="D26" s="66" t="s">
        <v>340</v>
      </c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</row>
    <row r="27" spans="1:15">
      <c r="A27" s="66"/>
      <c r="B27" s="76" t="s">
        <v>315</v>
      </c>
      <c r="C27" s="66" t="s">
        <v>341</v>
      </c>
      <c r="D27" s="66" t="s">
        <v>342</v>
      </c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</row>
    <row r="28" spans="1:15">
      <c r="A28" s="66"/>
      <c r="B28" s="76" t="s">
        <v>315</v>
      </c>
      <c r="C28" s="66" t="s">
        <v>343</v>
      </c>
      <c r="D28" s="66" t="s">
        <v>344</v>
      </c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</row>
    <row r="29" spans="1:15">
      <c r="A29" s="66"/>
      <c r="B29" s="69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</row>
    <row r="30" spans="1:15" ht="7.5" customHeight="1">
      <c r="A30" s="66"/>
      <c r="B30" s="69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</row>
    <row r="31" spans="1:15">
      <c r="A31" s="66"/>
      <c r="B31" s="69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</row>
    <row r="32" spans="1:15">
      <c r="A32" s="66"/>
      <c r="B32" s="68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</row>
    <row r="33" spans="1:15">
      <c r="A33" s="66"/>
      <c r="B33" s="69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</row>
    <row r="34" spans="1:15">
      <c r="A34" s="66"/>
      <c r="B34" s="71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</row>
    <row r="35" spans="1:15">
      <c r="A35" s="66"/>
      <c r="B35" s="69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</row>
    <row r="36" spans="1:15" ht="7.5" customHeight="1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</row>
    <row r="37" spans="1:15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</row>
    <row r="38" spans="1:15">
      <c r="A38" s="66"/>
      <c r="B38" s="89"/>
      <c r="C38" s="89"/>
      <c r="D38" s="89"/>
      <c r="E38" s="89"/>
      <c r="F38" s="89"/>
      <c r="G38" s="89"/>
      <c r="H38" s="66"/>
      <c r="I38" s="66"/>
      <c r="J38" s="66"/>
      <c r="K38" s="66"/>
      <c r="L38" s="66"/>
      <c r="M38" s="66"/>
      <c r="N38" s="66"/>
      <c r="O38" s="66"/>
    </row>
    <row r="39" spans="1:15">
      <c r="A39" s="66"/>
      <c r="B39" s="90"/>
      <c r="C39" s="89"/>
      <c r="D39" s="89"/>
      <c r="E39" s="89"/>
      <c r="F39" s="89"/>
      <c r="G39" s="89"/>
      <c r="H39" s="66"/>
      <c r="I39" s="66"/>
      <c r="J39" s="66"/>
      <c r="K39" s="66"/>
      <c r="L39" s="66"/>
      <c r="M39" s="66"/>
      <c r="N39" s="66"/>
      <c r="O39" s="66"/>
    </row>
    <row r="40" spans="1:15">
      <c r="A40" s="66"/>
      <c r="B40" s="91"/>
      <c r="C40" s="92"/>
      <c r="D40" s="93"/>
      <c r="E40" s="94"/>
      <c r="F40" s="94"/>
      <c r="G40" s="95"/>
      <c r="H40" s="66"/>
      <c r="I40" s="66"/>
      <c r="J40" s="66"/>
      <c r="K40" s="66"/>
      <c r="L40" s="66"/>
      <c r="M40" s="66"/>
      <c r="N40" s="66"/>
      <c r="O40" s="66"/>
    </row>
    <row r="41" spans="1:15">
      <c r="A41" s="66"/>
      <c r="B41" s="96"/>
      <c r="C41" s="92"/>
      <c r="D41" s="93"/>
      <c r="E41" s="94"/>
      <c r="F41" s="94"/>
      <c r="G41" s="95"/>
      <c r="H41" s="66"/>
      <c r="I41" s="66"/>
      <c r="J41" s="66"/>
      <c r="K41" s="66"/>
      <c r="L41" s="66"/>
      <c r="M41" s="66"/>
      <c r="N41" s="66"/>
      <c r="O41" s="66"/>
    </row>
    <row r="42" spans="1:15">
      <c r="A42" s="66"/>
      <c r="B42" s="96"/>
      <c r="C42" s="92"/>
      <c r="D42" s="93"/>
      <c r="E42" s="94"/>
      <c r="F42" s="94"/>
      <c r="G42" s="94"/>
      <c r="H42" s="72"/>
      <c r="I42" s="66"/>
      <c r="J42" s="66"/>
      <c r="K42" s="66"/>
      <c r="L42" s="66"/>
      <c r="M42" s="66"/>
      <c r="N42" s="66"/>
      <c r="O42" s="66"/>
    </row>
    <row r="43" spans="1:15">
      <c r="A43" s="66"/>
      <c r="B43" s="96"/>
      <c r="C43" s="92"/>
      <c r="D43" s="93"/>
      <c r="E43" s="94"/>
      <c r="F43" s="94"/>
      <c r="G43" s="94"/>
      <c r="H43" s="66"/>
      <c r="I43" s="66"/>
      <c r="J43" s="66"/>
      <c r="K43" s="66"/>
      <c r="L43" s="66"/>
      <c r="M43" s="66"/>
      <c r="N43" s="66"/>
      <c r="O43" s="66"/>
    </row>
    <row r="44" spans="1:15">
      <c r="A44" s="66"/>
      <c r="B44" s="96"/>
      <c r="C44" s="92"/>
      <c r="D44" s="93"/>
      <c r="E44" s="94"/>
      <c r="F44" s="94"/>
      <c r="G44" s="94"/>
      <c r="H44" s="66"/>
      <c r="I44" s="66"/>
      <c r="J44" s="66"/>
      <c r="K44" s="66"/>
      <c r="L44" s="66"/>
      <c r="M44" s="66"/>
      <c r="N44" s="66"/>
      <c r="O44" s="66"/>
    </row>
    <row r="45" spans="1:15">
      <c r="A45" s="66"/>
      <c r="B45" s="96"/>
      <c r="C45" s="92"/>
      <c r="D45" s="93"/>
      <c r="E45" s="94"/>
      <c r="F45" s="94"/>
      <c r="G45" s="94"/>
      <c r="H45" s="66"/>
      <c r="I45" s="66"/>
      <c r="J45" s="66"/>
      <c r="K45" s="66"/>
      <c r="L45" s="66"/>
      <c r="M45" s="66"/>
      <c r="N45" s="66"/>
      <c r="O45" s="66"/>
    </row>
    <row r="46" spans="1:15">
      <c r="A46" s="66"/>
      <c r="B46" s="96"/>
      <c r="C46" s="96"/>
      <c r="D46" s="97"/>
      <c r="E46" s="96"/>
      <c r="F46" s="94"/>
      <c r="G46" s="94"/>
      <c r="H46" s="66"/>
      <c r="I46" s="66"/>
      <c r="J46" s="75"/>
      <c r="K46" s="74"/>
      <c r="L46" s="74"/>
      <c r="M46" s="74"/>
      <c r="N46" s="66"/>
      <c r="O46" s="66"/>
    </row>
    <row r="47" spans="1:15">
      <c r="A47" s="66"/>
      <c r="B47" s="90"/>
      <c r="C47" s="96"/>
      <c r="D47" s="97"/>
      <c r="E47" s="96"/>
      <c r="F47" s="94"/>
      <c r="G47" s="94"/>
      <c r="H47" s="66"/>
      <c r="I47" s="66"/>
      <c r="J47" s="75"/>
      <c r="K47" s="74"/>
      <c r="L47" s="74"/>
      <c r="M47" s="98"/>
      <c r="N47" s="66"/>
      <c r="O47" s="66"/>
    </row>
    <row r="48" spans="1:15">
      <c r="A48" s="66"/>
      <c r="B48" s="99"/>
      <c r="C48" s="92"/>
      <c r="D48" s="93"/>
      <c r="E48" s="94"/>
      <c r="F48" s="94"/>
      <c r="G48" s="94"/>
      <c r="H48" s="66"/>
      <c r="I48" s="66"/>
      <c r="J48" s="66"/>
      <c r="K48" s="66"/>
      <c r="L48" s="66"/>
      <c r="M48" s="66"/>
      <c r="N48" s="66"/>
      <c r="O48" s="66"/>
    </row>
    <row r="49" spans="1:15">
      <c r="A49" s="66"/>
      <c r="B49" s="96"/>
      <c r="C49" s="92"/>
      <c r="D49" s="93"/>
      <c r="E49" s="94"/>
      <c r="F49" s="94"/>
      <c r="G49" s="95"/>
      <c r="H49" s="66"/>
      <c r="I49" s="66"/>
      <c r="J49" s="66"/>
      <c r="K49" s="66"/>
      <c r="L49" s="66"/>
      <c r="M49" s="66"/>
      <c r="N49" s="66"/>
      <c r="O49" s="66"/>
    </row>
    <row r="50" spans="1:15">
      <c r="A50" s="66"/>
      <c r="B50" s="96"/>
      <c r="C50" s="92"/>
      <c r="D50" s="93"/>
      <c r="E50" s="94"/>
      <c r="F50" s="94"/>
      <c r="G50" s="94"/>
      <c r="H50" s="72"/>
      <c r="I50" s="66"/>
      <c r="J50" s="66"/>
      <c r="K50" s="66"/>
      <c r="L50" s="66"/>
      <c r="M50" s="66"/>
      <c r="N50" s="66"/>
      <c r="O50" s="66"/>
    </row>
    <row r="51" spans="1:15">
      <c r="A51" s="66"/>
      <c r="B51" s="96"/>
      <c r="C51" s="92"/>
      <c r="D51" s="97"/>
      <c r="E51" s="94"/>
      <c r="F51" s="94"/>
      <c r="G51" s="94"/>
      <c r="H51" s="66"/>
      <c r="I51" s="66"/>
      <c r="J51" s="66"/>
      <c r="K51" s="66"/>
      <c r="L51" s="66"/>
      <c r="M51" s="66"/>
      <c r="N51" s="66"/>
      <c r="O51" s="66"/>
    </row>
    <row r="52" spans="1:15">
      <c r="A52" s="66"/>
      <c r="B52" s="96"/>
      <c r="C52" s="92"/>
      <c r="D52" s="93"/>
      <c r="E52" s="94"/>
      <c r="F52" s="94"/>
      <c r="G52" s="94"/>
      <c r="H52" s="66"/>
      <c r="I52" s="66"/>
      <c r="J52" s="66"/>
      <c r="K52" s="66"/>
      <c r="L52" s="66"/>
      <c r="M52" s="66"/>
      <c r="N52" s="66"/>
      <c r="O52" s="66"/>
    </row>
    <row r="53" spans="1:15" ht="7.5" customHeight="1">
      <c r="A53" s="66"/>
      <c r="B53" s="66"/>
      <c r="C53" s="66"/>
      <c r="D53" s="100"/>
      <c r="E53" s="100"/>
      <c r="F53" s="100"/>
      <c r="G53" s="100"/>
      <c r="H53" s="66"/>
      <c r="I53" s="66"/>
      <c r="J53" s="66"/>
      <c r="K53" s="66"/>
      <c r="L53" s="66"/>
      <c r="M53" s="66"/>
      <c r="N53" s="66"/>
      <c r="O53" s="66"/>
    </row>
    <row r="54" spans="1:15">
      <c r="A54" s="66"/>
      <c r="B54" s="66"/>
      <c r="C54" s="66"/>
      <c r="D54" s="66"/>
      <c r="E54" s="74"/>
      <c r="F54" s="74"/>
      <c r="G54" s="74"/>
      <c r="H54" s="66"/>
      <c r="I54" s="66"/>
      <c r="J54" s="66"/>
      <c r="K54" s="66"/>
      <c r="L54" s="66"/>
      <c r="M54" s="66"/>
      <c r="N54" s="66"/>
      <c r="O54" s="66"/>
    </row>
    <row r="55" spans="1:15">
      <c r="A55" s="66"/>
      <c r="B55" s="68" t="s">
        <v>313</v>
      </c>
      <c r="C55" s="66"/>
      <c r="D55" s="66"/>
      <c r="E55" s="66"/>
      <c r="F55" s="66"/>
      <c r="G55" s="66"/>
      <c r="H55" s="66"/>
      <c r="I55" s="66"/>
      <c r="J55" s="66"/>
      <c r="K55" s="66"/>
      <c r="L55" s="66"/>
      <c r="M55" s="66"/>
      <c r="N55" s="66"/>
      <c r="O55" s="66"/>
    </row>
    <row r="56" spans="1:15">
      <c r="A56" s="66"/>
      <c r="B56" s="69" t="s">
        <v>312</v>
      </c>
      <c r="C56" s="66"/>
      <c r="D56" s="66"/>
      <c r="E56" s="66"/>
      <c r="F56" s="66"/>
      <c r="G56" s="66"/>
      <c r="H56" s="66"/>
      <c r="I56" s="66"/>
      <c r="J56" s="66"/>
      <c r="K56" s="66"/>
      <c r="L56" s="66"/>
      <c r="M56" s="66"/>
      <c r="N56" s="66"/>
      <c r="O56" s="66"/>
    </row>
    <row r="57" spans="1:15">
      <c r="A57" s="66"/>
      <c r="B57" s="71"/>
      <c r="C57" s="73"/>
      <c r="D57" s="74"/>
      <c r="E57" s="66"/>
      <c r="F57" s="66"/>
      <c r="G57" s="66"/>
      <c r="H57" s="66"/>
      <c r="I57" s="66"/>
      <c r="J57" s="66"/>
      <c r="K57" s="66"/>
      <c r="L57" s="66"/>
      <c r="M57" s="66"/>
      <c r="N57" s="66"/>
      <c r="O57" s="66"/>
    </row>
    <row r="58" spans="1:15">
      <c r="A58" s="66"/>
      <c r="B58" s="66"/>
      <c r="C58" s="73"/>
      <c r="D58" s="74"/>
      <c r="E58" s="66"/>
      <c r="F58" s="66"/>
      <c r="G58" s="66"/>
      <c r="H58" s="66"/>
      <c r="I58" s="66"/>
      <c r="J58" s="66"/>
      <c r="K58" s="66"/>
      <c r="L58" s="66"/>
      <c r="M58" s="66"/>
      <c r="N58" s="66"/>
      <c r="O58" s="66"/>
    </row>
    <row r="59" spans="1:15">
      <c r="A59" s="66"/>
      <c r="B59" s="66"/>
      <c r="C59" s="73"/>
      <c r="D59" s="74"/>
      <c r="E59" s="66"/>
      <c r="F59" s="66"/>
      <c r="G59" s="66"/>
      <c r="H59" s="66"/>
      <c r="I59" s="66"/>
      <c r="J59" s="66"/>
      <c r="K59" s="66"/>
      <c r="L59" s="66"/>
      <c r="M59" s="66"/>
      <c r="N59" s="66"/>
      <c r="O59" s="66"/>
    </row>
    <row r="60" spans="1:15">
      <c r="A60" s="66"/>
      <c r="B60" s="66"/>
      <c r="C60" s="73"/>
      <c r="D60" s="74"/>
      <c r="E60" s="66"/>
      <c r="F60" s="66"/>
      <c r="G60" s="66"/>
      <c r="H60" s="66"/>
      <c r="I60" s="66"/>
      <c r="J60" s="66"/>
      <c r="K60" s="66"/>
      <c r="L60" s="66"/>
      <c r="M60" s="66"/>
      <c r="N60" s="66"/>
      <c r="O60" s="66"/>
    </row>
    <row r="61" spans="1:15" ht="4.5" customHeight="1">
      <c r="A61" s="66"/>
      <c r="B61" s="66"/>
      <c r="C61" s="73"/>
      <c r="D61" s="74"/>
      <c r="E61" s="66"/>
      <c r="F61" s="66"/>
      <c r="G61" s="66"/>
      <c r="H61" s="66"/>
      <c r="I61" s="66"/>
      <c r="J61" s="66"/>
      <c r="K61" s="66"/>
      <c r="L61" s="66"/>
      <c r="M61" s="66"/>
      <c r="N61" s="66"/>
      <c r="O61" s="66"/>
    </row>
    <row r="62" spans="1:15">
      <c r="A62" s="66"/>
      <c r="B62" s="66"/>
      <c r="C62" s="73"/>
      <c r="D62" s="74"/>
      <c r="E62" s="66"/>
      <c r="F62" s="66"/>
      <c r="G62" s="66"/>
      <c r="H62" s="66"/>
      <c r="I62" s="66"/>
      <c r="J62" s="66"/>
      <c r="K62" s="66"/>
      <c r="L62" s="66"/>
      <c r="M62" s="66"/>
      <c r="N62" s="66"/>
      <c r="O62" s="66"/>
    </row>
    <row r="63" spans="1:15">
      <c r="A63" s="66"/>
      <c r="B63" s="66"/>
      <c r="C63" s="73"/>
      <c r="D63" s="74"/>
      <c r="E63" s="66"/>
      <c r="F63" s="66"/>
      <c r="G63" s="66"/>
      <c r="H63" s="66"/>
      <c r="I63" s="66"/>
      <c r="J63" s="66"/>
      <c r="K63" s="66"/>
      <c r="L63" s="66"/>
      <c r="M63" s="66"/>
      <c r="N63" s="66"/>
      <c r="O63" s="66"/>
    </row>
    <row r="64" spans="1:15" ht="7.5" customHeight="1">
      <c r="A64" s="66"/>
      <c r="B64" s="66"/>
      <c r="C64" s="66"/>
      <c r="D64" s="66"/>
      <c r="E64" s="66"/>
      <c r="F64" s="66"/>
      <c r="G64" s="66"/>
      <c r="H64" s="66"/>
      <c r="I64" s="66"/>
      <c r="J64" s="66"/>
      <c r="K64" s="66"/>
      <c r="L64" s="66"/>
      <c r="M64" s="66"/>
      <c r="N64" s="66"/>
      <c r="O64" s="66"/>
    </row>
    <row r="65" spans="1:15">
      <c r="A65" s="66"/>
      <c r="B65" s="66"/>
      <c r="C65" s="66"/>
      <c r="D65" s="66"/>
      <c r="E65" s="66"/>
      <c r="F65" s="66"/>
      <c r="G65" s="66"/>
      <c r="H65" s="66"/>
      <c r="I65" s="66"/>
      <c r="J65" s="66"/>
      <c r="K65" s="66"/>
      <c r="L65" s="66"/>
      <c r="M65" s="66"/>
      <c r="N65" s="66"/>
      <c r="O65" s="66"/>
    </row>
    <row r="66" spans="1:15">
      <c r="A66" s="66"/>
      <c r="B66" s="66"/>
      <c r="C66" s="66"/>
      <c r="D66" s="66"/>
      <c r="E66" s="66"/>
      <c r="F66" s="66"/>
      <c r="G66" s="66"/>
      <c r="H66" s="66"/>
    </row>
  </sheetData>
  <mergeCells count="1">
    <mergeCell ref="B2:N2"/>
  </mergeCells>
  <phoneticPr fontId="11" type="noConversion"/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61" orientation="portrait" r:id="rId1"/>
  <headerFooter>
    <oddHeader>&amp;C&amp;"Calibri"&amp;10&amp;K000000  AGC Group Internal Use Only 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D4C24-90B9-48E1-BD39-77B2A26648BF}">
  <dimension ref="B1:C25"/>
  <sheetViews>
    <sheetView workbookViewId="0">
      <selection activeCell="I28" sqref="I28"/>
    </sheetView>
  </sheetViews>
  <sheetFormatPr defaultRowHeight="15"/>
  <cols>
    <col min="1" max="1" width="1.109375" customWidth="1"/>
  </cols>
  <sheetData>
    <row r="1" spans="2:3" ht="7.5" customHeight="1"/>
    <row r="2" spans="2:3" ht="18.75">
      <c r="B2" s="80" t="s">
        <v>315</v>
      </c>
      <c r="C2" s="79" t="s">
        <v>322</v>
      </c>
    </row>
    <row r="25" spans="2:3" ht="18.75">
      <c r="B25" s="80" t="s">
        <v>315</v>
      </c>
      <c r="C25" s="79" t="s">
        <v>322</v>
      </c>
    </row>
  </sheetData>
  <phoneticPr fontId="1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I228"/>
  <sheetViews>
    <sheetView view="pageBreakPreview" zoomScaleNormal="100" zoomScaleSheetLayoutView="100" workbookViewId="0">
      <selection activeCell="F21" sqref="F21"/>
    </sheetView>
  </sheetViews>
  <sheetFormatPr defaultRowHeight="15"/>
  <cols>
    <col min="1" max="1" width="1.109375" style="3" customWidth="1"/>
    <col min="2" max="2" width="4.44140625" style="3" customWidth="1"/>
    <col min="3" max="16384" width="8.88671875" style="3"/>
  </cols>
  <sheetData>
    <row r="1" spans="2:5" ht="7.5" customHeight="1"/>
    <row r="2" spans="2:5">
      <c r="B2" s="3" t="s">
        <v>89</v>
      </c>
    </row>
    <row r="4" spans="2:5">
      <c r="B4" s="3" t="s">
        <v>90</v>
      </c>
    </row>
    <row r="6" spans="2:5">
      <c r="B6" s="3" t="s">
        <v>96</v>
      </c>
    </row>
    <row r="8" spans="2:5">
      <c r="B8" s="3" t="s">
        <v>158</v>
      </c>
    </row>
    <row r="10" spans="2:5">
      <c r="B10" s="3" t="s">
        <v>311</v>
      </c>
    </row>
    <row r="12" spans="2:5">
      <c r="B12" s="3" t="s">
        <v>128</v>
      </c>
    </row>
    <row r="13" spans="2:5">
      <c r="B13" s="57" t="s">
        <v>91</v>
      </c>
      <c r="C13" s="3" t="s">
        <v>95</v>
      </c>
    </row>
    <row r="14" spans="2:5">
      <c r="C14" s="56" t="s">
        <v>99</v>
      </c>
      <c r="D14" s="3" t="s">
        <v>120</v>
      </c>
    </row>
    <row r="15" spans="2:5">
      <c r="C15" s="56" t="s">
        <v>92</v>
      </c>
      <c r="D15" s="56"/>
      <c r="E15" s="58"/>
    </row>
    <row r="16" spans="2:5">
      <c r="C16" s="56"/>
      <c r="D16" s="56"/>
      <c r="E16" s="58"/>
    </row>
    <row r="17" spans="2:4">
      <c r="C17" s="56" t="s">
        <v>101</v>
      </c>
      <c r="D17" s="3" t="s">
        <v>117</v>
      </c>
    </row>
    <row r="18" spans="2:4">
      <c r="C18" s="56" t="s">
        <v>118</v>
      </c>
      <c r="D18" s="3" t="s">
        <v>119</v>
      </c>
    </row>
    <row r="19" spans="2:4">
      <c r="C19" s="56" t="s">
        <v>93</v>
      </c>
      <c r="D19" s="3" t="s">
        <v>94</v>
      </c>
    </row>
    <row r="21" spans="2:4">
      <c r="B21" s="57" t="s">
        <v>91</v>
      </c>
      <c r="C21" s="3" t="s">
        <v>97</v>
      </c>
    </row>
    <row r="22" spans="2:4">
      <c r="C22" s="56" t="s">
        <v>99</v>
      </c>
      <c r="D22" s="3" t="s">
        <v>100</v>
      </c>
    </row>
    <row r="23" spans="2:4">
      <c r="C23" s="56" t="s">
        <v>104</v>
      </c>
      <c r="D23" s="3" t="s">
        <v>102</v>
      </c>
    </row>
    <row r="24" spans="2:4">
      <c r="C24" s="56"/>
      <c r="D24" s="3" t="s">
        <v>103</v>
      </c>
    </row>
    <row r="25" spans="2:4">
      <c r="C25" s="56"/>
    </row>
    <row r="26" spans="2:4">
      <c r="C26" s="56" t="s">
        <v>105</v>
      </c>
      <c r="D26" s="3" t="s">
        <v>106</v>
      </c>
    </row>
    <row r="27" spans="2:4">
      <c r="C27" s="56"/>
      <c r="D27" s="3" t="s">
        <v>107</v>
      </c>
    </row>
    <row r="29" spans="2:4">
      <c r="B29" s="57" t="s">
        <v>98</v>
      </c>
      <c r="C29" s="3" t="s">
        <v>132</v>
      </c>
    </row>
    <row r="30" spans="2:4">
      <c r="C30" s="56" t="s">
        <v>99</v>
      </c>
      <c r="D30" s="3" t="s">
        <v>108</v>
      </c>
    </row>
    <row r="31" spans="2:4">
      <c r="C31" s="56" t="s">
        <v>104</v>
      </c>
      <c r="D31" s="3" t="s">
        <v>109</v>
      </c>
    </row>
    <row r="32" spans="2:4">
      <c r="C32" s="56" t="s">
        <v>110</v>
      </c>
      <c r="D32" s="3" t="s">
        <v>112</v>
      </c>
    </row>
    <row r="33" spans="2:4">
      <c r="C33" s="56" t="s">
        <v>113</v>
      </c>
      <c r="D33" s="3" t="s">
        <v>114</v>
      </c>
    </row>
    <row r="34" spans="2:4">
      <c r="C34" s="56"/>
    </row>
    <row r="35" spans="2:4">
      <c r="C35" s="56" t="s">
        <v>105</v>
      </c>
      <c r="D35" s="3" t="s">
        <v>111</v>
      </c>
    </row>
    <row r="36" spans="2:4">
      <c r="C36" s="56" t="s">
        <v>110</v>
      </c>
      <c r="D36" s="3" t="s">
        <v>115</v>
      </c>
    </row>
    <row r="38" spans="2:4">
      <c r="B38" s="57" t="s">
        <v>116</v>
      </c>
      <c r="C38" s="3" t="s">
        <v>143</v>
      </c>
    </row>
    <row r="39" spans="2:4">
      <c r="C39" s="56" t="s">
        <v>99</v>
      </c>
      <c r="D39" s="3" t="s">
        <v>120</v>
      </c>
    </row>
    <row r="40" spans="2:4">
      <c r="C40" s="56" t="s">
        <v>101</v>
      </c>
      <c r="D40" s="3" t="s">
        <v>121</v>
      </c>
    </row>
    <row r="41" spans="2:4">
      <c r="D41" s="3" t="s">
        <v>122</v>
      </c>
    </row>
    <row r="42" spans="2:4">
      <c r="D42" s="3" t="s">
        <v>123</v>
      </c>
    </row>
    <row r="43" spans="2:4">
      <c r="D43" s="3" t="s">
        <v>159</v>
      </c>
    </row>
    <row r="45" spans="2:4" ht="15.75">
      <c r="B45" s="59" t="s">
        <v>129</v>
      </c>
      <c r="C45" s="3" t="s">
        <v>130</v>
      </c>
    </row>
    <row r="47" spans="2:4">
      <c r="B47" s="57" t="s">
        <v>98</v>
      </c>
      <c r="C47" s="3" t="s">
        <v>124</v>
      </c>
    </row>
    <row r="48" spans="2:4">
      <c r="C48" s="56" t="s">
        <v>126</v>
      </c>
      <c r="D48" s="3" t="s">
        <v>125</v>
      </c>
    </row>
    <row r="49" spans="2:9">
      <c r="C49" s="56" t="s">
        <v>101</v>
      </c>
      <c r="D49" s="3" t="s">
        <v>127</v>
      </c>
    </row>
    <row r="51" spans="2:9">
      <c r="B51" s="57" t="s">
        <v>98</v>
      </c>
      <c r="C51" s="3" t="s">
        <v>131</v>
      </c>
    </row>
    <row r="52" spans="2:9">
      <c r="C52" s="56" t="s">
        <v>99</v>
      </c>
      <c r="D52" s="3" t="s">
        <v>134</v>
      </c>
    </row>
    <row r="53" spans="2:9">
      <c r="C53" s="56" t="s">
        <v>133</v>
      </c>
      <c r="D53" s="3" t="s">
        <v>136</v>
      </c>
    </row>
    <row r="54" spans="2:9">
      <c r="C54" s="56" t="s">
        <v>110</v>
      </c>
      <c r="D54" s="3" t="s">
        <v>135</v>
      </c>
    </row>
    <row r="55" spans="2:9">
      <c r="C55" s="56"/>
    </row>
    <row r="56" spans="2:9">
      <c r="C56" s="56" t="s">
        <v>105</v>
      </c>
      <c r="D56" s="3" t="s">
        <v>139</v>
      </c>
    </row>
    <row r="57" spans="2:9">
      <c r="C57" s="56" t="s">
        <v>110</v>
      </c>
      <c r="D57" s="3" t="s">
        <v>137</v>
      </c>
    </row>
    <row r="58" spans="2:9">
      <c r="C58" s="56"/>
    </row>
    <row r="59" spans="2:9">
      <c r="C59" s="56" t="s">
        <v>138</v>
      </c>
      <c r="D59" s="3" t="s">
        <v>140</v>
      </c>
    </row>
    <row r="60" spans="2:9">
      <c r="C60" s="56" t="s">
        <v>110</v>
      </c>
      <c r="D60" s="3" t="s">
        <v>112</v>
      </c>
    </row>
    <row r="61" spans="2:9">
      <c r="C61" s="56" t="s">
        <v>113</v>
      </c>
      <c r="D61" s="3" t="s">
        <v>141</v>
      </c>
    </row>
    <row r="63" spans="2:9">
      <c r="B63" s="60"/>
      <c r="C63" s="61"/>
    </row>
    <row r="64" spans="2:9">
      <c r="D64" s="85"/>
      <c r="E64" s="85"/>
      <c r="F64" s="85"/>
      <c r="G64" s="85"/>
      <c r="H64" s="85"/>
      <c r="I64" s="85"/>
    </row>
    <row r="66" spans="2:5">
      <c r="B66" s="3" t="s">
        <v>142</v>
      </c>
    </row>
    <row r="67" spans="2:5">
      <c r="B67" s="57" t="s">
        <v>91</v>
      </c>
      <c r="C67" s="3" t="s">
        <v>144</v>
      </c>
    </row>
    <row r="68" spans="2:5">
      <c r="C68" s="56" t="s">
        <v>145</v>
      </c>
      <c r="D68" s="3" t="s">
        <v>146</v>
      </c>
    </row>
    <row r="69" spans="2:5">
      <c r="C69" s="56" t="s">
        <v>147</v>
      </c>
      <c r="D69" s="3" t="s">
        <v>148</v>
      </c>
    </row>
    <row r="70" spans="2:5">
      <c r="C70" s="56" t="s">
        <v>149</v>
      </c>
      <c r="D70" s="3" t="s">
        <v>151</v>
      </c>
    </row>
    <row r="71" spans="2:5">
      <c r="C71" s="56" t="s">
        <v>150</v>
      </c>
      <c r="D71" s="58" t="s">
        <v>305</v>
      </c>
    </row>
    <row r="72" spans="2:5">
      <c r="C72" s="56" t="s">
        <v>152</v>
      </c>
      <c r="D72" s="3" t="s">
        <v>162</v>
      </c>
    </row>
    <row r="74" spans="2:5">
      <c r="B74" s="57" t="s">
        <v>91</v>
      </c>
      <c r="C74" s="3" t="s">
        <v>153</v>
      </c>
    </row>
    <row r="75" spans="2:5">
      <c r="C75" s="56" t="s">
        <v>145</v>
      </c>
      <c r="D75" s="3" t="s">
        <v>163</v>
      </c>
    </row>
    <row r="76" spans="2:5">
      <c r="C76" s="56" t="s">
        <v>147</v>
      </c>
      <c r="D76" s="3" t="s">
        <v>154</v>
      </c>
    </row>
    <row r="77" spans="2:5">
      <c r="C77" s="56" t="s">
        <v>149</v>
      </c>
      <c r="D77" s="3" t="s">
        <v>155</v>
      </c>
    </row>
    <row r="78" spans="2:5">
      <c r="C78" s="56" t="s">
        <v>150</v>
      </c>
      <c r="D78" s="58" t="s">
        <v>156</v>
      </c>
    </row>
    <row r="79" spans="2:5">
      <c r="C79" s="56" t="s">
        <v>288</v>
      </c>
      <c r="D79" s="64" t="s">
        <v>290</v>
      </c>
      <c r="E79" s="58" t="s">
        <v>289</v>
      </c>
    </row>
    <row r="80" spans="2:5">
      <c r="D80" s="65" t="s">
        <v>291</v>
      </c>
      <c r="E80" s="58" t="s">
        <v>292</v>
      </c>
    </row>
    <row r="81" spans="2:4">
      <c r="C81" s="56"/>
    </row>
    <row r="82" spans="2:4">
      <c r="C82" s="56" t="s">
        <v>152</v>
      </c>
      <c r="D82" s="3" t="s">
        <v>160</v>
      </c>
    </row>
    <row r="83" spans="2:4">
      <c r="D83" s="3" t="s">
        <v>157</v>
      </c>
    </row>
    <row r="85" spans="2:4">
      <c r="B85" s="57" t="s">
        <v>91</v>
      </c>
      <c r="C85" s="3" t="s">
        <v>161</v>
      </c>
    </row>
    <row r="86" spans="2:4">
      <c r="C86" s="56" t="s">
        <v>145</v>
      </c>
      <c r="D86" s="3" t="s">
        <v>166</v>
      </c>
    </row>
    <row r="87" spans="2:4">
      <c r="C87" s="56" t="s">
        <v>147</v>
      </c>
      <c r="D87" s="3" t="s">
        <v>164</v>
      </c>
    </row>
    <row r="88" spans="2:4">
      <c r="C88" s="56" t="s">
        <v>149</v>
      </c>
      <c r="D88" s="3" t="s">
        <v>165</v>
      </c>
    </row>
    <row r="89" spans="2:4">
      <c r="C89" s="56" t="s">
        <v>150</v>
      </c>
      <c r="D89" s="58" t="s">
        <v>304</v>
      </c>
    </row>
    <row r="90" spans="2:4">
      <c r="C90" s="56" t="s">
        <v>152</v>
      </c>
      <c r="D90" s="3" t="s">
        <v>167</v>
      </c>
    </row>
    <row r="91" spans="2:4">
      <c r="D91" s="3" t="s">
        <v>168</v>
      </c>
    </row>
    <row r="93" spans="2:4">
      <c r="B93" s="57" t="s">
        <v>91</v>
      </c>
      <c r="C93" s="3" t="s">
        <v>286</v>
      </c>
      <c r="D93" s="3" t="s">
        <v>287</v>
      </c>
    </row>
    <row r="95" spans="2:4">
      <c r="B95" s="3" t="s">
        <v>170</v>
      </c>
    </row>
    <row r="96" spans="2:4">
      <c r="B96" s="57" t="s">
        <v>91</v>
      </c>
      <c r="C96" s="3" t="s">
        <v>169</v>
      </c>
    </row>
    <row r="97" spans="3:5">
      <c r="C97" s="56" t="s">
        <v>171</v>
      </c>
      <c r="D97" s="3" t="s">
        <v>172</v>
      </c>
    </row>
    <row r="98" spans="3:5">
      <c r="D98" s="3" t="s">
        <v>173</v>
      </c>
    </row>
    <row r="100" spans="3:5">
      <c r="D100" s="3" t="s">
        <v>190</v>
      </c>
      <c r="E100" s="3" t="s">
        <v>191</v>
      </c>
    </row>
    <row r="101" spans="3:5">
      <c r="E101" s="3" t="s">
        <v>192</v>
      </c>
    </row>
    <row r="102" spans="3:5">
      <c r="E102" s="3" t="s">
        <v>193</v>
      </c>
    </row>
    <row r="104" spans="3:5">
      <c r="D104" s="3" t="s">
        <v>194</v>
      </c>
    </row>
    <row r="105" spans="3:5">
      <c r="E105" s="3" t="s">
        <v>195</v>
      </c>
    </row>
    <row r="106" spans="3:5">
      <c r="E106" s="3" t="s">
        <v>199</v>
      </c>
    </row>
    <row r="108" spans="3:5">
      <c r="D108" s="3" t="s">
        <v>196</v>
      </c>
      <c r="E108" s="3" t="s">
        <v>197</v>
      </c>
    </row>
    <row r="109" spans="3:5">
      <c r="E109" s="3" t="s">
        <v>198</v>
      </c>
    </row>
    <row r="110" spans="3:5">
      <c r="E110" s="3" t="s">
        <v>200</v>
      </c>
    </row>
    <row r="111" spans="3:5">
      <c r="E111" s="3" t="s">
        <v>201</v>
      </c>
    </row>
    <row r="113" spans="3:5">
      <c r="D113" s="56" t="s">
        <v>203</v>
      </c>
      <c r="E113" s="58" t="s">
        <v>302</v>
      </c>
    </row>
    <row r="114" spans="3:5">
      <c r="D114" s="56" t="s">
        <v>202</v>
      </c>
      <c r="E114" s="58" t="s">
        <v>303</v>
      </c>
    </row>
    <row r="116" spans="3:5">
      <c r="C116" s="56" t="s">
        <v>174</v>
      </c>
      <c r="D116" s="3" t="s">
        <v>175</v>
      </c>
    </row>
    <row r="117" spans="3:5">
      <c r="D117" s="3" t="s">
        <v>176</v>
      </c>
    </row>
    <row r="118" spans="3:5">
      <c r="E118" s="3" t="s">
        <v>177</v>
      </c>
    </row>
    <row r="119" spans="3:5">
      <c r="E119" s="3" t="s">
        <v>178</v>
      </c>
    </row>
    <row r="120" spans="3:5">
      <c r="E120" s="3" t="s">
        <v>179</v>
      </c>
    </row>
    <row r="122" spans="3:5">
      <c r="E122" s="3" t="s">
        <v>180</v>
      </c>
    </row>
    <row r="123" spans="3:5">
      <c r="E123" s="3" t="s">
        <v>181</v>
      </c>
    </row>
    <row r="125" spans="3:5">
      <c r="E125" s="3" t="s">
        <v>182</v>
      </c>
    </row>
    <row r="126" spans="3:5">
      <c r="E126" s="3" t="s">
        <v>183</v>
      </c>
    </row>
    <row r="127" spans="3:5">
      <c r="E127" s="3" t="s">
        <v>184</v>
      </c>
    </row>
    <row r="129" spans="3:5">
      <c r="D129" s="3" t="s">
        <v>185</v>
      </c>
    </row>
    <row r="130" spans="3:5">
      <c r="E130" s="3" t="s">
        <v>211</v>
      </c>
    </row>
    <row r="131" spans="3:5">
      <c r="E131" s="3" t="s">
        <v>186</v>
      </c>
    </row>
    <row r="132" spans="3:5">
      <c r="E132" s="3" t="s">
        <v>187</v>
      </c>
    </row>
    <row r="133" spans="3:5">
      <c r="E133" s="3" t="s">
        <v>188</v>
      </c>
    </row>
    <row r="134" spans="3:5">
      <c r="E134" s="3" t="s">
        <v>189</v>
      </c>
    </row>
    <row r="136" spans="3:5">
      <c r="E136" s="3" t="s">
        <v>309</v>
      </c>
    </row>
    <row r="139" spans="3:5">
      <c r="C139" s="56" t="s">
        <v>225</v>
      </c>
      <c r="D139" s="3" t="s">
        <v>226</v>
      </c>
    </row>
    <row r="140" spans="3:5">
      <c r="D140" s="3" t="s">
        <v>310</v>
      </c>
    </row>
    <row r="142" spans="3:5">
      <c r="C142" s="56" t="s">
        <v>224</v>
      </c>
      <c r="D142" s="3" t="s">
        <v>223</v>
      </c>
    </row>
    <row r="143" spans="3:5">
      <c r="D143" s="3" t="s">
        <v>227</v>
      </c>
    </row>
    <row r="144" spans="3:5">
      <c r="D144" s="3" t="s">
        <v>228</v>
      </c>
    </row>
    <row r="146" spans="2:5">
      <c r="B146" s="57" t="s">
        <v>91</v>
      </c>
      <c r="C146" s="63" t="s">
        <v>209</v>
      </c>
      <c r="D146" s="3" t="s">
        <v>204</v>
      </c>
    </row>
    <row r="147" spans="2:5">
      <c r="D147" s="3" t="s">
        <v>205</v>
      </c>
    </row>
    <row r="148" spans="2:5">
      <c r="D148" s="3" t="s">
        <v>261</v>
      </c>
    </row>
    <row r="149" spans="2:5">
      <c r="D149" s="56" t="s">
        <v>207</v>
      </c>
      <c r="E149" s="58" t="s">
        <v>206</v>
      </c>
    </row>
    <row r="151" spans="2:5">
      <c r="B151" s="57" t="s">
        <v>91</v>
      </c>
      <c r="C151" s="63" t="s">
        <v>210</v>
      </c>
      <c r="D151" s="63" t="s">
        <v>214</v>
      </c>
    </row>
    <row r="152" spans="2:5">
      <c r="D152" s="63" t="s">
        <v>208</v>
      </c>
      <c r="E152" s="58" t="s">
        <v>260</v>
      </c>
    </row>
    <row r="153" spans="2:5">
      <c r="D153" s="63" t="s">
        <v>220</v>
      </c>
      <c r="E153" s="62"/>
    </row>
    <row r="154" spans="2:5">
      <c r="D154" s="63" t="s">
        <v>221</v>
      </c>
      <c r="E154" s="62"/>
    </row>
    <row r="156" spans="2:5">
      <c r="B156" s="57" t="s">
        <v>91</v>
      </c>
      <c r="C156" s="56" t="s">
        <v>250</v>
      </c>
      <c r="D156" s="3" t="s">
        <v>251</v>
      </c>
    </row>
    <row r="157" spans="2:5">
      <c r="D157" s="3" t="s">
        <v>252</v>
      </c>
    </row>
    <row r="158" spans="2:5">
      <c r="D158" s="3" t="s">
        <v>307</v>
      </c>
    </row>
    <row r="160" spans="2:5">
      <c r="B160" s="57" t="s">
        <v>91</v>
      </c>
      <c r="C160" s="56" t="s">
        <v>213</v>
      </c>
      <c r="D160" s="57" t="s">
        <v>215</v>
      </c>
      <c r="E160" s="3" t="s">
        <v>216</v>
      </c>
    </row>
    <row r="161" spans="2:6">
      <c r="B161" s="57"/>
      <c r="C161" s="56"/>
      <c r="F161" s="3" t="s">
        <v>217</v>
      </c>
    </row>
    <row r="162" spans="2:6">
      <c r="B162" s="57"/>
      <c r="C162" s="56"/>
      <c r="F162" s="3" t="s">
        <v>218</v>
      </c>
    </row>
    <row r="163" spans="2:6">
      <c r="B163" s="57"/>
      <c r="C163" s="56"/>
    </row>
    <row r="164" spans="2:6">
      <c r="B164" s="57"/>
      <c r="C164" s="56"/>
      <c r="D164" s="57" t="s">
        <v>215</v>
      </c>
      <c r="E164" s="3" t="s">
        <v>222</v>
      </c>
    </row>
    <row r="165" spans="2:6">
      <c r="B165" s="57"/>
      <c r="C165" s="56"/>
      <c r="F165" s="3" t="s">
        <v>219</v>
      </c>
    </row>
    <row r="166" spans="2:6">
      <c r="B166" s="57"/>
      <c r="C166" s="56"/>
    </row>
    <row r="167" spans="2:6">
      <c r="B167" s="57"/>
      <c r="C167" s="56"/>
      <c r="D167" s="57" t="s">
        <v>215</v>
      </c>
      <c r="E167" s="3" t="s">
        <v>230</v>
      </c>
    </row>
    <row r="168" spans="2:6">
      <c r="B168" s="57"/>
      <c r="C168" s="56"/>
    </row>
    <row r="169" spans="2:6">
      <c r="B169" s="57"/>
      <c r="C169" s="56"/>
      <c r="D169" s="57" t="s">
        <v>215</v>
      </c>
      <c r="E169" s="3" t="s">
        <v>253</v>
      </c>
    </row>
    <row r="170" spans="2:6">
      <c r="B170" s="57"/>
      <c r="C170" s="56"/>
      <c r="F170" s="3" t="s">
        <v>229</v>
      </c>
    </row>
    <row r="172" spans="2:6">
      <c r="B172" s="57" t="s">
        <v>91</v>
      </c>
      <c r="C172" s="63" t="s">
        <v>212</v>
      </c>
      <c r="D172" s="3" t="s">
        <v>254</v>
      </c>
    </row>
    <row r="173" spans="2:6">
      <c r="D173" s="3" t="s">
        <v>300</v>
      </c>
    </row>
    <row r="175" spans="2:6">
      <c r="C175" s="57" t="s">
        <v>215</v>
      </c>
      <c r="D175" s="3" t="s">
        <v>306</v>
      </c>
    </row>
    <row r="176" spans="2:6">
      <c r="D176" s="56" t="s">
        <v>231</v>
      </c>
      <c r="E176" s="3" t="s">
        <v>293</v>
      </c>
      <c r="F176" s="3" t="s">
        <v>294</v>
      </c>
    </row>
    <row r="177" spans="3:6">
      <c r="F177" s="3" t="s">
        <v>295</v>
      </c>
    </row>
    <row r="179" spans="3:6">
      <c r="D179" s="56" t="s">
        <v>231</v>
      </c>
      <c r="E179" s="3" t="s">
        <v>296</v>
      </c>
      <c r="F179" s="3" t="s">
        <v>297</v>
      </c>
    </row>
    <row r="180" spans="3:6">
      <c r="F180" s="3" t="s">
        <v>298</v>
      </c>
    </row>
    <row r="181" spans="3:6">
      <c r="F181" s="3" t="s">
        <v>299</v>
      </c>
    </row>
    <row r="183" spans="3:6">
      <c r="E183" s="56" t="s">
        <v>301</v>
      </c>
      <c r="F183" s="58" t="s">
        <v>302</v>
      </c>
    </row>
    <row r="186" spans="3:6">
      <c r="C186" s="57" t="s">
        <v>215</v>
      </c>
      <c r="D186" s="3" t="s">
        <v>257</v>
      </c>
    </row>
    <row r="187" spans="3:6">
      <c r="D187" s="56" t="s">
        <v>231</v>
      </c>
      <c r="E187" s="3" t="s">
        <v>232</v>
      </c>
    </row>
    <row r="188" spans="3:6">
      <c r="F188" s="3" t="s">
        <v>233</v>
      </c>
    </row>
    <row r="189" spans="3:6">
      <c r="F189" s="3" t="s">
        <v>234</v>
      </c>
    </row>
    <row r="190" spans="3:6">
      <c r="F190" s="3" t="s">
        <v>235</v>
      </c>
    </row>
    <row r="191" spans="3:6">
      <c r="E191" s="56" t="s">
        <v>236</v>
      </c>
      <c r="F191" s="58" t="s">
        <v>237</v>
      </c>
    </row>
    <row r="193" spans="4:6">
      <c r="D193" s="56" t="s">
        <v>231</v>
      </c>
      <c r="E193" s="3" t="s">
        <v>238</v>
      </c>
    </row>
    <row r="194" spans="4:6">
      <c r="F194" s="3" t="s">
        <v>239</v>
      </c>
    </row>
    <row r="195" spans="4:6">
      <c r="F195" s="3" t="s">
        <v>240</v>
      </c>
    </row>
    <row r="196" spans="4:6">
      <c r="F196" s="3" t="s">
        <v>241</v>
      </c>
    </row>
    <row r="197" spans="4:6">
      <c r="F197" s="3" t="s">
        <v>242</v>
      </c>
    </row>
    <row r="198" spans="4:6">
      <c r="E198" s="56" t="s">
        <v>236</v>
      </c>
      <c r="F198" s="58" t="s">
        <v>243</v>
      </c>
    </row>
    <row r="200" spans="4:6">
      <c r="D200" s="56" t="s">
        <v>231</v>
      </c>
      <c r="E200" s="3" t="s">
        <v>244</v>
      </c>
    </row>
    <row r="201" spans="4:6">
      <c r="F201" s="3" t="s">
        <v>245</v>
      </c>
    </row>
    <row r="202" spans="4:6">
      <c r="F202" s="3" t="s">
        <v>246</v>
      </c>
    </row>
    <row r="203" spans="4:6">
      <c r="E203" s="3" t="s">
        <v>247</v>
      </c>
      <c r="F203" s="58" t="s">
        <v>248</v>
      </c>
    </row>
    <row r="205" spans="4:6">
      <c r="D205" s="56" t="s">
        <v>231</v>
      </c>
      <c r="E205" s="3" t="s">
        <v>259</v>
      </c>
    </row>
    <row r="206" spans="4:6">
      <c r="F206" s="3" t="s">
        <v>249</v>
      </c>
    </row>
    <row r="207" spans="4:6">
      <c r="F207" s="3" t="s">
        <v>255</v>
      </c>
    </row>
    <row r="208" spans="4:6">
      <c r="E208" s="3" t="s">
        <v>256</v>
      </c>
      <c r="F208" s="58" t="s">
        <v>258</v>
      </c>
    </row>
    <row r="210" spans="3:7">
      <c r="C210" s="57" t="s">
        <v>215</v>
      </c>
      <c r="D210" s="3" t="s">
        <v>262</v>
      </c>
    </row>
    <row r="211" spans="3:7">
      <c r="D211" s="56" t="s">
        <v>231</v>
      </c>
      <c r="E211" s="3" t="s">
        <v>263</v>
      </c>
      <c r="F211" s="3" t="s">
        <v>266</v>
      </c>
    </row>
    <row r="212" spans="3:7">
      <c r="F212" s="3" t="s">
        <v>267</v>
      </c>
    </row>
    <row r="213" spans="3:7">
      <c r="G213" s="3" t="s">
        <v>268</v>
      </c>
    </row>
    <row r="214" spans="3:7">
      <c r="F214" s="3" t="s">
        <v>269</v>
      </c>
    </row>
    <row r="216" spans="3:7">
      <c r="D216" s="56" t="s">
        <v>231</v>
      </c>
      <c r="E216" s="3" t="s">
        <v>264</v>
      </c>
      <c r="F216" s="3" t="s">
        <v>265</v>
      </c>
    </row>
    <row r="217" spans="3:7">
      <c r="F217" s="3" t="s">
        <v>270</v>
      </c>
    </row>
    <row r="218" spans="3:7">
      <c r="F218" s="56" t="s">
        <v>271</v>
      </c>
      <c r="G218" s="3" t="s">
        <v>272</v>
      </c>
    </row>
    <row r="219" spans="3:7">
      <c r="G219" s="3" t="s">
        <v>273</v>
      </c>
    </row>
    <row r="220" spans="3:7">
      <c r="F220" s="56" t="s">
        <v>274</v>
      </c>
      <c r="G220" s="3" t="s">
        <v>275</v>
      </c>
    </row>
    <row r="221" spans="3:7">
      <c r="F221" s="56" t="s">
        <v>276</v>
      </c>
      <c r="G221" s="3" t="s">
        <v>277</v>
      </c>
    </row>
    <row r="222" spans="3:7">
      <c r="G222" s="3" t="s">
        <v>278</v>
      </c>
    </row>
    <row r="223" spans="3:7">
      <c r="G223" s="3" t="s">
        <v>279</v>
      </c>
    </row>
    <row r="224" spans="3:7">
      <c r="F224" s="56" t="s">
        <v>280</v>
      </c>
      <c r="G224" s="3" t="s">
        <v>281</v>
      </c>
    </row>
    <row r="225" spans="4:7">
      <c r="G225" s="3" t="s">
        <v>282</v>
      </c>
    </row>
    <row r="226" spans="4:7">
      <c r="G226" s="3" t="s">
        <v>283</v>
      </c>
    </row>
    <row r="228" spans="4:7">
      <c r="D228" s="56" t="s">
        <v>231</v>
      </c>
      <c r="E228" s="3" t="s">
        <v>284</v>
      </c>
      <c r="F228" s="3" t="s">
        <v>285</v>
      </c>
    </row>
  </sheetData>
  <mergeCells count="1">
    <mergeCell ref="D64:I64"/>
  </mergeCells>
  <phoneticPr fontId="11" type="noConversion"/>
  <hyperlinks>
    <hyperlink ref="D71" r:id="rId1" xr:uid="{00000000-0004-0000-0100-000003000000}"/>
    <hyperlink ref="D78" r:id="rId2" xr:uid="{00000000-0004-0000-0100-000004000000}"/>
    <hyperlink ref="D89" r:id="rId3" xr:uid="{00000000-0004-0000-0100-000005000000}"/>
    <hyperlink ref="E114" r:id="rId4" xr:uid="{00000000-0004-0000-0100-000006000000}"/>
    <hyperlink ref="E113" r:id="rId5" xr:uid="{00000000-0004-0000-0100-000007000000}"/>
    <hyperlink ref="E149" r:id="rId6" xr:uid="{00000000-0004-0000-0100-000008000000}"/>
    <hyperlink ref="E152" r:id="rId7" xr:uid="{00000000-0004-0000-0100-000009000000}"/>
    <hyperlink ref="F191" r:id="rId8" xr:uid="{00000000-0004-0000-0100-00000A000000}"/>
    <hyperlink ref="F198" r:id="rId9" xr:uid="{00000000-0004-0000-0100-00000B000000}"/>
    <hyperlink ref="F203" r:id="rId10" xr:uid="{00000000-0004-0000-0100-00000C000000}"/>
    <hyperlink ref="F208" r:id="rId11" xr:uid="{00000000-0004-0000-0100-00000D000000}"/>
    <hyperlink ref="E79" r:id="rId12" xr:uid="{00000000-0004-0000-0100-00000E000000}"/>
    <hyperlink ref="E80" r:id="rId13" xr:uid="{00000000-0004-0000-0100-00000F000000}"/>
    <hyperlink ref="F183" r:id="rId14" xr:uid="{00000000-0004-0000-0100-000010000000}"/>
  </hyperlinks>
  <pageMargins left="0.7" right="0.7" top="0.75" bottom="0.75" header="0.3" footer="0.3"/>
  <pageSetup paperSize="9" scale="52" orientation="portrait" r:id="rId15"/>
  <headerFooter>
    <oddHeader>&amp;C&amp;"Calibri"&amp;10&amp;K000000  AGC Group Internal Use Only &amp;1#_x000D_</oddHeader>
  </headerFooter>
  <rowBreaks count="2" manualBreakCount="2">
    <brk id="94" max="16383" man="1"/>
    <brk id="171" max="16383" man="1"/>
  </rowBreaks>
  <legacyDrawing r:id="rId1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AC23"/>
  <sheetViews>
    <sheetView showGridLines="0" zoomScale="95" zoomScaleNormal="95" workbookViewId="0">
      <pane xSplit="4725" topLeftCell="D1" activePane="topRight"/>
      <selection activeCell="B1" sqref="B1"/>
      <selection pane="topRight" activeCell="X30" sqref="X30"/>
    </sheetView>
  </sheetViews>
  <sheetFormatPr defaultRowHeight="15"/>
  <cols>
    <col min="1" max="1" width="1.109375" customWidth="1"/>
    <col min="2" max="2" width="11.109375" customWidth="1"/>
    <col min="3" max="3" width="21.109375" customWidth="1"/>
    <col min="4" max="4" width="8.88671875" customWidth="1"/>
    <col min="5" max="5" width="11.109375" style="5" customWidth="1"/>
    <col min="6" max="7" width="11.109375" customWidth="1"/>
    <col min="8" max="8" width="9.21875" customWidth="1"/>
    <col min="9" max="9" width="11.109375" customWidth="1"/>
    <col min="10" max="13" width="8.88671875" customWidth="1"/>
    <col min="14" max="14" width="6.109375" customWidth="1"/>
    <col min="16" max="27" width="4.44140625" customWidth="1"/>
    <col min="28" max="28" width="17.6640625" customWidth="1"/>
  </cols>
  <sheetData>
    <row r="1" spans="2:29" ht="27">
      <c r="B1" s="27" t="s">
        <v>15</v>
      </c>
      <c r="C1" s="1"/>
      <c r="D1" s="1"/>
      <c r="E1" s="4"/>
      <c r="F1" s="2"/>
      <c r="G1" s="2"/>
      <c r="H1" s="2"/>
      <c r="I1" s="2"/>
      <c r="J1" s="2"/>
      <c r="K1" s="2"/>
      <c r="L1" s="2"/>
      <c r="M1" s="2"/>
      <c r="N1" s="2"/>
    </row>
    <row r="2" spans="2:29" ht="7.5" customHeight="1">
      <c r="L2" s="24" t="s">
        <v>7</v>
      </c>
    </row>
    <row r="3" spans="2:29" ht="19.5" customHeight="1">
      <c r="D3" s="6" t="s">
        <v>3</v>
      </c>
      <c r="E3" s="30">
        <v>42736</v>
      </c>
      <c r="P3" s="31" t="s">
        <v>61</v>
      </c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</row>
    <row r="4" spans="2:29" ht="33" customHeight="1">
      <c r="B4" s="26" t="s">
        <v>11</v>
      </c>
      <c r="C4" s="25" t="s">
        <v>10</v>
      </c>
      <c r="D4" s="20" t="s">
        <v>9</v>
      </c>
      <c r="E4" s="10" t="s">
        <v>12</v>
      </c>
      <c r="F4" s="10" t="s">
        <v>13</v>
      </c>
      <c r="G4" s="10" t="s">
        <v>14</v>
      </c>
      <c r="H4" s="20" t="s">
        <v>0</v>
      </c>
      <c r="I4" s="19" t="s">
        <v>3</v>
      </c>
      <c r="J4" s="19" t="s">
        <v>4</v>
      </c>
      <c r="K4" s="28" t="s">
        <v>16</v>
      </c>
      <c r="L4" s="29" t="s">
        <v>56</v>
      </c>
      <c r="M4" s="29" t="s">
        <v>17</v>
      </c>
      <c r="N4" s="23" t="s">
        <v>5</v>
      </c>
      <c r="O4" s="43" t="s">
        <v>21</v>
      </c>
      <c r="P4" s="29" t="s">
        <v>22</v>
      </c>
      <c r="Q4" s="29" t="s">
        <v>23</v>
      </c>
      <c r="R4" s="29" t="s">
        <v>24</v>
      </c>
      <c r="S4" s="29" t="s">
        <v>25</v>
      </c>
      <c r="T4" s="29" t="s">
        <v>26</v>
      </c>
      <c r="U4" s="29" t="s">
        <v>27</v>
      </c>
      <c r="V4" s="29" t="s">
        <v>28</v>
      </c>
      <c r="W4" s="29" t="s">
        <v>29</v>
      </c>
      <c r="X4" s="29" t="s">
        <v>30</v>
      </c>
      <c r="Y4" s="29" t="s">
        <v>31</v>
      </c>
      <c r="Z4" s="29" t="s">
        <v>32</v>
      </c>
      <c r="AA4" s="23" t="s">
        <v>33</v>
      </c>
      <c r="AB4" s="44" t="s">
        <v>55</v>
      </c>
    </row>
    <row r="5" spans="2:29" s="3" customFormat="1" ht="22.5" customHeight="1">
      <c r="B5" s="41" t="s">
        <v>8</v>
      </c>
      <c r="C5" s="39" t="s">
        <v>35</v>
      </c>
      <c r="D5" s="37" t="s">
        <v>1</v>
      </c>
      <c r="E5" s="7">
        <v>42736</v>
      </c>
      <c r="F5" s="8">
        <v>43100</v>
      </c>
      <c r="G5" s="8"/>
      <c r="H5" s="9">
        <f>7/12</f>
        <v>0.58333333333333337</v>
      </c>
      <c r="I5" s="11">
        <f t="shared" ref="I5:I18" si="0">$E$3</f>
        <v>42736</v>
      </c>
      <c r="J5" s="12">
        <f t="shared" ref="J5:J10" si="1">IF(ISBLANK(E5),0,E5-I5)</f>
        <v>0</v>
      </c>
      <c r="K5" s="42">
        <f>$H5*$N5</f>
        <v>212.33333333333334</v>
      </c>
      <c r="L5" s="42">
        <f t="shared" ref="L5:L10" si="2">N5-K5</f>
        <v>151.66666666666666</v>
      </c>
      <c r="M5" s="12">
        <f t="shared" ref="M5:M10" si="3">IF(ISBLANK(G5),0,(G5-E5)-N5)</f>
        <v>0</v>
      </c>
      <c r="N5" s="21">
        <f t="shared" ref="N5:N10" si="4">IF(ISBLANK(F5),0,F5-E5)</f>
        <v>364</v>
      </c>
      <c r="O5" s="34" t="s">
        <v>45</v>
      </c>
      <c r="P5" s="32" t="s">
        <v>57</v>
      </c>
      <c r="Q5" s="12" t="s">
        <v>58</v>
      </c>
      <c r="R5" s="12" t="s">
        <v>58</v>
      </c>
      <c r="S5" s="12" t="s">
        <v>58</v>
      </c>
      <c r="T5" s="12" t="s">
        <v>57</v>
      </c>
      <c r="U5" s="12" t="s">
        <v>57</v>
      </c>
      <c r="V5" s="12" t="s">
        <v>57</v>
      </c>
      <c r="W5" s="12"/>
      <c r="X5" s="12"/>
      <c r="Y5" s="12"/>
      <c r="Z5" s="12"/>
      <c r="AA5" s="21"/>
      <c r="AB5" s="51"/>
    </row>
    <row r="6" spans="2:29" s="3" customFormat="1" ht="22.5" customHeight="1">
      <c r="B6" s="41"/>
      <c r="C6" s="40" t="s">
        <v>36</v>
      </c>
      <c r="D6" s="38" t="s">
        <v>1</v>
      </c>
      <c r="E6" s="7">
        <v>42751</v>
      </c>
      <c r="F6" s="8">
        <v>43100</v>
      </c>
      <c r="G6" s="8"/>
      <c r="H6" s="9">
        <f>7/12*2/3</f>
        <v>0.3888888888888889</v>
      </c>
      <c r="I6" s="11">
        <f t="shared" si="0"/>
        <v>42736</v>
      </c>
      <c r="J6" s="12">
        <f t="shared" si="1"/>
        <v>15</v>
      </c>
      <c r="K6" s="42">
        <f>$H6*$N6</f>
        <v>135.72222222222223</v>
      </c>
      <c r="L6" s="42">
        <f t="shared" si="2"/>
        <v>213.27777777777777</v>
      </c>
      <c r="M6" s="12">
        <f t="shared" si="3"/>
        <v>0</v>
      </c>
      <c r="N6" s="21">
        <f t="shared" si="4"/>
        <v>349</v>
      </c>
      <c r="O6" s="34" t="s">
        <v>45</v>
      </c>
      <c r="P6" s="32" t="s">
        <v>62</v>
      </c>
      <c r="Q6" s="12" t="s">
        <v>59</v>
      </c>
      <c r="R6" s="12" t="s">
        <v>59</v>
      </c>
      <c r="S6" s="12" t="s">
        <v>60</v>
      </c>
      <c r="T6" s="12" t="s">
        <v>57</v>
      </c>
      <c r="U6" s="12" t="s">
        <v>81</v>
      </c>
      <c r="V6" s="12" t="s">
        <v>57</v>
      </c>
      <c r="W6" s="12"/>
      <c r="X6" s="12"/>
      <c r="Y6" s="12"/>
      <c r="Z6" s="12"/>
      <c r="AA6" s="21"/>
      <c r="AB6" s="51"/>
    </row>
    <row r="7" spans="2:29" s="3" customFormat="1" ht="22.5" customHeight="1">
      <c r="B7" s="41"/>
      <c r="C7" s="40" t="s">
        <v>37</v>
      </c>
      <c r="D7" s="38" t="s">
        <v>1</v>
      </c>
      <c r="E7" s="7"/>
      <c r="F7" s="8"/>
      <c r="G7" s="8"/>
      <c r="H7" s="9">
        <v>0</v>
      </c>
      <c r="I7" s="11">
        <f t="shared" si="0"/>
        <v>42736</v>
      </c>
      <c r="J7" s="12">
        <f t="shared" si="1"/>
        <v>0</v>
      </c>
      <c r="K7" s="42">
        <f t="shared" ref="K7:K18" si="5">$H7*$N7</f>
        <v>0</v>
      </c>
      <c r="L7" s="42">
        <f t="shared" si="2"/>
        <v>0</v>
      </c>
      <c r="M7" s="12">
        <f t="shared" si="3"/>
        <v>0</v>
      </c>
      <c r="N7" s="21">
        <f t="shared" si="4"/>
        <v>0</v>
      </c>
      <c r="O7" s="34"/>
      <c r="P7" s="32" t="s">
        <v>63</v>
      </c>
      <c r="Q7" s="12" t="s">
        <v>63</v>
      </c>
      <c r="R7" s="12" t="s">
        <v>63</v>
      </c>
      <c r="S7" s="12" t="s">
        <v>63</v>
      </c>
      <c r="T7" s="12" t="s">
        <v>62</v>
      </c>
      <c r="U7" s="12" t="s">
        <v>62</v>
      </c>
      <c r="V7" s="12" t="s">
        <v>62</v>
      </c>
      <c r="W7" s="12"/>
      <c r="X7" s="12"/>
      <c r="Y7" s="12"/>
      <c r="Z7" s="12"/>
      <c r="AA7" s="21"/>
      <c r="AB7" s="51" t="s">
        <v>87</v>
      </c>
    </row>
    <row r="8" spans="2:29" s="3" customFormat="1" ht="22.5" customHeight="1">
      <c r="B8" s="41" t="s">
        <v>18</v>
      </c>
      <c r="C8" s="40" t="s">
        <v>38</v>
      </c>
      <c r="D8" s="38" t="s">
        <v>2</v>
      </c>
      <c r="E8" s="7">
        <v>42736</v>
      </c>
      <c r="F8" s="8">
        <v>43100</v>
      </c>
      <c r="G8" s="8"/>
      <c r="H8" s="9">
        <f>4/12</f>
        <v>0.33333333333333331</v>
      </c>
      <c r="I8" s="11">
        <f t="shared" si="0"/>
        <v>42736</v>
      </c>
      <c r="J8" s="12">
        <f t="shared" si="1"/>
        <v>0</v>
      </c>
      <c r="K8" s="42">
        <f t="shared" si="5"/>
        <v>121.33333333333333</v>
      </c>
      <c r="L8" s="42">
        <f t="shared" si="2"/>
        <v>242.66666666666669</v>
      </c>
      <c r="M8" s="12">
        <f t="shared" si="3"/>
        <v>0</v>
      </c>
      <c r="N8" s="21">
        <f t="shared" si="4"/>
        <v>364</v>
      </c>
      <c r="O8" s="34" t="s">
        <v>77</v>
      </c>
      <c r="P8" s="12" t="s">
        <v>59</v>
      </c>
      <c r="Q8" s="12" t="s">
        <v>59</v>
      </c>
      <c r="R8" s="12" t="s">
        <v>62</v>
      </c>
      <c r="S8" s="12" t="s">
        <v>59</v>
      </c>
      <c r="T8" s="12" t="s">
        <v>62</v>
      </c>
      <c r="U8" s="12" t="s">
        <v>62</v>
      </c>
      <c r="V8" s="12" t="s">
        <v>62</v>
      </c>
      <c r="W8" s="12"/>
      <c r="X8" s="12"/>
      <c r="Y8" s="12"/>
      <c r="Z8" s="12"/>
      <c r="AA8" s="21"/>
      <c r="AB8" s="52" t="s">
        <v>76</v>
      </c>
      <c r="AC8" s="3" t="s">
        <v>79</v>
      </c>
    </row>
    <row r="9" spans="2:29" s="3" customFormat="1" ht="22.5" customHeight="1">
      <c r="B9" s="41"/>
      <c r="C9" s="40" t="s">
        <v>39</v>
      </c>
      <c r="D9" s="38" t="s">
        <v>1</v>
      </c>
      <c r="E9" s="7">
        <v>42736</v>
      </c>
      <c r="F9" s="8">
        <v>43100</v>
      </c>
      <c r="G9" s="8"/>
      <c r="H9" s="9">
        <f>4/6</f>
        <v>0.66666666666666663</v>
      </c>
      <c r="I9" s="11">
        <f t="shared" si="0"/>
        <v>42736</v>
      </c>
      <c r="J9" s="12">
        <f t="shared" si="1"/>
        <v>0</v>
      </c>
      <c r="K9" s="42">
        <f t="shared" si="5"/>
        <v>242.66666666666666</v>
      </c>
      <c r="L9" s="42">
        <f t="shared" si="2"/>
        <v>121.33333333333334</v>
      </c>
      <c r="M9" s="12">
        <f t="shared" si="3"/>
        <v>0</v>
      </c>
      <c r="N9" s="21">
        <f t="shared" si="4"/>
        <v>364</v>
      </c>
      <c r="O9" s="34" t="s">
        <v>78</v>
      </c>
      <c r="P9" s="12" t="s">
        <v>59</v>
      </c>
      <c r="Q9" s="12" t="s">
        <v>59</v>
      </c>
      <c r="R9" s="12" t="s">
        <v>59</v>
      </c>
      <c r="S9" s="12" t="s">
        <v>62</v>
      </c>
      <c r="T9" s="12" t="s">
        <v>57</v>
      </c>
      <c r="U9" s="12" t="s">
        <v>62</v>
      </c>
      <c r="V9" s="12" t="s">
        <v>62</v>
      </c>
      <c r="W9" s="12"/>
      <c r="X9" s="12"/>
      <c r="Y9" s="12"/>
      <c r="Z9" s="12"/>
      <c r="AA9" s="21"/>
      <c r="AB9" s="52" t="s">
        <v>75</v>
      </c>
      <c r="AC9" s="3" t="s">
        <v>80</v>
      </c>
    </row>
    <row r="10" spans="2:29" s="3" customFormat="1" ht="22.5" customHeight="1">
      <c r="B10" s="41"/>
      <c r="C10" s="40" t="s">
        <v>40</v>
      </c>
      <c r="D10" s="38" t="s">
        <v>2</v>
      </c>
      <c r="E10" s="7">
        <v>42877</v>
      </c>
      <c r="F10" s="8">
        <v>43100</v>
      </c>
      <c r="G10" s="8"/>
      <c r="H10" s="9">
        <v>0</v>
      </c>
      <c r="I10" s="11">
        <f t="shared" si="0"/>
        <v>42736</v>
      </c>
      <c r="J10" s="12">
        <f t="shared" si="1"/>
        <v>141</v>
      </c>
      <c r="K10" s="42">
        <f t="shared" si="5"/>
        <v>0</v>
      </c>
      <c r="L10" s="42">
        <f t="shared" si="2"/>
        <v>223</v>
      </c>
      <c r="M10" s="12">
        <f t="shared" si="3"/>
        <v>0</v>
      </c>
      <c r="N10" s="21">
        <f t="shared" si="4"/>
        <v>223</v>
      </c>
      <c r="O10" s="34" t="s">
        <v>45</v>
      </c>
      <c r="P10" s="32" t="s">
        <v>64</v>
      </c>
      <c r="Q10" s="12" t="s">
        <v>63</v>
      </c>
      <c r="R10" s="12" t="s">
        <v>64</v>
      </c>
      <c r="S10" s="12" t="s">
        <v>63</v>
      </c>
      <c r="T10" s="12" t="s">
        <v>62</v>
      </c>
      <c r="U10" s="12" t="s">
        <v>62</v>
      </c>
      <c r="V10" s="12" t="s">
        <v>62</v>
      </c>
      <c r="W10" s="12"/>
      <c r="X10" s="12"/>
      <c r="Y10" s="12"/>
      <c r="Z10" s="12"/>
      <c r="AA10" s="21"/>
      <c r="AB10" s="52" t="s">
        <v>71</v>
      </c>
    </row>
    <row r="11" spans="2:29" s="3" customFormat="1" ht="22.5" customHeight="1">
      <c r="B11" s="41" t="s">
        <v>19</v>
      </c>
      <c r="C11" s="40" t="s">
        <v>41</v>
      </c>
      <c r="D11" s="38" t="s">
        <v>1</v>
      </c>
      <c r="E11" s="7">
        <v>42767</v>
      </c>
      <c r="F11" s="8">
        <v>43023</v>
      </c>
      <c r="G11" s="8"/>
      <c r="H11" s="9">
        <f>6/10.5</f>
        <v>0.5714285714285714</v>
      </c>
      <c r="I11" s="11">
        <f t="shared" si="0"/>
        <v>42736</v>
      </c>
      <c r="J11" s="12">
        <f t="shared" ref="J11:J18" si="6">IF(ISBLANK(E11),0,E11-I11)</f>
        <v>31</v>
      </c>
      <c r="K11" s="42">
        <f t="shared" si="5"/>
        <v>146.28571428571428</v>
      </c>
      <c r="L11" s="42">
        <f t="shared" ref="L11:L18" si="7">N11-K11</f>
        <v>109.71428571428572</v>
      </c>
      <c r="M11" s="12">
        <f t="shared" ref="M11:M18" si="8">IF(ISBLANK(G11),0,(G11-E11)-N11)</f>
        <v>0</v>
      </c>
      <c r="N11" s="21">
        <f t="shared" ref="N11:N18" si="9">IF(ISBLANK(F11),0,F11-E11)</f>
        <v>256</v>
      </c>
      <c r="O11" s="34" t="s">
        <v>47</v>
      </c>
      <c r="P11" s="32" t="s">
        <v>63</v>
      </c>
      <c r="Q11" s="12" t="s">
        <v>59</v>
      </c>
      <c r="R11" s="12" t="s">
        <v>59</v>
      </c>
      <c r="S11" s="12" t="s">
        <v>59</v>
      </c>
      <c r="T11" s="12" t="s">
        <v>57</v>
      </c>
      <c r="U11" s="12" t="s">
        <v>57</v>
      </c>
      <c r="V11" s="12" t="s">
        <v>57</v>
      </c>
      <c r="W11" s="12"/>
      <c r="X11" s="12"/>
      <c r="Y11" s="12"/>
      <c r="Z11" s="12"/>
      <c r="AA11" s="21"/>
      <c r="AB11" s="52" t="s">
        <v>88</v>
      </c>
    </row>
    <row r="12" spans="2:29" s="3" customFormat="1" ht="22.5" customHeight="1">
      <c r="B12" s="41"/>
      <c r="C12" s="40" t="s">
        <v>42</v>
      </c>
      <c r="D12" s="38" t="s">
        <v>1</v>
      </c>
      <c r="E12" s="7">
        <v>42767</v>
      </c>
      <c r="F12" s="8">
        <v>43100</v>
      </c>
      <c r="G12" s="8"/>
      <c r="H12" s="9">
        <f>4/11</f>
        <v>0.36363636363636365</v>
      </c>
      <c r="I12" s="11">
        <f t="shared" si="0"/>
        <v>42736</v>
      </c>
      <c r="J12" s="12">
        <f t="shared" si="6"/>
        <v>31</v>
      </c>
      <c r="K12" s="42">
        <f t="shared" si="5"/>
        <v>121.09090909090909</v>
      </c>
      <c r="L12" s="42">
        <f t="shared" si="7"/>
        <v>211.90909090909091</v>
      </c>
      <c r="M12" s="12">
        <f t="shared" si="8"/>
        <v>0</v>
      </c>
      <c r="N12" s="21">
        <f t="shared" si="9"/>
        <v>333</v>
      </c>
      <c r="O12" s="34" t="s">
        <v>46</v>
      </c>
      <c r="P12" s="32" t="s">
        <v>63</v>
      </c>
      <c r="Q12" s="12" t="s">
        <v>59</v>
      </c>
      <c r="R12" s="12" t="s">
        <v>59</v>
      </c>
      <c r="S12" s="12" t="s">
        <v>59</v>
      </c>
      <c r="T12" s="12" t="s">
        <v>62</v>
      </c>
      <c r="U12" s="12" t="s">
        <v>62</v>
      </c>
      <c r="V12" s="12" t="s">
        <v>57</v>
      </c>
      <c r="W12" s="54"/>
      <c r="X12" s="54"/>
      <c r="Y12" s="54"/>
      <c r="Z12" s="54"/>
      <c r="AA12" s="55"/>
      <c r="AB12" s="52" t="s">
        <v>82</v>
      </c>
    </row>
    <row r="13" spans="2:29" s="3" customFormat="1" ht="22.5" customHeight="1">
      <c r="B13" s="41"/>
      <c r="C13" s="40" t="s">
        <v>43</v>
      </c>
      <c r="D13" s="38" t="s">
        <v>1</v>
      </c>
      <c r="E13" s="7">
        <v>42795</v>
      </c>
      <c r="F13" s="8">
        <v>42979</v>
      </c>
      <c r="G13" s="8"/>
      <c r="H13" s="9">
        <f>4/6</f>
        <v>0.66666666666666663</v>
      </c>
      <c r="I13" s="11">
        <f t="shared" si="0"/>
        <v>42736</v>
      </c>
      <c r="J13" s="12">
        <f t="shared" si="6"/>
        <v>59</v>
      </c>
      <c r="K13" s="42">
        <f t="shared" si="5"/>
        <v>122.66666666666666</v>
      </c>
      <c r="L13" s="42">
        <f t="shared" si="7"/>
        <v>61.333333333333343</v>
      </c>
      <c r="M13" s="12">
        <f t="shared" si="8"/>
        <v>0</v>
      </c>
      <c r="N13" s="21">
        <f t="shared" si="9"/>
        <v>184</v>
      </c>
      <c r="O13" s="34" t="s">
        <v>54</v>
      </c>
      <c r="P13" s="32" t="s">
        <v>63</v>
      </c>
      <c r="Q13" s="12" t="s">
        <v>63</v>
      </c>
      <c r="R13" s="12" t="s">
        <v>59</v>
      </c>
      <c r="S13" s="12" t="s">
        <v>57</v>
      </c>
      <c r="T13" s="12" t="s">
        <v>57</v>
      </c>
      <c r="U13" s="12" t="s">
        <v>57</v>
      </c>
      <c r="V13" s="12" t="s">
        <v>57</v>
      </c>
      <c r="W13" s="12"/>
      <c r="X13" s="12"/>
      <c r="Y13" s="12"/>
      <c r="Z13" s="12"/>
      <c r="AA13" s="21"/>
      <c r="AB13" s="52" t="s">
        <v>83</v>
      </c>
    </row>
    <row r="14" spans="2:29" s="3" customFormat="1" ht="22.5" customHeight="1">
      <c r="B14" s="41"/>
      <c r="C14" s="40" t="s">
        <v>48</v>
      </c>
      <c r="D14" s="38" t="s">
        <v>1</v>
      </c>
      <c r="E14" s="7">
        <v>42779</v>
      </c>
      <c r="F14" s="8">
        <v>43100</v>
      </c>
      <c r="G14" s="8"/>
      <c r="H14" s="9">
        <f>6/12</f>
        <v>0.5</v>
      </c>
      <c r="I14" s="11">
        <f t="shared" si="0"/>
        <v>42736</v>
      </c>
      <c r="J14" s="12">
        <f t="shared" si="6"/>
        <v>43</v>
      </c>
      <c r="K14" s="42">
        <f t="shared" si="5"/>
        <v>160.5</v>
      </c>
      <c r="L14" s="42">
        <f t="shared" si="7"/>
        <v>160.5</v>
      </c>
      <c r="M14" s="12">
        <f t="shared" si="8"/>
        <v>0</v>
      </c>
      <c r="N14" s="21">
        <f t="shared" si="9"/>
        <v>321</v>
      </c>
      <c r="O14" s="34" t="s">
        <v>49</v>
      </c>
      <c r="P14" s="32" t="s">
        <v>65</v>
      </c>
      <c r="Q14" s="12" t="s">
        <v>59</v>
      </c>
      <c r="R14" s="12" t="s">
        <v>59</v>
      </c>
      <c r="S14" s="12" t="s">
        <v>59</v>
      </c>
      <c r="T14" s="12" t="s">
        <v>57</v>
      </c>
      <c r="U14" s="12" t="s">
        <v>57</v>
      </c>
      <c r="V14" s="12" t="s">
        <v>57</v>
      </c>
      <c r="W14" s="12"/>
      <c r="X14" s="12"/>
      <c r="Y14" s="12"/>
      <c r="Z14" s="12"/>
      <c r="AA14" s="21"/>
      <c r="AB14" s="52"/>
    </row>
    <row r="15" spans="2:29" s="3" customFormat="1" ht="22.5" customHeight="1">
      <c r="B15" s="41" t="s">
        <v>20</v>
      </c>
      <c r="C15" s="40" t="s">
        <v>66</v>
      </c>
      <c r="D15" s="38" t="s">
        <v>1</v>
      </c>
      <c r="E15" s="7">
        <v>42736</v>
      </c>
      <c r="F15" s="8">
        <v>43009</v>
      </c>
      <c r="G15" s="8"/>
      <c r="H15" s="9">
        <v>0</v>
      </c>
      <c r="I15" s="11">
        <f t="shared" si="0"/>
        <v>42736</v>
      </c>
      <c r="J15" s="12">
        <f t="shared" si="6"/>
        <v>0</v>
      </c>
      <c r="K15" s="42">
        <f t="shared" si="5"/>
        <v>0</v>
      </c>
      <c r="L15" s="42">
        <f t="shared" si="7"/>
        <v>273</v>
      </c>
      <c r="M15" s="12">
        <f t="shared" si="8"/>
        <v>0</v>
      </c>
      <c r="N15" s="21">
        <f t="shared" si="9"/>
        <v>273</v>
      </c>
      <c r="O15" s="34" t="s">
        <v>46</v>
      </c>
      <c r="P15" s="45">
        <v>946.66444396000009</v>
      </c>
      <c r="Q15" s="46">
        <v>882.07653061224505</v>
      </c>
      <c r="R15" s="46">
        <v>802.82834260864536</v>
      </c>
      <c r="S15" s="46">
        <v>1005.0298678666799</v>
      </c>
      <c r="T15" s="12">
        <v>1020.9317419354836</v>
      </c>
      <c r="U15" s="12">
        <v>935.70399939239985</v>
      </c>
      <c r="V15" s="12">
        <v>914.51655906618817</v>
      </c>
      <c r="W15" s="12"/>
      <c r="X15" s="12"/>
      <c r="Y15" s="12"/>
      <c r="Z15" s="12"/>
      <c r="AA15" s="21"/>
      <c r="AB15" s="52" t="s">
        <v>74</v>
      </c>
    </row>
    <row r="16" spans="2:29" s="3" customFormat="1" ht="22.5" customHeight="1">
      <c r="B16" s="41"/>
      <c r="C16" s="40" t="s">
        <v>44</v>
      </c>
      <c r="D16" s="38" t="s">
        <v>2</v>
      </c>
      <c r="E16" s="7">
        <v>42736</v>
      </c>
      <c r="F16" s="8">
        <v>43009</v>
      </c>
      <c r="G16" s="8"/>
      <c r="H16" s="9">
        <f>6/10</f>
        <v>0.6</v>
      </c>
      <c r="I16" s="11">
        <f t="shared" si="0"/>
        <v>42736</v>
      </c>
      <c r="J16" s="12">
        <f t="shared" si="6"/>
        <v>0</v>
      </c>
      <c r="K16" s="42">
        <f t="shared" si="5"/>
        <v>163.79999999999998</v>
      </c>
      <c r="L16" s="42">
        <f t="shared" si="7"/>
        <v>109.20000000000002</v>
      </c>
      <c r="M16" s="12">
        <f t="shared" si="8"/>
        <v>0</v>
      </c>
      <c r="N16" s="21">
        <f t="shared" si="9"/>
        <v>273</v>
      </c>
      <c r="O16" s="34" t="s">
        <v>50</v>
      </c>
      <c r="P16" s="47" t="s">
        <v>67</v>
      </c>
      <c r="Q16" s="48" t="s">
        <v>68</v>
      </c>
      <c r="R16" s="48" t="s">
        <v>69</v>
      </c>
      <c r="S16" s="48" t="s">
        <v>70</v>
      </c>
      <c r="T16" s="48" t="s">
        <v>84</v>
      </c>
      <c r="U16" s="48" t="s">
        <v>85</v>
      </c>
      <c r="V16" s="48" t="s">
        <v>308</v>
      </c>
      <c r="W16" s="12"/>
      <c r="X16" s="12"/>
      <c r="Y16" s="12"/>
      <c r="Z16" s="12"/>
      <c r="AA16" s="21"/>
      <c r="AB16" s="53" t="s">
        <v>86</v>
      </c>
    </row>
    <row r="17" spans="2:29" s="3" customFormat="1" ht="22.5" customHeight="1">
      <c r="B17" s="41"/>
      <c r="C17" s="49" t="s">
        <v>72</v>
      </c>
      <c r="D17" s="38" t="s">
        <v>1</v>
      </c>
      <c r="E17" s="7">
        <v>42736</v>
      </c>
      <c r="F17" s="8">
        <v>43023</v>
      </c>
      <c r="G17" s="8"/>
      <c r="H17" s="9">
        <f>7/10</f>
        <v>0.7</v>
      </c>
      <c r="I17" s="11">
        <f t="shared" si="0"/>
        <v>42736</v>
      </c>
      <c r="J17" s="12">
        <f t="shared" si="6"/>
        <v>0</v>
      </c>
      <c r="K17" s="42">
        <f t="shared" si="5"/>
        <v>200.89999999999998</v>
      </c>
      <c r="L17" s="42">
        <f t="shared" si="7"/>
        <v>86.100000000000023</v>
      </c>
      <c r="M17" s="12">
        <f t="shared" si="8"/>
        <v>0</v>
      </c>
      <c r="N17" s="21">
        <f t="shared" si="9"/>
        <v>287</v>
      </c>
      <c r="O17" s="34" t="s">
        <v>51</v>
      </c>
      <c r="P17" s="12" t="s">
        <v>59</v>
      </c>
      <c r="Q17" s="12" t="s">
        <v>59</v>
      </c>
      <c r="R17" s="12" t="s">
        <v>59</v>
      </c>
      <c r="S17" s="12" t="s">
        <v>59</v>
      </c>
      <c r="T17" s="12" t="s">
        <v>57</v>
      </c>
      <c r="U17" s="12" t="s">
        <v>57</v>
      </c>
      <c r="V17" s="12" t="s">
        <v>57</v>
      </c>
      <c r="W17" s="12"/>
      <c r="X17" s="12"/>
      <c r="Y17" s="12"/>
      <c r="Z17" s="12"/>
      <c r="AA17" s="21"/>
      <c r="AB17" s="53" t="s">
        <v>73</v>
      </c>
      <c r="AC17" s="3" t="s">
        <v>83</v>
      </c>
    </row>
    <row r="18" spans="2:29" s="3" customFormat="1" ht="22.5" customHeight="1">
      <c r="B18" s="41"/>
      <c r="C18" s="40" t="s">
        <v>52</v>
      </c>
      <c r="D18" s="38" t="s">
        <v>1</v>
      </c>
      <c r="E18" s="7">
        <v>42797</v>
      </c>
      <c r="F18" s="8">
        <v>43100</v>
      </c>
      <c r="G18" s="8"/>
      <c r="H18" s="9">
        <f>2/10</f>
        <v>0.2</v>
      </c>
      <c r="I18" s="11">
        <f t="shared" si="0"/>
        <v>42736</v>
      </c>
      <c r="J18" s="12">
        <f t="shared" si="6"/>
        <v>61</v>
      </c>
      <c r="K18" s="42">
        <f t="shared" si="5"/>
        <v>60.6</v>
      </c>
      <c r="L18" s="42">
        <f t="shared" si="7"/>
        <v>242.4</v>
      </c>
      <c r="M18" s="12">
        <f t="shared" si="8"/>
        <v>0</v>
      </c>
      <c r="N18" s="21">
        <f t="shared" si="9"/>
        <v>303</v>
      </c>
      <c r="O18" s="34" t="s">
        <v>53</v>
      </c>
      <c r="P18" s="32" t="s">
        <v>64</v>
      </c>
      <c r="Q18" s="12" t="s">
        <v>63</v>
      </c>
      <c r="R18" s="12" t="s">
        <v>59</v>
      </c>
      <c r="S18" s="12" t="s">
        <v>59</v>
      </c>
      <c r="T18" s="12" t="s">
        <v>62</v>
      </c>
      <c r="U18" s="12" t="s">
        <v>62</v>
      </c>
      <c r="V18" s="12" t="s">
        <v>62</v>
      </c>
      <c r="W18" s="12"/>
      <c r="X18" s="12"/>
      <c r="Y18" s="12"/>
      <c r="Z18" s="12"/>
      <c r="AA18" s="21"/>
      <c r="AB18" s="52"/>
    </row>
    <row r="19" spans="2:29" s="3" customFormat="1" ht="22.5" customHeight="1">
      <c r="B19" s="13"/>
      <c r="C19" s="18"/>
      <c r="D19" s="36" t="s">
        <v>34</v>
      </c>
      <c r="E19" s="14"/>
      <c r="F19" s="15"/>
      <c r="G19" s="15"/>
      <c r="H19" s="17"/>
      <c r="I19" s="15"/>
      <c r="J19" s="16"/>
      <c r="K19" s="16"/>
      <c r="L19" s="16"/>
      <c r="M19" s="16"/>
      <c r="N19" s="22"/>
      <c r="O19" s="35"/>
      <c r="P19" s="33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22"/>
      <c r="AB19" s="50"/>
    </row>
    <row r="20" spans="2:29" ht="6.75" customHeight="1"/>
    <row r="23" spans="2:29">
      <c r="M23" s="24" t="s">
        <v>6</v>
      </c>
    </row>
  </sheetData>
  <phoneticPr fontId="11" type="noConversion"/>
  <conditionalFormatting sqref="D5:D18">
    <cfRule type="containsText" dxfId="2" priority="1" operator="containsText" text="LOW">
      <formula>NOT(ISERROR(SEARCH("LOW",D5)))</formula>
    </cfRule>
    <cfRule type="containsText" dxfId="1" priority="2" operator="containsText" text="MEDIUM">
      <formula>NOT(ISERROR(SEARCH("MEDIUM",D5)))</formula>
    </cfRule>
    <cfRule type="containsText" dxfId="0" priority="3" operator="containsText" text="HIGH">
      <formula>NOT(ISERROR(SEARCH("HIGH",D5)))</formula>
    </cfRule>
  </conditionalFormatting>
  <conditionalFormatting sqref="H5:H19">
    <cfRule type="dataBar" priority="4">
      <dataBar>
        <cfvo type="num" val="0"/>
        <cfvo type="num" val="1"/>
        <color rgb="FF63C384"/>
      </dataBar>
      <extLst>
        <ext xmlns:x14="http://schemas.microsoft.com/office/spreadsheetml/2009/9/main" uri="{B025F937-C7B1-47D3-B67F-A62EFF666E3E}">
          <x14:id>{C418AF5D-1E15-4890-9C99-E5C9D08F1B88}</x14:id>
        </ext>
      </extLst>
    </cfRule>
  </conditionalFormatting>
  <dataValidations disablePrompts="1" count="1">
    <dataValidation type="list" allowBlank="1" showInputMessage="1" showErrorMessage="1" sqref="D5:D18" xr:uid="{00000000-0002-0000-0000-000000000000}">
      <formula1>"HIGH,MEDIUM,LOW"</formula1>
    </dataValidation>
  </dataValidations>
  <pageMargins left="0.5" right="0.5" top="0.5" bottom="0.5" header="0.3" footer="0.3"/>
  <pageSetup scale="82" fitToHeight="0" orientation="landscape" r:id="rId1"/>
  <headerFooter scaleWithDoc="0">
    <oddHeader>&amp;C&amp;"Calibri"&amp;10&amp;K000000  AGC Group Internal Use Only &amp;1#_x000D_</oddHeader>
    <oddFooter>&amp;L&amp;"Arial,Regular"&amp;9&amp;K01+045https://www.vertex42.com/ExcelTemplates/task-list-template.html&amp;R&amp;"Arial,Regular"&amp;9&amp;K01+045Project Task List Template © 2017 by Vertex42.com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418AF5D-1E15-4890-9C99-E5C9D08F1B88}">
            <x14:dataBar minLength="0" maxLength="100" border="1" gradient="0">
              <x14:cfvo type="num">
                <xm:f>0</xm:f>
              </x14:cfvo>
              <x14:cfvo type="num">
                <xm:f>1</xm:f>
              </x14:cfvo>
              <x14:borderColor theme="0"/>
              <x14:negativeFillColor rgb="FFFF0000"/>
              <x14:axisColor rgb="FF000000"/>
            </x14:dataBar>
          </x14:cfRule>
          <xm:sqref>H5:H19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具名範圍</vt:lpstr>
      </vt:variant>
      <vt:variant>
        <vt:i4>3</vt:i4>
      </vt:variant>
    </vt:vector>
  </HeadingPairs>
  <TitlesOfParts>
    <vt:vector size="7" baseType="lpstr">
      <vt:lpstr>ADT_TT 三軸加速度計量測_模態測試</vt:lpstr>
      <vt:lpstr>附件_寫真</vt:lpstr>
      <vt:lpstr>附件一</vt:lpstr>
      <vt:lpstr>ProjectTaskList</vt:lpstr>
      <vt:lpstr>'ADT_TT 三軸加速度計量測_模態測試'!Print_Area</vt:lpstr>
      <vt:lpstr>ProjectTaskList!Print_Area</vt:lpstr>
      <vt:lpstr>附件一!Print_Area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Project Task List with Gantt Chart</dc:title>
  <dc:creator>Vertex42.com</dc:creator>
  <dc:description>(c) 2017 Vertex42 LLC. All Rights Reserved.</dc:description>
  <cp:lastModifiedBy>陳 俊碩(chen chunshuo)/ADT/雲林・製１・生產推進</cp:lastModifiedBy>
  <cp:lastPrinted>2017-01-10T22:42:33Z</cp:lastPrinted>
  <dcterms:created xsi:type="dcterms:W3CDTF">2017-01-09T18:01:51Z</dcterms:created>
  <dcterms:modified xsi:type="dcterms:W3CDTF">2026-04-03T01:03:25Z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(c) 2017 Vertex42 LLC</vt:lpwstr>
  </property>
  <property fmtid="{D5CDD505-2E9C-101B-9397-08002B2CF9AE}" pid="3" name="Version">
    <vt:lpwstr>1.0.1</vt:lpwstr>
  </property>
  <property fmtid="{D5CDD505-2E9C-101B-9397-08002B2CF9AE}" pid="4" name="MSIP_Label_5cc66615-6eec-41b4-b3fe-3a9a5bc67cec_Enabled">
    <vt:lpwstr>true</vt:lpwstr>
  </property>
  <property fmtid="{D5CDD505-2E9C-101B-9397-08002B2CF9AE}" pid="5" name="MSIP_Label_5cc66615-6eec-41b4-b3fe-3a9a5bc67cec_SetDate">
    <vt:lpwstr>2026-03-19T10:20:35Z</vt:lpwstr>
  </property>
  <property fmtid="{D5CDD505-2E9C-101B-9397-08002B2CF9AE}" pid="6" name="MSIP_Label_5cc66615-6eec-41b4-b3fe-3a9a5bc67cec_Method">
    <vt:lpwstr>Privileged</vt:lpwstr>
  </property>
  <property fmtid="{D5CDD505-2E9C-101B-9397-08002B2CF9AE}" pid="7" name="MSIP_Label_5cc66615-6eec-41b4-b3fe-3a9a5bc67cec_Name">
    <vt:lpwstr>GCEP2 - Internal Use Only</vt:lpwstr>
  </property>
  <property fmtid="{D5CDD505-2E9C-101B-9397-08002B2CF9AE}" pid="8" name="MSIP_Label_5cc66615-6eec-41b4-b3fe-3a9a5bc67cec_SiteId">
    <vt:lpwstr>90c56ca2-d892-45ce-810d-6cf368facdb3</vt:lpwstr>
  </property>
  <property fmtid="{D5CDD505-2E9C-101B-9397-08002B2CF9AE}" pid="9" name="MSIP_Label_5cc66615-6eec-41b4-b3fe-3a9a5bc67cec_ActionId">
    <vt:lpwstr>57a5f9c6-26cd-440f-940f-779894e65903</vt:lpwstr>
  </property>
  <property fmtid="{D5CDD505-2E9C-101B-9397-08002B2CF9AE}" pid="10" name="MSIP_Label_5cc66615-6eec-41b4-b3fe-3a9a5bc67cec_ContentBits">
    <vt:lpwstr>3</vt:lpwstr>
  </property>
  <property fmtid="{D5CDD505-2E9C-101B-9397-08002B2CF9AE}" pid="11" name="MSIP_Label_5cc66615-6eec-41b4-b3fe-3a9a5bc67cec_Tag">
    <vt:lpwstr>10, 0, 1, 1</vt:lpwstr>
  </property>
</Properties>
</file>
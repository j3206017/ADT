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unshuo.chen\Desktop\個人資料夾\○ 2026年度 ○\04_個人業務報告\"/>
    </mc:Choice>
  </mc:AlternateContent>
  <xr:revisionPtr revIDLastSave="0" documentId="13_ncr:1_{0C7CF7E1-44BE-42A0-9A4E-5DFC4254B0E3}" xr6:coauthVersionLast="47" xr6:coauthVersionMax="47" xr10:uidLastSave="{00000000-0000-0000-0000-000000000000}"/>
  <bookViews>
    <workbookView xWindow="-120" yWindow="-120" windowWidth="29040" windowHeight="16440" firstSheet="4" activeTab="4" xr2:uid="{00000000-000D-0000-FFFF-FFFF00000000}"/>
  </bookViews>
  <sheets>
    <sheet name="Sheet1" sheetId="1" state="hidden" r:id="rId1"/>
    <sheet name="Rotesion(中)(2個月版本)" sheetId="2" state="hidden" r:id="rId2"/>
    <sheet name="Rotesion(中) " sheetId="5" state="hidden" r:id="rId3"/>
    <sheet name="Rotesion(日) " sheetId="7" state="hidden" r:id="rId4"/>
    <sheet name="2026年度_上半年業務概況" sheetId="8" r:id="rId5"/>
    <sheet name="UiPath_初階教育輔導日期" sheetId="9" r:id="rId6"/>
    <sheet name="UiPath_初階課程課題說明" sheetId="13" r:id="rId7"/>
    <sheet name="KF SHP資料更新_無人值守" sheetId="16" r:id="rId8"/>
    <sheet name="UiPath_進階教育輔導日期" sheetId="10" r:id="rId9"/>
    <sheet name="UiPath_進階課程課題說明" sheetId="12" r:id="rId10"/>
    <sheet name="KF 資料更新_REFramework開發" sheetId="17" r:id="rId11"/>
    <sheet name="Power Platform_課程" sheetId="14" r:id="rId12"/>
    <sheet name="DataBricks_初學者課程暨課題商談、輔導" sheetId="15" r:id="rId13"/>
    <sheet name="ADT_COLD_設備横展開AI進度管理_ver.0" sheetId="18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lu05" localSheetId="8">#REF!</definedName>
    <definedName name="_lu05">#REF!</definedName>
    <definedName name="aa" localSheetId="8">#REF!</definedName>
    <definedName name="aa">#REF!</definedName>
    <definedName name="ab">'[2]the Nha may'!$P$7:$Q$13</definedName>
    <definedName name="Benefits_Plan_No">[3]Coding!$R$12:$R$21</definedName>
    <definedName name="bp" localSheetId="8">#REF!</definedName>
    <definedName name="bp">#REF!</definedName>
    <definedName name="Country_Code">[3]Coding!$V$132:$V$149</definedName>
    <definedName name="Country_Stock_Exchange">[3]Coding!$AA$4:$AA$63</definedName>
    <definedName name="Currency_Code">[3]Coding!$Z$142:$Z$166</definedName>
    <definedName name="Eval">[2]ABC!$A$1:$D$65536</definedName>
    <definedName name="Frequency_of_Grant">[3]Coding!$AA$94:$AA$100</definedName>
    <definedName name="Gender_Code">[3]Coding!$Y$68:$Y$69</definedName>
    <definedName name="Geographic_Responsibility_HiTech">[3]Coding!$AA$66:$AA$69</definedName>
    <definedName name="Job_Family_Code___Title">[3]Coding!$AF$3:$AF$29</definedName>
    <definedName name="Location">[3]Coding!$AE$1:$AE$21</definedName>
    <definedName name="luongvn" localSheetId="8">#REF!</definedName>
    <definedName name="luongvn">#REF!</definedName>
    <definedName name="NC" localSheetId="8">#REF!</definedName>
    <definedName name="NC">#REF!</definedName>
    <definedName name="np" localSheetId="8">#REF!</definedName>
    <definedName name="np">#REF!</definedName>
    <definedName name="Org_Size">[3]Coding!$Y$4:$Y$23</definedName>
    <definedName name="Plan_Type">[3]Coding!$AA$83:$AA$91</definedName>
    <definedName name="Position_Class">[3]Coding!$Y$26:$Y$65</definedName>
    <definedName name="_xlnm.Print_Area" localSheetId="13">ADT_COLD_設備横展開AI進度管理_ver.0!$A$1:$AF$82</definedName>
    <definedName name="_xlnm.Print_Area" localSheetId="6">UiPath_初階課程課題說明!$A$1:$I$111</definedName>
    <definedName name="_xlnm.Print_Area" localSheetId="9">UiPath_進階課程課題說明!$A$1:$I$73</definedName>
    <definedName name="_xlnm.Print_Titles">#N/A</definedName>
    <definedName name="QRY_ｸﾚｰﾑ返品明細" localSheetId="6">#REF!</definedName>
    <definedName name="QRY_ｸﾚｰﾑ返品明細">#REF!</definedName>
    <definedName name="QRY_品証用出荷データ" localSheetId="6">#REF!</definedName>
    <definedName name="QRY_品証用出荷データ">#REF!</definedName>
    <definedName name="QRY_品証用出荷データNEW" localSheetId="6">#REF!</definedName>
    <definedName name="QRY_品証用出荷データNEW">#REF!</definedName>
    <definedName name="Qualification_Code">[3]Coding!$AA$73:$AA$80</definedName>
    <definedName name="Raise" localSheetId="8">#REF!</definedName>
    <definedName name="Raise">#REF!</definedName>
    <definedName name="Retirement_Plan_No">[3]Coding!$R$25:$R$29</definedName>
    <definedName name="sg" localSheetId="8">#REF!</definedName>
    <definedName name="sg">#REF!</definedName>
    <definedName name="Stock_Exchange_Name">[3]Coding!$AB$4:$AB$94</definedName>
    <definedName name="t_all">[3]Coding!$AH$3:$AH$753</definedName>
    <definedName name="Tg" localSheetId="8">#REF!</definedName>
    <definedName name="Tg">#REF!</definedName>
    <definedName name="thuong" localSheetId="8">#REF!</definedName>
    <definedName name="thuong">#REF!</definedName>
    <definedName name="Vacant_Expatriate">[3]Coding!$Z$48:$Z$50</definedName>
    <definedName name="Vest_Method">[3]Coding!$Y$76:$Y$77</definedName>
    <definedName name="Vest_Period">[3]Coding!$Y$80:$Y$87</definedName>
    <definedName name="Vest_Type">[3]Coding!$Y$90:$Y$91</definedName>
    <definedName name="WD" localSheetId="8">#REF!</definedName>
    <definedName name="WD">#REF!</definedName>
    <definedName name="Yes_No">[3]Coding!$A$281:$A$282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8" l="1"/>
  <c r="M18" i="18" s="1"/>
  <c r="N18" i="18" s="1"/>
  <c r="O18" i="18"/>
  <c r="K18" i="18"/>
  <c r="L18" i="18" s="1"/>
  <c r="P17" i="18"/>
  <c r="O17" i="18"/>
  <c r="M17" i="18"/>
  <c r="N17" i="18" s="1"/>
  <c r="K17" i="18"/>
  <c r="L17" i="18" s="1"/>
  <c r="P16" i="18"/>
  <c r="M16" i="18" s="1"/>
  <c r="N16" i="18" s="1"/>
  <c r="O16" i="18"/>
  <c r="K16" i="18"/>
  <c r="L16" i="18" s="1"/>
  <c r="P15" i="18"/>
  <c r="O15" i="18"/>
  <c r="M15" i="18"/>
  <c r="N15" i="18" s="1"/>
  <c r="K15" i="18"/>
  <c r="L15" i="18" s="1"/>
  <c r="P14" i="18"/>
  <c r="M14" i="18" s="1"/>
  <c r="N14" i="18" s="1"/>
  <c r="O14" i="18"/>
  <c r="K14" i="18"/>
  <c r="L14" i="18" s="1"/>
  <c r="P13" i="18"/>
  <c r="O13" i="18"/>
  <c r="M13" i="18"/>
  <c r="N13" i="18" s="1"/>
  <c r="K13" i="18"/>
  <c r="L13" i="18" s="1"/>
  <c r="P12" i="18"/>
  <c r="M12" i="18" s="1"/>
  <c r="N12" i="18" s="1"/>
  <c r="O12" i="18"/>
  <c r="K12" i="18"/>
  <c r="L12" i="18" s="1"/>
  <c r="P11" i="18"/>
  <c r="O11" i="18"/>
  <c r="M11" i="18"/>
  <c r="N11" i="18" s="1"/>
  <c r="K11" i="18"/>
  <c r="L11" i="18" s="1"/>
  <c r="P10" i="18"/>
  <c r="M10" i="18" s="1"/>
  <c r="N10" i="18" s="1"/>
  <c r="O10" i="18"/>
  <c r="K10" i="18"/>
  <c r="L10" i="18" s="1"/>
  <c r="P9" i="18"/>
  <c r="O9" i="18"/>
  <c r="M9" i="18"/>
  <c r="N9" i="18" s="1"/>
  <c r="K9" i="18"/>
  <c r="L9" i="18" s="1"/>
  <c r="P8" i="18"/>
  <c r="M8" i="18" s="1"/>
  <c r="N8" i="18" s="1"/>
  <c r="O8" i="18"/>
  <c r="K8" i="18"/>
  <c r="L8" i="18" s="1"/>
  <c r="P7" i="18"/>
  <c r="O7" i="18"/>
  <c r="M7" i="18"/>
  <c r="N7" i="18" s="1"/>
  <c r="K7" i="18"/>
  <c r="L7" i="18" s="1"/>
  <c r="P6" i="18"/>
  <c r="M6" i="18" s="1"/>
  <c r="N6" i="18" s="1"/>
  <c r="O6" i="18"/>
  <c r="K6" i="18"/>
  <c r="L6" i="18" s="1"/>
  <c r="P5" i="18"/>
  <c r="O5" i="18"/>
  <c r="M5" i="18"/>
  <c r="N5" i="18" s="1"/>
  <c r="K5" i="18"/>
  <c r="L5" i="18" s="1"/>
  <c r="I5" i="10" l="1"/>
  <c r="E5" i="10"/>
  <c r="C5" i="10"/>
  <c r="J4" i="10"/>
  <c r="K4" i="10" s="1"/>
  <c r="K5" i="10" s="1"/>
  <c r="F4" i="10"/>
  <c r="F5" i="10" s="1"/>
  <c r="D4" i="10"/>
  <c r="D5" i="10" s="1"/>
  <c r="J5" i="10" l="1"/>
  <c r="G4" i="10"/>
  <c r="G5" i="10" l="1"/>
  <c r="H4" i="10"/>
  <c r="H5" i="10" s="1"/>
  <c r="C14" i="10" l="1"/>
  <c r="C15" i="10" l="1"/>
  <c r="E14" i="10"/>
  <c r="D14" i="10"/>
  <c r="E15" i="10" l="1"/>
  <c r="G14" i="10"/>
  <c r="D15" i="10"/>
  <c r="F14" i="10"/>
  <c r="G15" i="10" l="1"/>
  <c r="I14" i="10"/>
  <c r="F15" i="10"/>
  <c r="H14" i="10"/>
  <c r="I15" i="10" l="1"/>
  <c r="K14" i="10"/>
  <c r="H15" i="10"/>
  <c r="J14" i="10"/>
  <c r="K15" i="10" l="1"/>
  <c r="M14" i="10"/>
  <c r="J15" i="10"/>
  <c r="L14" i="10"/>
  <c r="O14" i="10" l="1"/>
  <c r="M15" i="10"/>
  <c r="L15" i="10"/>
  <c r="N14" i="10"/>
  <c r="O15" i="10" l="1"/>
  <c r="Q14" i="10"/>
  <c r="Q15" i="10" s="1"/>
  <c r="N15" i="10"/>
  <c r="P14" i="10"/>
  <c r="P15" i="10" s="1"/>
  <c r="E10" i="9" l="1"/>
  <c r="C10" i="9"/>
  <c r="E9" i="9"/>
  <c r="G9" i="9" s="1"/>
  <c r="D9" i="9"/>
  <c r="D10" i="9" s="1"/>
  <c r="C5" i="9"/>
  <c r="D4" i="9"/>
  <c r="F4" i="9" s="1"/>
  <c r="G10" i="9" l="1"/>
  <c r="I9" i="9"/>
  <c r="F5" i="9"/>
  <c r="H4" i="9"/>
  <c r="G4" i="9"/>
  <c r="G5" i="9" s="1"/>
  <c r="D5" i="9"/>
  <c r="E4" i="9"/>
  <c r="E5" i="9" s="1"/>
  <c r="F9" i="9"/>
  <c r="K4" i="9" l="1"/>
  <c r="J4" i="9"/>
  <c r="J5" i="9" s="1"/>
  <c r="I4" i="9"/>
  <c r="I5" i="9" s="1"/>
  <c r="H5" i="9"/>
  <c r="F10" i="9"/>
  <c r="H9" i="9"/>
  <c r="I10" i="9"/>
  <c r="K9" i="9"/>
  <c r="K10" i="9" l="1"/>
  <c r="M9" i="9"/>
  <c r="H10" i="9"/>
  <c r="J9" i="9"/>
  <c r="M4" i="9"/>
  <c r="L4" i="9"/>
  <c r="L5" i="9" s="1"/>
  <c r="K5" i="9"/>
  <c r="M10" i="9" l="1"/>
  <c r="O9" i="9"/>
  <c r="N4" i="9"/>
  <c r="N5" i="9" s="1"/>
  <c r="M5" i="9"/>
  <c r="J10" i="9"/>
  <c r="L9" i="9"/>
  <c r="O10" i="9" l="1"/>
  <c r="Q9" i="9"/>
  <c r="L10" i="9"/>
  <c r="N9" i="9"/>
  <c r="N10" i="9" l="1"/>
  <c r="P9" i="9"/>
  <c r="Q10" i="9"/>
  <c r="P1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鄭 吉勝(cheng chisheng)/ADT/雲林・製一・素製四</author>
  </authors>
  <commentList>
    <comment ref="L49" authorId="0" shapeId="0" xr:uid="{6FB013AD-5AB9-4C16-A67D-D4123C3B86B7}">
      <text>
        <r>
          <rPr>
            <b/>
            <sz val="10"/>
            <color indexed="81"/>
            <rFont val="Meiryo UI"/>
            <family val="2"/>
          </rPr>
          <t>健康因素：心血管</t>
        </r>
      </text>
    </comment>
    <comment ref="J65" authorId="0" shapeId="0" xr:uid="{3C6BC990-71F5-4CF7-BC45-2649B3DD9E95}">
      <text>
        <r>
          <rPr>
            <b/>
            <sz val="10"/>
            <color indexed="81"/>
            <rFont val="Meiryo UI"/>
            <family val="2"/>
          </rPr>
          <t>健康因素</t>
        </r>
      </text>
    </comment>
    <comment ref="L65" authorId="0" shapeId="0" xr:uid="{4667C013-412C-45D2-8E04-B707328F28AF}">
      <text>
        <r>
          <rPr>
            <b/>
            <sz val="10"/>
            <color indexed="81"/>
            <rFont val="Meiryo UI"/>
            <family val="2"/>
          </rPr>
          <t>健康因素：心血管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鄭 吉勝(cheng chisheng)/ADT/雲林・製一・素製四</author>
  </authors>
  <commentList>
    <comment ref="J30" authorId="0" shapeId="0" xr:uid="{70BFB242-FB01-4A4D-8544-3AF4021C4BFE}">
      <text>
        <r>
          <rPr>
            <b/>
            <sz val="10"/>
            <color indexed="81"/>
            <rFont val="Meiryo UI"/>
            <family val="2"/>
          </rPr>
          <t>健康因素</t>
        </r>
      </text>
    </comment>
    <comment ref="L30" authorId="0" shapeId="0" xr:uid="{E4AC49DA-9406-4288-A7CC-55D2F1F857EC}">
      <text>
        <r>
          <rPr>
            <b/>
            <sz val="10"/>
            <color indexed="81"/>
            <rFont val="Meiryo UI"/>
            <family val="2"/>
          </rPr>
          <t>健康因素：心血管</t>
        </r>
      </text>
    </comment>
  </commentList>
</comments>
</file>

<file path=xl/sharedStrings.xml><?xml version="1.0" encoding="utf-8"?>
<sst xmlns="http://schemas.openxmlformats.org/spreadsheetml/2006/main" count="2144" uniqueCount="1232">
  <si>
    <t>階層</t>
  </si>
  <si>
    <t>YF</t>
  </si>
  <si>
    <t>CF　</t>
  </si>
  <si>
    <t>EF　</t>
  </si>
  <si>
    <t>JF</t>
  </si>
  <si>
    <t>KF</t>
  </si>
  <si>
    <t>4課</t>
  </si>
  <si>
    <t>生推課</t>
  </si>
  <si>
    <t>日籍
派遣員</t>
    <phoneticPr fontId="2" type="noConversion"/>
  </si>
  <si>
    <t>J</t>
    <phoneticPr fontId="2" type="noConversion"/>
  </si>
  <si>
    <t>戸田</t>
    <phoneticPr fontId="2" type="noConversion"/>
  </si>
  <si>
    <t>S</t>
    <phoneticPr fontId="2" type="noConversion"/>
  </si>
  <si>
    <t>大内/文</t>
    <phoneticPr fontId="2" type="noConversion"/>
  </si>
  <si>
    <t>総工程師</t>
  </si>
  <si>
    <t>E</t>
  </si>
  <si>
    <t>鄭吉勝</t>
    <phoneticPr fontId="2" type="noConversion"/>
  </si>
  <si>
    <t>経理</t>
  </si>
  <si>
    <t>D</t>
  </si>
  <si>
    <t>莊偉祺</t>
    <phoneticPr fontId="2" type="noConversion"/>
  </si>
  <si>
    <t>李武徽</t>
    <phoneticPr fontId="2" type="noConversion"/>
  </si>
  <si>
    <t>蔡世育</t>
    <phoneticPr fontId="2" type="noConversion"/>
  </si>
  <si>
    <t>謝雲舟</t>
    <phoneticPr fontId="2" type="noConversion"/>
  </si>
  <si>
    <t>王柏欽</t>
    <phoneticPr fontId="2" type="noConversion"/>
  </si>
  <si>
    <t>蔡明建</t>
    <phoneticPr fontId="2" type="noConversion"/>
  </si>
  <si>
    <t>副理</t>
  </si>
  <si>
    <t>C</t>
  </si>
  <si>
    <t>劉芳全</t>
  </si>
  <si>
    <t>謝忠原</t>
  </si>
  <si>
    <t>李炳興</t>
  </si>
  <si>
    <t>張哲誠</t>
  </si>
  <si>
    <t>邱世文</t>
  </si>
  <si>
    <t>邱信翔</t>
  </si>
  <si>
    <t>主任</t>
  </si>
  <si>
    <t>林軫輝</t>
  </si>
  <si>
    <t>王俊淵</t>
  </si>
  <si>
    <t>林建良</t>
  </si>
  <si>
    <t>賴勃伸</t>
  </si>
  <si>
    <t>陳振遠</t>
    <phoneticPr fontId="2" type="noConversion"/>
  </si>
  <si>
    <t>COLD
STAFF層</t>
    <phoneticPr fontId="2" type="noConversion"/>
  </si>
  <si>
    <t>1G張益維</t>
    <phoneticPr fontId="2" type="noConversion"/>
  </si>
  <si>
    <t>2G鄭東洋</t>
    <phoneticPr fontId="2" type="noConversion"/>
  </si>
  <si>
    <t>3G謝坤翰</t>
    <phoneticPr fontId="2" type="noConversion"/>
  </si>
  <si>
    <t>黄有正</t>
    <phoneticPr fontId="2" type="noConversion"/>
  </si>
  <si>
    <t>ROTESION</t>
    <phoneticPr fontId="2" type="noConversion"/>
  </si>
  <si>
    <t>業務の復習</t>
    <phoneticPr fontId="2" type="noConversion"/>
  </si>
  <si>
    <t>C</t>
    <phoneticPr fontId="2" type="noConversion"/>
  </si>
  <si>
    <t>C:林艾佳、C:羅昱凱</t>
    <phoneticPr fontId="2" type="noConversion"/>
  </si>
  <si>
    <t>周寧威</t>
  </si>
  <si>
    <t>周寧威</t>
    <phoneticPr fontId="2" type="noConversion"/>
  </si>
  <si>
    <t>林雙隆</t>
    <phoneticPr fontId="2" type="noConversion"/>
  </si>
  <si>
    <t>D</t>
    <phoneticPr fontId="2" type="noConversion"/>
  </si>
  <si>
    <t>白江鎮</t>
    <phoneticPr fontId="2" type="noConversion"/>
  </si>
  <si>
    <t>林嘉彬</t>
    <phoneticPr fontId="2" type="noConversion"/>
  </si>
  <si>
    <r>
      <t>4G張富</t>
    </r>
    <r>
      <rPr>
        <sz val="12"/>
        <rFont val="Microsoft JhengHei"/>
        <family val="2"/>
      </rPr>
      <t>羿</t>
    </r>
    <phoneticPr fontId="2" type="noConversion"/>
  </si>
  <si>
    <t>黄乙原</t>
    <phoneticPr fontId="2" type="noConversion"/>
  </si>
  <si>
    <t>何坤擇</t>
    <phoneticPr fontId="2" type="noConversion"/>
  </si>
  <si>
    <t>呉得祿</t>
    <phoneticPr fontId="2" type="noConversion"/>
  </si>
  <si>
    <t>劉佳明</t>
    <phoneticPr fontId="2" type="noConversion"/>
  </si>
  <si>
    <t>高級工程師</t>
    <phoneticPr fontId="2" type="noConversion"/>
  </si>
  <si>
    <t>鄭志謙</t>
  </si>
  <si>
    <t>呉得祿</t>
  </si>
  <si>
    <t>黄乙原</t>
  </si>
  <si>
    <t>4G邱世文</t>
    <phoneticPr fontId="2" type="noConversion"/>
  </si>
  <si>
    <t>何坤擇</t>
  </si>
  <si>
    <t>張富羿</t>
    <phoneticPr fontId="2" type="noConversion"/>
  </si>
  <si>
    <t>曾隆盛</t>
    <phoneticPr fontId="2" type="noConversion"/>
  </si>
  <si>
    <t>蘇正杰</t>
    <phoneticPr fontId="2" type="noConversion"/>
  </si>
  <si>
    <t>鄭志謙</t>
    <phoneticPr fontId="2" type="noConversion"/>
  </si>
  <si>
    <t>Schedule</t>
    <phoneticPr fontId="2" type="noConversion"/>
  </si>
  <si>
    <r>
      <t>ROTESION Schedule案</t>
    </r>
    <r>
      <rPr>
        <sz val="11"/>
        <color theme="1"/>
        <rFont val="Microsoft JhengHei"/>
        <family val="2"/>
      </rPr>
      <t>提出</t>
    </r>
    <phoneticPr fontId="2" type="noConversion"/>
  </si>
  <si>
    <r>
      <t>各課長さんへ</t>
    </r>
    <r>
      <rPr>
        <sz val="11"/>
        <color theme="1"/>
        <rFont val="Meiryo UI"/>
        <family val="2"/>
      </rPr>
      <t>説明</t>
    </r>
    <phoneticPr fontId="2" type="noConversion"/>
  </si>
  <si>
    <t>劉芳全</t>
    <phoneticPr fontId="2" type="noConversion"/>
  </si>
  <si>
    <t>林軫輝</t>
    <phoneticPr fontId="2" type="noConversion"/>
  </si>
  <si>
    <t>李炳興</t>
    <phoneticPr fontId="2" type="noConversion"/>
  </si>
  <si>
    <t>邱世文</t>
    <phoneticPr fontId="2" type="noConversion"/>
  </si>
  <si>
    <t>12/5の週</t>
    <phoneticPr fontId="2" type="noConversion"/>
  </si>
  <si>
    <t>12/12の週</t>
    <phoneticPr fontId="2" type="noConversion"/>
  </si>
  <si>
    <t>12/19の週</t>
    <phoneticPr fontId="2" type="noConversion"/>
  </si>
  <si>
    <t>劉芳全さんの面談+（移動日）</t>
    <phoneticPr fontId="2" type="noConversion"/>
  </si>
  <si>
    <t>李炳興さんの面談+（移動日）</t>
    <phoneticPr fontId="2" type="noConversion"/>
  </si>
  <si>
    <t>邱世文さんの面談+（移動日）</t>
    <phoneticPr fontId="2" type="noConversion"/>
  </si>
  <si>
    <r>
      <t>業務申し送り（李炳興</t>
    </r>
    <r>
      <rPr>
        <sz val="11"/>
        <color theme="1"/>
        <rFont val="Meiryo UI"/>
        <family val="2"/>
      </rPr>
      <t>⇒</t>
    </r>
    <r>
      <rPr>
        <sz val="11"/>
        <color theme="1"/>
        <rFont val="Meiryo UI"/>
        <family val="2"/>
        <charset val="128"/>
      </rPr>
      <t>劉芳全）</t>
    </r>
    <phoneticPr fontId="2" type="noConversion"/>
  </si>
  <si>
    <t>林軫輝さんの面談+（職務異動）</t>
    <phoneticPr fontId="2" type="noConversion"/>
  </si>
  <si>
    <r>
      <t>⇒</t>
    </r>
    <r>
      <rPr>
        <sz val="11"/>
        <color theme="1"/>
        <rFont val="Microsoft JhengHei"/>
        <family val="2"/>
      </rPr>
      <t>提出</t>
    </r>
    <phoneticPr fontId="2" type="noConversion"/>
  </si>
  <si>
    <t>⇒芳全</t>
    <phoneticPr fontId="2" type="noConversion"/>
  </si>
  <si>
    <t>⇒軫輝</t>
    <phoneticPr fontId="2" type="noConversion"/>
  </si>
  <si>
    <t>⇒智謙</t>
    <phoneticPr fontId="2" type="noConversion"/>
  </si>
  <si>
    <t>⇒炳興</t>
    <phoneticPr fontId="2" type="noConversion"/>
  </si>
  <si>
    <t>⇒世文</t>
    <phoneticPr fontId="2" type="noConversion"/>
  </si>
  <si>
    <t>2月上旬</t>
    <phoneticPr fontId="2" type="noConversion"/>
  </si>
  <si>
    <t>2月下旬</t>
    <phoneticPr fontId="2" type="noConversion"/>
  </si>
  <si>
    <t>3月上旬</t>
    <phoneticPr fontId="2" type="noConversion"/>
  </si>
  <si>
    <t>3月下旬</t>
    <phoneticPr fontId="2" type="noConversion"/>
  </si>
  <si>
    <t>4月上旬</t>
    <phoneticPr fontId="2" type="noConversion"/>
  </si>
  <si>
    <t>4月下旬</t>
    <phoneticPr fontId="2" type="noConversion"/>
  </si>
  <si>
    <t>YF</t>
    <phoneticPr fontId="2" type="noConversion"/>
  </si>
  <si>
    <r>
      <t>為了提升目前素材製造COLD人員的能力及累積不同設備的經驗，透過</t>
    </r>
    <r>
      <rPr>
        <sz val="12"/>
        <color theme="1"/>
        <rFont val="Meiryo UI"/>
        <family val="2"/>
        <charset val="128"/>
      </rPr>
      <t>內</t>
    </r>
    <r>
      <rPr>
        <sz val="12"/>
        <color theme="1"/>
        <rFont val="Meiryo UI"/>
        <family val="2"/>
      </rPr>
      <t>部的職務輪調來強化部</t>
    </r>
    <r>
      <rPr>
        <sz val="12"/>
        <color theme="1"/>
        <rFont val="Meiryo UI"/>
        <family val="2"/>
        <charset val="128"/>
      </rPr>
      <t>內</t>
    </r>
    <r>
      <rPr>
        <sz val="12"/>
        <color theme="1"/>
        <rFont val="Meiryo UI"/>
        <family val="2"/>
      </rPr>
      <t>人才之培育、</t>
    </r>
    <phoneticPr fontId="2" type="noConversion"/>
  </si>
  <si>
    <t>挑戰新職務的工作內容學習、提升組織工作的動力及積極性、促進全體人員成長。</t>
    <phoneticPr fontId="2" type="noConversion"/>
  </si>
  <si>
    <r>
      <t>CLOD C階層J</t>
    </r>
    <r>
      <rPr>
        <b/>
        <u/>
        <sz val="13"/>
        <color theme="1"/>
        <rFont val="Meiryo UI"/>
        <family val="2"/>
      </rPr>
      <t>ob Rotesion 計画の案</t>
    </r>
    <phoneticPr fontId="2" type="noConversion"/>
  </si>
  <si>
    <t>劉芳全</t>
    <phoneticPr fontId="2" type="noConversion"/>
  </si>
  <si>
    <t>李炳興</t>
    <phoneticPr fontId="2" type="noConversion"/>
  </si>
  <si>
    <t>邱世文</t>
    <phoneticPr fontId="2" type="noConversion"/>
  </si>
  <si>
    <t>姓名</t>
    <phoneticPr fontId="2" type="noConversion"/>
  </si>
  <si>
    <t>(現)職務</t>
    <phoneticPr fontId="2" type="noConversion"/>
  </si>
  <si>
    <t>(新)職務</t>
    <phoneticPr fontId="2" type="noConversion"/>
  </si>
  <si>
    <t>YF 副理</t>
    <phoneticPr fontId="2" type="noConversion"/>
  </si>
  <si>
    <t>YF 主任</t>
    <phoneticPr fontId="2" type="noConversion"/>
  </si>
  <si>
    <t>EF 副理</t>
    <phoneticPr fontId="2" type="noConversion"/>
  </si>
  <si>
    <t>KF 副理</t>
    <phoneticPr fontId="2" type="noConversion"/>
  </si>
  <si>
    <t>高工</t>
    <phoneticPr fontId="2" type="noConversion"/>
  </si>
  <si>
    <r>
      <t>二、</t>
    </r>
    <r>
      <rPr>
        <b/>
        <sz val="12"/>
        <color theme="1"/>
        <rFont val="Meiryo UI"/>
        <family val="2"/>
      </rPr>
      <t>Job Rotesion案</t>
    </r>
    <phoneticPr fontId="2" type="noConversion"/>
  </si>
  <si>
    <r>
      <rPr>
        <b/>
        <sz val="12"/>
        <color theme="1"/>
        <rFont val="Microsoft JhengHei"/>
        <family val="2"/>
      </rPr>
      <t>三</t>
    </r>
    <r>
      <rPr>
        <b/>
        <sz val="12"/>
        <color theme="1"/>
        <rFont val="Meiryo UI"/>
        <family val="2"/>
        <charset val="128"/>
      </rPr>
      <t>、</t>
    </r>
    <r>
      <rPr>
        <b/>
        <sz val="12"/>
        <color theme="1"/>
        <rFont val="Meiryo UI"/>
        <family val="2"/>
      </rPr>
      <t>Schedule</t>
    </r>
    <phoneticPr fontId="2" type="noConversion"/>
  </si>
  <si>
    <t>4G張富羿</t>
    <phoneticPr fontId="2" type="noConversion"/>
  </si>
  <si>
    <r>
      <rPr>
        <b/>
        <u/>
        <sz val="12"/>
        <color theme="1"/>
        <rFont val="Microsoft JhengHei"/>
        <family val="2"/>
      </rPr>
      <t>█</t>
    </r>
    <r>
      <rPr>
        <b/>
        <u/>
        <sz val="12"/>
        <color theme="1"/>
        <rFont val="Meiryo UI"/>
        <family val="2"/>
        <charset val="128"/>
      </rPr>
      <t>階段一：COLD C階管理者Rotesion。</t>
    </r>
    <phoneticPr fontId="2" type="noConversion"/>
  </si>
  <si>
    <r>
      <t>▶</t>
    </r>
    <r>
      <rPr>
        <sz val="11"/>
        <color theme="1"/>
        <rFont val="Meiryo UI"/>
        <family val="2"/>
      </rPr>
      <t>COLD現在の組織（変更前）</t>
    </r>
    <phoneticPr fontId="2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</si>
  <si>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Meiryo UI"/>
        <family val="2"/>
      </rPr>
      <t>（変更後）の組織</t>
    </r>
    <phoneticPr fontId="2" type="noConversion"/>
  </si>
  <si>
    <t>業務復習</t>
    <phoneticPr fontId="2" type="noConversion"/>
  </si>
  <si>
    <t>CF</t>
    <phoneticPr fontId="2" type="noConversion"/>
  </si>
  <si>
    <t>EF</t>
    <phoneticPr fontId="2" type="noConversion"/>
  </si>
  <si>
    <t>JF</t>
    <phoneticPr fontId="2" type="noConversion"/>
  </si>
  <si>
    <t>KF</t>
    <phoneticPr fontId="2" type="noConversion"/>
  </si>
  <si>
    <t>1-COLD業務の復習。</t>
    <phoneticPr fontId="2" type="noConversion"/>
  </si>
  <si>
    <t>4-現場無駄的工作削減。</t>
    <phoneticPr fontId="2" type="noConversion"/>
  </si>
  <si>
    <t xml:space="preserve">   因此OFF LINE成員編入各窯進行COLD業務の復習及特別任務之推進。</t>
    <phoneticPr fontId="2" type="noConversion"/>
  </si>
  <si>
    <r>
      <t>※</t>
    </r>
    <r>
      <rPr>
        <sz val="12"/>
        <color theme="1"/>
        <rFont val="Meiryo UI"/>
        <family val="2"/>
      </rPr>
      <t>為了讓全體人員能</t>
    </r>
    <r>
      <rPr>
        <sz val="12"/>
        <color theme="1"/>
        <rFont val="Microsoft JhengHei"/>
        <family val="2"/>
      </rPr>
      <t>夠</t>
    </r>
    <r>
      <rPr>
        <sz val="12"/>
        <color theme="1"/>
        <rFont val="Meiryo UI"/>
        <family val="2"/>
      </rPr>
      <t>持續保持生</t>
    </r>
    <r>
      <rPr>
        <sz val="12"/>
        <color theme="1"/>
        <rFont val="Microsoft JhengHei"/>
        <family val="2"/>
      </rPr>
      <t>產</t>
    </r>
    <r>
      <rPr>
        <sz val="12"/>
        <color theme="1"/>
        <rFont val="Meiryo UI"/>
        <family val="2"/>
      </rPr>
      <t>線上的知識及增進管理實務、並推動COLD無駄作業削減、</t>
    </r>
    <phoneticPr fontId="2" type="noConversion"/>
  </si>
  <si>
    <t>特別任務：</t>
    <phoneticPr fontId="2" type="noConversion"/>
  </si>
  <si>
    <t>2026/1月~</t>
    <phoneticPr fontId="2" type="noConversion"/>
  </si>
  <si>
    <r>
      <rPr>
        <b/>
        <u/>
        <sz val="12"/>
        <color theme="1"/>
        <rFont val="Microsoft JhengHei"/>
        <family val="2"/>
      </rPr>
      <t>█</t>
    </r>
    <r>
      <rPr>
        <b/>
        <u/>
        <sz val="12"/>
        <color theme="1"/>
        <rFont val="Meiryo UI"/>
        <family val="2"/>
      </rPr>
      <t>階段二：COLD人才育成及特別任務推進</t>
    </r>
    <phoneticPr fontId="2" type="noConversion"/>
  </si>
  <si>
    <t>現在の素材製造COLD担当者の能力向上と、さまざまな設備に関する経験の蓄積のため、内部の職務ローテーションを通じて部内人材の育成を強化し、</t>
    <phoneticPr fontId="2" type="noConversion"/>
  </si>
  <si>
    <t>新しい職務への挑戦による業務内容の習得、組織内での仕事への意欲と積極性の向上、そして全員の成長を促進します。</t>
    <phoneticPr fontId="2" type="noConversion"/>
  </si>
  <si>
    <r>
      <t>※</t>
    </r>
    <r>
      <rPr>
        <sz val="12"/>
        <color theme="1"/>
        <rFont val="Meiryo UI"/>
        <family val="2"/>
      </rPr>
      <t>全員が生産ラインの知識を持続的に維持し、管理実務を向上させ、COLDの無駄な作業の削減を推進するために、</t>
    </r>
    <phoneticPr fontId="2" type="noConversion"/>
  </si>
  <si>
    <t xml:space="preserve">   OFF LINEメンバーを各窯に編入し、COLD業務の復習と特別任務の推進を行います。</t>
    <phoneticPr fontId="2" type="noConversion"/>
  </si>
  <si>
    <t>2-安全／品質／生産推進活動の業務推進。</t>
    <phoneticPr fontId="2" type="noConversion"/>
  </si>
  <si>
    <t>3-緊急性的任務之支援。</t>
    <phoneticPr fontId="2" type="noConversion"/>
  </si>
  <si>
    <t>3-緊急性任務の支援。</t>
    <phoneticPr fontId="2" type="noConversion"/>
  </si>
  <si>
    <t>4-現場における無駄な作業の削減。</t>
    <phoneticPr fontId="2" type="noConversion"/>
  </si>
  <si>
    <r>
      <rPr>
        <b/>
        <sz val="13"/>
        <color theme="1"/>
        <rFont val="Meiryo UI"/>
        <family val="2"/>
      </rPr>
      <t>一、</t>
    </r>
    <r>
      <rPr>
        <b/>
        <sz val="13"/>
        <color theme="1"/>
        <rFont val="Microsoft JhengHei"/>
        <family val="2"/>
      </rPr>
      <t>關於</t>
    </r>
    <r>
      <rPr>
        <b/>
        <sz val="13"/>
        <color theme="1"/>
        <rFont val="Meiryo UI"/>
        <family val="2"/>
      </rPr>
      <t>Rotesionの理由：</t>
    </r>
    <phoneticPr fontId="2" type="noConversion"/>
  </si>
  <si>
    <t>2026/4月~</t>
    <phoneticPr fontId="2" type="noConversion"/>
  </si>
  <si>
    <t>周寧威さん、黄乙原さんの面談</t>
    <phoneticPr fontId="2" type="noConversion"/>
  </si>
  <si>
    <t>何坤擇さん、呉得祿さんの面談</t>
    <phoneticPr fontId="2" type="noConversion"/>
  </si>
  <si>
    <t>生推</t>
    <phoneticPr fontId="2" type="noConversion"/>
  </si>
  <si>
    <t>鄭智謙さんの面談+（職務異動）</t>
    <phoneticPr fontId="2" type="noConversion"/>
  </si>
  <si>
    <t>業務申し送り（劉芳全⇒林軫輝）</t>
    <phoneticPr fontId="2" type="noConversion"/>
  </si>
  <si>
    <t>業務申し送り（林軫輝⇒鄭智謙）</t>
    <phoneticPr fontId="2" type="noConversion"/>
  </si>
  <si>
    <r>
      <t>12/</t>
    </r>
    <r>
      <rPr>
        <sz val="11"/>
        <color theme="1"/>
        <rFont val="Meiryo UI"/>
        <family val="2"/>
      </rPr>
      <t>26の週</t>
    </r>
    <phoneticPr fontId="2" type="noConversion"/>
  </si>
  <si>
    <r>
      <t>⇒寧威</t>
    </r>
    <r>
      <rPr>
        <sz val="11"/>
        <color theme="1"/>
        <rFont val="細明體"/>
        <family val="2"/>
        <charset val="136"/>
      </rPr>
      <t>/</t>
    </r>
    <r>
      <rPr>
        <sz val="11"/>
        <color theme="1"/>
        <rFont val="Meiryo UI"/>
        <family val="2"/>
        <charset val="128"/>
      </rPr>
      <t>乙原</t>
    </r>
    <phoneticPr fontId="2" type="noConversion"/>
  </si>
  <si>
    <r>
      <t>⇒坤擇</t>
    </r>
    <r>
      <rPr>
        <sz val="11"/>
        <color theme="1"/>
        <rFont val="細明體"/>
        <family val="2"/>
        <charset val="136"/>
      </rPr>
      <t>/</t>
    </r>
    <r>
      <rPr>
        <sz val="11"/>
        <color theme="1"/>
        <rFont val="Meiryo UI"/>
        <family val="2"/>
        <charset val="128"/>
      </rPr>
      <t>得祿</t>
    </r>
    <phoneticPr fontId="2" type="noConversion"/>
  </si>
  <si>
    <t>⇒1/5~移動</t>
    <phoneticPr fontId="2" type="noConversion"/>
  </si>
  <si>
    <r>
      <t>⇒</t>
    </r>
    <r>
      <rPr>
        <sz val="11"/>
        <color theme="1"/>
        <rFont val="Meiryo UI"/>
        <family val="2"/>
      </rPr>
      <t>1/5~移動</t>
    </r>
    <phoneticPr fontId="2" type="noConversion"/>
  </si>
  <si>
    <t>2-安全/品質/生産推進之活動業務推進。</t>
    <phoneticPr fontId="2" type="noConversion"/>
  </si>
  <si>
    <t>5-窯冷修作業。</t>
    <phoneticPr fontId="2" type="noConversion"/>
  </si>
  <si>
    <t>5-窯の冷修作業。</t>
    <phoneticPr fontId="2" type="noConversion"/>
  </si>
  <si>
    <t>高工(EF)</t>
    <phoneticPr fontId="2" type="noConversion"/>
  </si>
  <si>
    <t>高工(KF)</t>
    <phoneticPr fontId="2" type="noConversion"/>
  </si>
  <si>
    <t>STEP①段階</t>
    <phoneticPr fontId="2" type="noConversion"/>
  </si>
  <si>
    <t>STEP②段階</t>
    <phoneticPr fontId="2" type="noConversion"/>
  </si>
  <si>
    <t>1月上旬</t>
    <phoneticPr fontId="2" type="noConversion"/>
  </si>
  <si>
    <t>1月下旬</t>
    <phoneticPr fontId="2" type="noConversion"/>
  </si>
  <si>
    <r>
      <t>⇒</t>
    </r>
    <r>
      <rPr>
        <sz val="11"/>
        <color theme="1"/>
        <rFont val="Microsoft JhengHei"/>
        <family val="2"/>
      </rPr>
      <t>課長さんへ説明と討論</t>
    </r>
    <phoneticPr fontId="2" type="noConversion"/>
  </si>
  <si>
    <t>⇒3/1~職務異動</t>
    <phoneticPr fontId="2" type="noConversion"/>
  </si>
  <si>
    <r>
      <t>⇒</t>
    </r>
    <r>
      <rPr>
        <sz val="11"/>
        <color theme="1"/>
        <rFont val="Meiryo UI"/>
        <family val="2"/>
      </rPr>
      <t>3/21~EF移動</t>
    </r>
    <phoneticPr fontId="2" type="noConversion"/>
  </si>
  <si>
    <t>2月中旬</t>
    <phoneticPr fontId="2" type="noConversion"/>
  </si>
  <si>
    <t>5月上旬</t>
    <phoneticPr fontId="2" type="noConversion"/>
  </si>
  <si>
    <t>5月下旬</t>
    <phoneticPr fontId="2" type="noConversion"/>
  </si>
  <si>
    <t>6月上旬</t>
    <phoneticPr fontId="2" type="noConversion"/>
  </si>
  <si>
    <t>6月下旬</t>
    <phoneticPr fontId="2" type="noConversion"/>
  </si>
  <si>
    <t>劉芳全さんの職務異動</t>
    <phoneticPr fontId="2" type="noConversion"/>
  </si>
  <si>
    <r>
      <t xml:space="preserve">⇒業務申し送り、12/21-3/20 </t>
    </r>
    <r>
      <rPr>
        <sz val="11"/>
        <color theme="1"/>
        <rFont val="Meiryo UI"/>
        <family val="2"/>
      </rPr>
      <t>(3個月)</t>
    </r>
    <phoneticPr fontId="2" type="noConversion"/>
  </si>
  <si>
    <r>
      <t>⇒業務申し送り、3/</t>
    </r>
    <r>
      <rPr>
        <sz val="11"/>
        <color theme="1"/>
        <rFont val="Meiryo UI"/>
        <family val="2"/>
      </rPr>
      <t>21-6/20 (3個月)</t>
    </r>
    <phoneticPr fontId="2" type="noConversion"/>
  </si>
  <si>
    <t>7月上旬</t>
    <phoneticPr fontId="2" type="noConversion"/>
  </si>
  <si>
    <t>7月下旬</t>
    <phoneticPr fontId="2" type="noConversion"/>
  </si>
  <si>
    <r>
      <t>⇒</t>
    </r>
    <r>
      <rPr>
        <sz val="11"/>
        <color theme="1"/>
        <rFont val="Meiryo UI"/>
        <family val="2"/>
      </rPr>
      <t>6/21~EF移動</t>
    </r>
    <phoneticPr fontId="2" type="noConversion"/>
  </si>
  <si>
    <r>
      <t>⇒</t>
    </r>
    <r>
      <rPr>
        <sz val="11"/>
        <color theme="1"/>
        <rFont val="Meiryo UI"/>
        <family val="2"/>
      </rPr>
      <t>6/1~職務異動</t>
    </r>
    <phoneticPr fontId="2" type="noConversion"/>
  </si>
  <si>
    <t>STEP③段階</t>
    <phoneticPr fontId="2" type="noConversion"/>
  </si>
  <si>
    <t>5月中旬</t>
    <phoneticPr fontId="2" type="noConversion"/>
  </si>
  <si>
    <t>8月上旬</t>
    <phoneticPr fontId="2" type="noConversion"/>
  </si>
  <si>
    <t>8月下旬</t>
    <phoneticPr fontId="2" type="noConversion"/>
  </si>
  <si>
    <t>9月上旬</t>
    <phoneticPr fontId="2" type="noConversion"/>
  </si>
  <si>
    <t>9月下旬</t>
    <phoneticPr fontId="2" type="noConversion"/>
  </si>
  <si>
    <t>10月上旬</t>
    <phoneticPr fontId="2" type="noConversion"/>
  </si>
  <si>
    <t>10月下旬</t>
    <phoneticPr fontId="2" type="noConversion"/>
  </si>
  <si>
    <t>⇒業務申し送り、6/21-9/20 (3個月)</t>
    <phoneticPr fontId="2" type="noConversion"/>
  </si>
  <si>
    <t>⇒9/1~職務異動</t>
    <phoneticPr fontId="2" type="noConversion"/>
  </si>
  <si>
    <t>⇒9/21~EF移動</t>
    <phoneticPr fontId="2" type="noConversion"/>
  </si>
  <si>
    <t>李炳興さんの職務異動</t>
    <phoneticPr fontId="2" type="noConversion"/>
  </si>
  <si>
    <t>業務申し送り（邱世文⇒李炳興）</t>
    <phoneticPr fontId="2" type="noConversion"/>
  </si>
  <si>
    <t>STEP①_&lt;12/21~3/20&gt;</t>
    <phoneticPr fontId="2" type="noConversion"/>
  </si>
  <si>
    <t>STEP②_&lt;3/21~6/20&gt;</t>
    <phoneticPr fontId="2" type="noConversion"/>
  </si>
  <si>
    <t>STEP③_&lt;6/21~9/20&gt;</t>
    <phoneticPr fontId="2" type="noConversion"/>
  </si>
  <si>
    <r>
      <t>STEP②_&lt;3/21~</t>
    </r>
    <r>
      <rPr>
        <b/>
        <sz val="12"/>
        <color theme="1"/>
        <rFont val="Meiryo UI"/>
        <family val="2"/>
      </rPr>
      <t>5/20&gt;</t>
    </r>
    <phoneticPr fontId="2" type="noConversion"/>
  </si>
  <si>
    <r>
      <t>STEP③_&lt;</t>
    </r>
    <r>
      <rPr>
        <b/>
        <sz val="12"/>
        <color theme="1"/>
        <rFont val="Meiryo UI"/>
        <family val="2"/>
      </rPr>
      <t>5/21~7/20&gt;</t>
    </r>
    <phoneticPr fontId="2" type="noConversion"/>
  </si>
  <si>
    <r>
      <t>⇒</t>
    </r>
    <r>
      <rPr>
        <sz val="11"/>
        <color theme="1"/>
        <rFont val="Microsoft JhengHei UI"/>
        <family val="2"/>
        <charset val="136"/>
      </rPr>
      <t>5</t>
    </r>
    <r>
      <rPr>
        <sz val="11"/>
        <color theme="1"/>
        <rFont val="Meiryo UI"/>
        <family val="2"/>
      </rPr>
      <t>/21~</t>
    </r>
    <r>
      <rPr>
        <sz val="11"/>
        <color theme="1"/>
        <rFont val="Microsoft JhengHei UI"/>
        <family val="2"/>
        <charset val="136"/>
      </rPr>
      <t>K</t>
    </r>
    <r>
      <rPr>
        <sz val="11"/>
        <color theme="1"/>
        <rFont val="Meiryo UI"/>
        <family val="2"/>
      </rPr>
      <t>F移動</t>
    </r>
    <phoneticPr fontId="2" type="noConversion"/>
  </si>
  <si>
    <r>
      <t>⇒</t>
    </r>
    <r>
      <rPr>
        <sz val="11"/>
        <color theme="1"/>
        <rFont val="Microsoft JhengHei UI"/>
        <family val="2"/>
        <charset val="136"/>
      </rPr>
      <t>5</t>
    </r>
    <r>
      <rPr>
        <sz val="11"/>
        <color theme="1"/>
        <rFont val="Meiryo UI"/>
        <family val="2"/>
      </rPr>
      <t>/1~職務異動</t>
    </r>
    <phoneticPr fontId="2" type="noConversion"/>
  </si>
  <si>
    <r>
      <rPr>
        <sz val="11"/>
        <color theme="1"/>
        <rFont val="Microsoft JhengHei UI"/>
        <family val="2"/>
        <charset val="136"/>
      </rPr>
      <t>8</t>
    </r>
    <r>
      <rPr>
        <sz val="11"/>
        <color theme="1"/>
        <rFont val="Meiryo UI"/>
        <family val="2"/>
      </rPr>
      <t>月上旬</t>
    </r>
    <phoneticPr fontId="2" type="noConversion"/>
  </si>
  <si>
    <r>
      <rPr>
        <sz val="11"/>
        <color theme="1"/>
        <rFont val="Microsoft JhengHei UI"/>
        <family val="2"/>
        <charset val="136"/>
      </rPr>
      <t>8</t>
    </r>
    <r>
      <rPr>
        <sz val="11"/>
        <color theme="1"/>
        <rFont val="Meiryo UI"/>
        <family val="2"/>
      </rPr>
      <t>月下旬</t>
    </r>
    <phoneticPr fontId="2" type="noConversion"/>
  </si>
  <si>
    <r>
      <rPr>
        <sz val="11"/>
        <color theme="1"/>
        <rFont val="Microsoft JhengHei UI"/>
        <family val="2"/>
        <charset val="136"/>
      </rPr>
      <t>9</t>
    </r>
    <r>
      <rPr>
        <sz val="11"/>
        <color theme="1"/>
        <rFont val="Meiryo UI"/>
        <family val="2"/>
      </rPr>
      <t>月上旬</t>
    </r>
    <phoneticPr fontId="2" type="noConversion"/>
  </si>
  <si>
    <r>
      <rPr>
        <sz val="11"/>
        <color theme="1"/>
        <rFont val="Microsoft JhengHei UI"/>
        <family val="2"/>
        <charset val="136"/>
      </rPr>
      <t>9</t>
    </r>
    <r>
      <rPr>
        <sz val="11"/>
        <color theme="1"/>
        <rFont val="Meiryo UI"/>
        <family val="2"/>
      </rPr>
      <t>月下旬</t>
    </r>
    <phoneticPr fontId="2" type="noConversion"/>
  </si>
  <si>
    <r>
      <t>⇒業務申し送り、3/</t>
    </r>
    <r>
      <rPr>
        <sz val="11"/>
        <color theme="1"/>
        <rFont val="Meiryo UI"/>
        <family val="2"/>
      </rPr>
      <t>21-</t>
    </r>
    <r>
      <rPr>
        <sz val="11"/>
        <color theme="1"/>
        <rFont val="Microsoft JhengHei UI"/>
        <family val="2"/>
        <charset val="136"/>
      </rPr>
      <t>5</t>
    </r>
    <r>
      <rPr>
        <sz val="11"/>
        <color theme="1"/>
        <rFont val="Meiryo UI"/>
        <family val="2"/>
      </rPr>
      <t>/20 (</t>
    </r>
    <r>
      <rPr>
        <sz val="11"/>
        <color theme="1"/>
        <rFont val="Microsoft JhengHei UI"/>
        <family val="2"/>
        <charset val="136"/>
      </rPr>
      <t>2</t>
    </r>
    <r>
      <rPr>
        <sz val="11"/>
        <color theme="1"/>
        <rFont val="Meiryo UI"/>
        <family val="2"/>
      </rPr>
      <t>個月)</t>
    </r>
    <phoneticPr fontId="2" type="noConversion"/>
  </si>
  <si>
    <t>周寧威さん、黄乙原さん、何坤擇さん、
呉得祿さん、張富羿さんの面談</t>
    <phoneticPr fontId="2" type="noConversion"/>
  </si>
  <si>
    <t>⇒坤擇/得祿</t>
    <phoneticPr fontId="2" type="noConversion"/>
  </si>
  <si>
    <r>
      <t>⇒富羿</t>
    </r>
    <r>
      <rPr>
        <sz val="11"/>
        <color theme="1"/>
        <rFont val="Meiryo UI"/>
        <family val="2"/>
      </rPr>
      <t>/寧威/乙原</t>
    </r>
    <phoneticPr fontId="2" type="noConversion"/>
  </si>
  <si>
    <r>
      <rPr>
        <b/>
        <u/>
        <sz val="12"/>
        <color theme="1"/>
        <rFont val="Microsoft JhengHei"/>
        <family val="2"/>
      </rPr>
      <t>█</t>
    </r>
    <r>
      <rPr>
        <b/>
        <u/>
        <sz val="12"/>
        <color theme="1"/>
        <rFont val="Meiryo UI"/>
        <family val="2"/>
      </rPr>
      <t>階段一：COLD人才育成及特別任務推進</t>
    </r>
    <phoneticPr fontId="2" type="noConversion"/>
  </si>
  <si>
    <r>
      <rPr>
        <b/>
        <u/>
        <sz val="12"/>
        <color theme="1"/>
        <rFont val="Microsoft JhengHei"/>
        <family val="2"/>
      </rPr>
      <t>█</t>
    </r>
    <r>
      <rPr>
        <b/>
        <u/>
        <sz val="12"/>
        <color theme="1"/>
        <rFont val="Meiryo UI"/>
        <family val="2"/>
        <charset val="128"/>
      </rPr>
      <t>階段</t>
    </r>
    <r>
      <rPr>
        <b/>
        <u/>
        <sz val="12"/>
        <color theme="1"/>
        <rFont val="Microsoft JhengHei"/>
        <family val="2"/>
        <charset val="136"/>
      </rPr>
      <t>二</t>
    </r>
    <r>
      <rPr>
        <b/>
        <u/>
        <sz val="12"/>
        <color theme="1"/>
        <rFont val="Meiryo UI"/>
        <family val="2"/>
        <charset val="128"/>
      </rPr>
      <t>：COLD C階管理者Rotesion。</t>
    </r>
    <phoneticPr fontId="2" type="noConversion"/>
  </si>
  <si>
    <t>二、C階管理者Job Rotesion實行的方式：</t>
    <phoneticPr fontId="2" type="noConversion"/>
  </si>
  <si>
    <r>
      <t>※為了讓全體人員能</t>
    </r>
    <r>
      <rPr>
        <sz val="12"/>
        <color theme="1"/>
        <rFont val="Microsoft JhengHei"/>
        <family val="2"/>
      </rPr>
      <t>夠</t>
    </r>
    <r>
      <rPr>
        <sz val="12"/>
        <color theme="1"/>
        <rFont val="Meiryo UI"/>
        <family val="2"/>
      </rPr>
      <t>持續保持生</t>
    </r>
    <r>
      <rPr>
        <sz val="12"/>
        <color theme="1"/>
        <rFont val="Microsoft JhengHei"/>
        <family val="2"/>
      </rPr>
      <t>產</t>
    </r>
    <r>
      <rPr>
        <sz val="12"/>
        <color theme="1"/>
        <rFont val="Meiryo UI"/>
        <family val="2"/>
      </rPr>
      <t>線上的知識及增進管理實務、並推動COLD無駄作業削減、</t>
    </r>
    <phoneticPr fontId="2" type="noConversion"/>
  </si>
  <si>
    <t>一、C階管理者 Job Rotesionの理由：</t>
    <phoneticPr fontId="2" type="noConversion"/>
  </si>
  <si>
    <r>
      <t>高工(</t>
    </r>
    <r>
      <rPr>
        <sz val="12"/>
        <color theme="1"/>
        <rFont val="Meiryo UI"/>
        <family val="2"/>
      </rPr>
      <t>生推)</t>
    </r>
    <phoneticPr fontId="2" type="noConversion"/>
  </si>
  <si>
    <t>一、C階管理者 Job Rotationの理由：</t>
    <phoneticPr fontId="2" type="noConversion"/>
  </si>
  <si>
    <t>二、C階管理者 Job Rotationの実施方法：</t>
    <phoneticPr fontId="2" type="noConversion"/>
  </si>
  <si>
    <t>大内</t>
    <phoneticPr fontId="2" type="noConversion"/>
  </si>
  <si>
    <t>改善</t>
    <phoneticPr fontId="2" type="noConversion"/>
  </si>
  <si>
    <t>1月</t>
    <phoneticPr fontId="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</si>
  <si>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</si>
  <si>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</si>
  <si>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</si>
  <si>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</si>
  <si>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</si>
  <si>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</si>
  <si>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</si>
  <si>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</si>
  <si>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</si>
  <si>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</si>
  <si>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</si>
  <si>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其他</t>
    <phoneticPr fontId="2" type="noConversion"/>
  </si>
  <si>
    <t>做成：</t>
    <phoneticPr fontId="2" type="noConversion"/>
  </si>
  <si>
    <t>陳俊碩</t>
  </si>
  <si>
    <t>陳俊碩</t>
    <phoneticPr fontId="2" type="noConversion"/>
  </si>
  <si>
    <t>2025年製一部基礎教育輔導日期一覽表</t>
    <phoneticPr fontId="2" type="noConversion"/>
  </si>
  <si>
    <r>
      <t>教育時程</t>
    </r>
    <r>
      <rPr>
        <b/>
        <sz val="20"/>
        <color rgb="FFFF0000"/>
        <rFont val="微軟正黑體"/>
        <family val="2"/>
        <charset val="136"/>
      </rPr>
      <t>4週</t>
    </r>
    <r>
      <rPr>
        <b/>
        <sz val="20"/>
        <color rgb="FF0000CC"/>
        <rFont val="微軟正黑體"/>
        <family val="2"/>
        <charset val="136"/>
      </rPr>
      <t>(每週2次，每次2小時)，輔導時程每週二、四各實施2小時，每人每次1小時各實施6次</t>
    </r>
    <phoneticPr fontId="2" type="noConversion"/>
  </si>
  <si>
    <r>
      <rPr>
        <b/>
        <sz val="14"/>
        <color rgb="FFFF0000"/>
        <rFont val="微軟正黑體"/>
        <family val="2"/>
        <charset val="136"/>
      </rPr>
      <t>•課程教育日程表:</t>
    </r>
    <r>
      <rPr>
        <b/>
        <sz val="14"/>
        <color theme="1"/>
        <rFont val="微軟正黑體"/>
        <family val="2"/>
        <charset val="136"/>
      </rPr>
      <t>每週2次，每次2小時共16小時(4週)</t>
    </r>
    <phoneticPr fontId="2" type="noConversion"/>
  </si>
  <si>
    <t>大陸休假
10/1~10/8</t>
    <phoneticPr fontId="2" type="noConversion"/>
  </si>
  <si>
    <t>國慶日</t>
    <phoneticPr fontId="2" type="noConversion"/>
  </si>
  <si>
    <t>光復節連休</t>
    <phoneticPr fontId="2" type="noConversion"/>
  </si>
  <si>
    <t>日期</t>
  </si>
  <si>
    <t>鄭智謙</t>
    <phoneticPr fontId="2" type="noConversion"/>
  </si>
  <si>
    <t>星期</t>
  </si>
  <si>
    <t>李明傑</t>
    <phoneticPr fontId="2" type="noConversion"/>
  </si>
  <si>
    <t>地點(視訊會議)</t>
    <phoneticPr fontId="2" type="noConversion"/>
  </si>
  <si>
    <t>1400~1600</t>
  </si>
  <si>
    <t>籃文謙</t>
    <phoneticPr fontId="2" type="noConversion"/>
  </si>
  <si>
    <t>商談室A</t>
    <phoneticPr fontId="2" type="noConversion"/>
  </si>
  <si>
    <t>來賓室C</t>
    <phoneticPr fontId="2" type="noConversion"/>
  </si>
  <si>
    <t>蔡明杰</t>
    <phoneticPr fontId="2" type="noConversion"/>
  </si>
  <si>
    <r>
      <rPr>
        <b/>
        <sz val="14"/>
        <color rgb="FFFF0000"/>
        <rFont val="微軟正黑體"/>
        <family val="2"/>
        <charset val="136"/>
      </rPr>
      <t>•課題輔導日程表:</t>
    </r>
    <r>
      <rPr>
        <b/>
        <sz val="14"/>
        <color theme="1"/>
        <rFont val="微軟正黑體"/>
        <family val="2"/>
        <charset val="136"/>
      </rPr>
      <t>每人1小時/次，共6次(6小時/每人，可視情況需求調整或增加)</t>
    </r>
    <phoneticPr fontId="2" type="noConversion"/>
  </si>
  <si>
    <t>請依下列顏色區塊(共6區塊)，於每個區塊分別下拉方式選擇個人名字，填入可以參加輔導的日期及時段(1小時)</t>
    <phoneticPr fontId="2" type="noConversion"/>
  </si>
  <si>
    <t>陳冠如</t>
    <phoneticPr fontId="2" type="noConversion"/>
  </si>
  <si>
    <t>廖裕發</t>
    <phoneticPr fontId="2" type="noConversion"/>
  </si>
  <si>
    <t>余銘偉</t>
    <phoneticPr fontId="2" type="noConversion"/>
  </si>
  <si>
    <t>來賓室C</t>
  </si>
  <si>
    <t>陳俊碩</t>
    <phoneticPr fontId="2" type="noConversion"/>
  </si>
  <si>
    <t>時間
人員</t>
    <phoneticPr fontId="2" type="noConversion"/>
  </si>
  <si>
    <t>1400~1500</t>
    <phoneticPr fontId="2" type="noConversion"/>
  </si>
  <si>
    <t>高玉英</t>
    <phoneticPr fontId="2" type="noConversion"/>
  </si>
  <si>
    <t>林峰蘭</t>
    <phoneticPr fontId="2" type="noConversion"/>
  </si>
  <si>
    <t>1500~1600</t>
    <phoneticPr fontId="2" type="noConversion"/>
  </si>
  <si>
    <t>蔡明杰</t>
  </si>
  <si>
    <t>謝芬宜</t>
    <phoneticPr fontId="2" type="noConversion"/>
  </si>
  <si>
    <t>高玉英</t>
  </si>
  <si>
    <t>備用</t>
    <phoneticPr fontId="2" type="noConversion"/>
  </si>
  <si>
    <t>2026年度</t>
    <phoneticPr fontId="2" type="noConversion"/>
  </si>
  <si>
    <t>2026年製一部進階教育輔導日期一覽表</t>
    <phoneticPr fontId="2" type="noConversion"/>
  </si>
  <si>
    <r>
      <t>教育時程</t>
    </r>
    <r>
      <rPr>
        <b/>
        <sz val="20"/>
        <color rgb="FFFF0000"/>
        <rFont val="微軟正黑體"/>
        <family val="2"/>
        <charset val="136"/>
      </rPr>
      <t>8週</t>
    </r>
    <r>
      <rPr>
        <b/>
        <sz val="20"/>
        <color rgb="FF0000CC"/>
        <rFont val="微軟正黑體"/>
        <family val="2"/>
        <charset val="136"/>
      </rPr>
      <t>(每週</t>
    </r>
    <r>
      <rPr>
        <b/>
        <sz val="20"/>
        <color rgb="FF0000CC"/>
        <rFont val="Yu Gothic"/>
        <family val="2"/>
        <charset val="128"/>
      </rPr>
      <t>1</t>
    </r>
    <r>
      <rPr>
        <b/>
        <sz val="20"/>
        <color rgb="FF0000CC"/>
        <rFont val="微軟正黑體"/>
        <family val="2"/>
        <charset val="136"/>
      </rPr>
      <t>次，每次2小時)，輔導時程每週二、四各實施2小時，每人每次1小時各實施</t>
    </r>
    <r>
      <rPr>
        <b/>
        <sz val="20"/>
        <color rgb="FF0000CC"/>
        <rFont val="Yu Gothic"/>
        <family val="2"/>
        <charset val="128"/>
      </rPr>
      <t>8</t>
    </r>
    <r>
      <rPr>
        <b/>
        <sz val="20"/>
        <color rgb="FF0000CC"/>
        <rFont val="微軟正黑體"/>
        <family val="2"/>
        <charset val="136"/>
      </rPr>
      <t>次</t>
    </r>
    <phoneticPr fontId="2" type="noConversion"/>
  </si>
  <si>
    <r>
      <rPr>
        <b/>
        <sz val="14"/>
        <color rgb="FFFF0000"/>
        <rFont val="微軟正黑體"/>
        <family val="2"/>
        <charset val="136"/>
      </rPr>
      <t>•課程教育日程表:</t>
    </r>
    <r>
      <rPr>
        <b/>
        <sz val="14"/>
        <color theme="1"/>
        <rFont val="微軟正黑體"/>
        <family val="2"/>
        <charset val="136"/>
      </rPr>
      <t>每週1次，每次2小時共16小時(8週)</t>
    </r>
    <phoneticPr fontId="2" type="noConversion"/>
  </si>
  <si>
    <t>1500~1700</t>
    <phoneticPr fontId="2" type="noConversion"/>
  </si>
  <si>
    <t>商談室B</t>
    <phoneticPr fontId="2" type="noConversion"/>
  </si>
  <si>
    <t>張育銘</t>
    <phoneticPr fontId="2" type="noConversion"/>
  </si>
  <si>
    <r>
      <rPr>
        <b/>
        <sz val="14"/>
        <color rgb="FFFF0000"/>
        <rFont val="微軟正黑體"/>
        <family val="2"/>
        <charset val="136"/>
      </rPr>
      <t>•課題輔導日程表:</t>
    </r>
    <r>
      <rPr>
        <b/>
        <sz val="14"/>
        <color theme="1"/>
        <rFont val="微軟正黑體"/>
        <family val="2"/>
        <charset val="136"/>
      </rPr>
      <t>每人1小時/次，共8次(8小時/每人，可視情況需求調整或增加)</t>
    </r>
    <phoneticPr fontId="2" type="noConversion"/>
  </si>
  <si>
    <t>請依下列顏色區塊(共8區塊)，於每個區塊分別下拉方式選擇個人名字，填入可以參加輔導的日期及時段(1小時)</t>
    <phoneticPr fontId="2" type="noConversion"/>
  </si>
  <si>
    <t>張育銘</t>
  </si>
  <si>
    <t>備用</t>
  </si>
  <si>
    <t>1000~1100</t>
    <phoneticPr fontId="2" type="noConversion"/>
  </si>
  <si>
    <t>1100~1200</t>
    <phoneticPr fontId="2" type="noConversion"/>
  </si>
  <si>
    <t>UiPath進階課程教育訓練_個人課題_生產推進課_陳俊碩</t>
    <phoneticPr fontId="2" type="noConversion"/>
  </si>
  <si>
    <t>單位</t>
    <phoneticPr fontId="2" type="noConversion"/>
  </si>
  <si>
    <t>課題(業務)名稱</t>
    <phoneticPr fontId="2" type="noConversion"/>
  </si>
  <si>
    <t>人工作業
時間(分／回)</t>
    <phoneticPr fontId="2" type="noConversion"/>
  </si>
  <si>
    <t>頻度
回/月</t>
    <phoneticPr fontId="2" type="noConversion"/>
  </si>
  <si>
    <t>作業
人數</t>
    <phoneticPr fontId="2" type="noConversion"/>
  </si>
  <si>
    <t>作業內容簡易說明</t>
    <phoneticPr fontId="2" type="noConversion"/>
  </si>
  <si>
    <t>生產推進課</t>
    <phoneticPr fontId="2" type="noConversion"/>
  </si>
  <si>
    <t>KF窯生產Data定例更新／日</t>
    <phoneticPr fontId="2" type="noConversion"/>
  </si>
  <si>
    <t>30min</t>
    <phoneticPr fontId="2" type="noConversion"/>
  </si>
  <si>
    <t>30回</t>
    <phoneticPr fontId="2" type="noConversion"/>
  </si>
  <si>
    <t>如下方說明</t>
    <phoneticPr fontId="2" type="noConversion"/>
  </si>
  <si>
    <t>說明：</t>
    <phoneticPr fontId="2" type="noConversion"/>
  </si>
  <si>
    <t>KF窯品質擔當每日要進行以下各個檔案(*註1)的相關資料更新，更新內容有需要從公司的資料網站(*註2)下載進行貼附，也有需要從他單位資料夾內的檔案中進行複製並貼附。</t>
    <phoneticPr fontId="2" type="noConversion"/>
  </si>
  <si>
    <t>註1：檔案連結如下</t>
    <phoneticPr fontId="2" type="noConversion"/>
  </si>
  <si>
    <t>檔案_1：</t>
    <phoneticPr fontId="2" type="noConversion"/>
  </si>
  <si>
    <t>https://agc.box.com/s/kdeqfddzxhtinuj7z4xe2dd07bh9duur</t>
  </si>
  <si>
    <t>檔案名：SHP資料（KF入力用）.xlsx</t>
    <phoneticPr fontId="2" type="noConversion"/>
  </si>
  <si>
    <t>檔案_2：</t>
    <phoneticPr fontId="2" type="noConversion"/>
  </si>
  <si>
    <t>https://agc.box.com/s/mwt24bpoht2bax6dr83mzodiitccdsbf</t>
    <phoneticPr fontId="2" type="noConversion"/>
  </si>
  <si>
    <t>檔案名：08 KF窯物、化性相關測定Trend-1030.xlsx</t>
    <phoneticPr fontId="2" type="noConversion"/>
  </si>
  <si>
    <t>檔案_3：</t>
    <phoneticPr fontId="2" type="noConversion"/>
  </si>
  <si>
    <t>https://agc.box.com/s/wai0nmhk5z8jyt9pmmogy8tskux7c09r</t>
    <phoneticPr fontId="2" type="noConversion"/>
  </si>
  <si>
    <t>檔案名：SHP向報告用資料(ADT操作管理DATA)-2023.xlsx</t>
    <phoneticPr fontId="2" type="noConversion"/>
  </si>
  <si>
    <t>註2：技開資料網站</t>
    <phoneticPr fontId="2" type="noConversion"/>
  </si>
  <si>
    <t>網站_1：</t>
    <phoneticPr fontId="2" type="noConversion"/>
  </si>
  <si>
    <t>http://t183fdl05tom/isop/ADT-ISOP.jsp</t>
    <phoneticPr fontId="2" type="noConversion"/>
  </si>
  <si>
    <t>( GIKAI_ISOP )</t>
    <phoneticPr fontId="2" type="noConversion"/>
  </si>
  <si>
    <t>流程：</t>
    <phoneticPr fontId="2" type="noConversion"/>
  </si>
  <si>
    <t>檔案一：</t>
    <phoneticPr fontId="2" type="noConversion"/>
  </si>
  <si>
    <t>1、</t>
    <phoneticPr fontId="2" type="noConversion"/>
  </si>
  <si>
    <t>開啟 檔案一 連結中的「SHP資料（KF入力用）.xlsx」</t>
    <phoneticPr fontId="2" type="noConversion"/>
  </si>
  <si>
    <t>2、</t>
    <phoneticPr fontId="2" type="noConversion"/>
  </si>
  <si>
    <t>進入 GIKAI_ISOP網站(網站_1)，登入自己帳號(固定)、密碼(配合公司資訊安全政策，需三個月更新一回)</t>
    <phoneticPr fontId="2" type="noConversion"/>
  </si>
  <si>
    <t>3、</t>
    <phoneticPr fontId="2" type="noConversion"/>
  </si>
  <si>
    <t>登入後網站頁面，依次點選所需要下載的條件：窯別→區段→開始日期→數據期間→Get_Data</t>
    <phoneticPr fontId="2" type="noConversion"/>
  </si>
  <si>
    <t>4、</t>
    <phoneticPr fontId="2" type="noConversion"/>
  </si>
  <si>
    <t>接著在頁面右上角下載對話方塊中，點選"開啟"檔案</t>
    <phoneticPr fontId="2" type="noConversion"/>
  </si>
  <si>
    <t>5、</t>
    <phoneticPr fontId="2" type="noConversion"/>
  </si>
  <si>
    <t>選取檔案中Row(2)開始到最後一筆Data進行複製，對照要貼上到 檔案一 中的"窯"Sheet的時間，進行貼附。</t>
    <phoneticPr fontId="2" type="noConversion"/>
  </si>
  <si>
    <t>6、</t>
    <phoneticPr fontId="2" type="noConversion"/>
  </si>
  <si>
    <t>接續在同一個網站頁面中，將"區段"的部分進行變更後按下"Get_Data"；接著一樣開啟下載對話方塊中的檔案，複製Row(2)到最後一筆Data，</t>
    <phoneticPr fontId="2" type="noConversion"/>
  </si>
  <si>
    <t>對照時間貼附到 檔案一 中的"IF"Sheet中。</t>
    <phoneticPr fontId="2" type="noConversion"/>
  </si>
  <si>
    <t>7、</t>
    <phoneticPr fontId="2" type="noConversion"/>
  </si>
  <si>
    <t>回到 檔案一 的"SHP DATA" Sheet，將Column(A：I)下拉至最新的資料區間(此為 每小時 的Data區間)，Column(A：I)已存在連結函數。</t>
    <phoneticPr fontId="2" type="noConversion"/>
  </si>
  <si>
    <t>8、</t>
    <phoneticPr fontId="2" type="noConversion"/>
  </si>
  <si>
    <t>同樣 檔案一 的"SHP DATA" Sheet，複製Column(J：O)往下貼附到前一天的位置(此為一天平均的計算函數)。</t>
    <phoneticPr fontId="2" type="noConversion"/>
  </si>
  <si>
    <t>9、</t>
    <phoneticPr fontId="2" type="noConversion"/>
  </si>
  <si>
    <t>存檔，若未出現存檔錯誤，則檔案一 作業完成→維持檔案開啟狀態(檔案二 中的Data可以由此處複製)。</t>
    <phoneticPr fontId="2" type="noConversion"/>
  </si>
  <si>
    <t>檔案二：</t>
    <phoneticPr fontId="2" type="noConversion"/>
  </si>
  <si>
    <t>開啟 檔案二 連結中的「08 KF窯物、化性相關測定Trend-1030.xlsx」</t>
    <phoneticPr fontId="2" type="noConversion"/>
  </si>
  <si>
    <t>回到 檔案一 的"窯" Sheet，確認Column(BH)中的Data與時間對照後，進行複製。</t>
    <phoneticPr fontId="2" type="noConversion"/>
  </si>
  <si>
    <t>回到 檔案二 的"data1" Sheet，確認貼附的時間點，將複製的內容貼附至Column(AK)，並將Column(AJ)的時間下拉至與 檔案一 的"窯"Sheet Column(BH)相同。</t>
    <phoneticPr fontId="2" type="noConversion"/>
  </si>
  <si>
    <t>接續將已經有計算函數的Column(AL)也下拉至最新Data位置→"data1"Sheet完成。</t>
    <phoneticPr fontId="2" type="noConversion"/>
  </si>
  <si>
    <t>回到 檔案一 的"SHP DATA" Sheet，確認Column(H)中的Data與時間對照後，進行複製。</t>
    <phoneticPr fontId="2" type="noConversion"/>
  </si>
  <si>
    <t>回到 檔案二 的"data4" Sheet，確認要貼附的時間點後，將複製的內容貼附至Column(B)，並將Column(A)的時間下拉至與Column(B)相同Row(再次確認時間無誤)。</t>
    <phoneticPr fontId="2" type="noConversion"/>
  </si>
  <si>
    <t>接續將已經有計算函數的Column(C：D)也下拉至最新Data位置→"data4"Sheet完成。→檔案二 關閉。</t>
    <phoneticPr fontId="2" type="noConversion"/>
  </si>
  <si>
    <t>檔案三：</t>
    <phoneticPr fontId="2" type="noConversion"/>
  </si>
  <si>
    <t>開啟 檔案三 連結中的「SHP向報告用資料(ADT操作管理DATA)-2023.xlsx」→"敷溫度差" Sheet</t>
    <phoneticPr fontId="2" type="noConversion"/>
  </si>
  <si>
    <t>確認Column(P)的日期是否為前一天，若不是，則回到 檔案一 的"SHP DATA" Sheet，對照Column(K)中的Data與日期後，</t>
    <phoneticPr fontId="2" type="noConversion"/>
  </si>
  <si>
    <t>進行複製→貼附至 檔案三 的"敷溫度差" Sheet→Column(P)。( 這邊因為 檔案一 的Column(K)是合併儲存格，所以需要一個一個複製 )</t>
    <phoneticPr fontId="2" type="noConversion"/>
  </si>
  <si>
    <t>接著開啟 "絕對壓_DAIS流量"Sheet，確認Column(AA：AD)的日期及Data是否為前一天，若不是，則回到 檔案一 的"SHP DATA" Sheet，</t>
    <phoneticPr fontId="2" type="noConversion"/>
  </si>
  <si>
    <t>對照Column(O)的Data與日期對照後，進行複製→貼附至 檔案三 的"絕對壓_DAIS流量"Sheet→Column(AB)；</t>
    <phoneticPr fontId="2" type="noConversion"/>
  </si>
  <si>
    <t>同時對照Column(J)的Data與日期對照後，進行複製→貼附至 檔案三 的"絕對壓_DAIS流量"Sheet→Column(AD)；</t>
    <phoneticPr fontId="2" type="noConversion"/>
  </si>
  <si>
    <t>接續將已經有計算函數的Column(AC)也下拉至最新Data位置→"絕對壓_DAIS流量"Sheet 完成。→檔案三 關閉。</t>
    <phoneticPr fontId="2" type="noConversion"/>
  </si>
  <si>
    <t>檔案二"data3"Sheet中Column(O,P,T)同樣方式對照 圖三 中Column(S,U,AC)。</t>
    <phoneticPr fontId="2" type="noConversion"/>
  </si>
  <si>
    <t>Column(H：R)的資料，貼附到 檔案二"data3"Sheet中對應時間的欄位，如下圖三紅色/藍色框日期對應的數據，貼附至圖四紅色/藍色框Column(C：M)。</t>
    <phoneticPr fontId="2" type="noConversion"/>
  </si>
  <si>
    <t>開啟後點選"板組成"Sheet，對照這個Sheet的Column(E)中的時間，與 檔案二 "data3"Sheet中Column(B)的時間中，是否有最新的資料，若有的話，則複製該時間</t>
    <phoneticPr fontId="2" type="noConversion"/>
  </si>
  <si>
    <t>並開啟最新的"KF3_組成物性_AN100_yyMMdd_hhmm.xlsm"(例下圖二中的：KF3_組成物性_AN100_251113_1122.xlsm)</t>
    <phoneticPr fontId="2" type="noConversion"/>
  </si>
  <si>
    <t>點取檔案二的"data3"Sheet，以及"附表_Data相關連結"Sheet中的"試驗分析課_00_各窯分析結果_05_KF分析結果"連結，</t>
    <phoneticPr fontId="2" type="noConversion"/>
  </si>
  <si>
    <t>接續將已經有計算函數的Column(C：D)也下拉至最新Data位置→"data4"Sheet完成。</t>
    <phoneticPr fontId="2" type="noConversion"/>
  </si>
  <si>
    <t>貼附到 檔案一 中的"IF"Sheet中。</t>
    <phoneticPr fontId="2" type="noConversion"/>
  </si>
  <si>
    <t>中的檔案，複製Row(2)到最後一筆Data，對照時間</t>
    <phoneticPr fontId="2" type="noConversion"/>
  </si>
  <si>
    <t>位置"5"，2～4步驟不變後，一樣開啟下載對話方塊</t>
    <phoneticPr fontId="2" type="noConversion"/>
  </si>
  <si>
    <t>接續在同一個頁面中(圖一)，將點選"1"的位置改成</t>
    <phoneticPr fontId="2" type="noConversion"/>
  </si>
  <si>
    <t>進行貼附。</t>
    <phoneticPr fontId="2" type="noConversion"/>
  </si>
  <si>
    <t>對照要貼上到 檔案一中的"窯"Sheet的時間，</t>
    <phoneticPr fontId="2" type="noConversion"/>
  </si>
  <si>
    <t>選取檔案中Row(2)開始到最後一筆Data進行複製，</t>
    <phoneticPr fontId="2" type="noConversion"/>
  </si>
  <si>
    <t>依次點選 窯別→開始日期→數據期間→Get_Data</t>
    <phoneticPr fontId="2" type="noConversion"/>
  </si>
  <si>
    <t>登入後網站頁面，依照右側"圖一"上標示的順序，</t>
    <phoneticPr fontId="2" type="noConversion"/>
  </si>
  <si>
    <t>R:\認證Server\1024x768--Notebook用\斗六認証Server#1(or斗六認証Server#2)&gt;PAM&gt;KF PAM</t>
    <phoneticPr fontId="2" type="noConversion"/>
  </si>
  <si>
    <t>網站_2：</t>
    <phoneticPr fontId="2" type="noConversion"/>
  </si>
  <si>
    <t>GIKAI ISOP</t>
    <phoneticPr fontId="2" type="noConversion"/>
  </si>
  <si>
    <t>註2：公司資料網站</t>
    <phoneticPr fontId="2" type="noConversion"/>
  </si>
  <si>
    <t>檔案名：2022.6.21.xlsx</t>
    <phoneticPr fontId="2" type="noConversion"/>
  </si>
  <si>
    <t>https://agc.box.com/s/ttcs5ft1zg7fyuyjycw0uerr3hlrnanc</t>
    <phoneticPr fontId="2" type="noConversion"/>
  </si>
  <si>
    <t>檔案_6：</t>
  </si>
  <si>
    <t>檔案名：KF3 応答曲線3i.xlsx</t>
    <phoneticPr fontId="2" type="noConversion"/>
  </si>
  <si>
    <t>https://agc.box.com/s/pj3w8k6ymwc3571rzy3aaukveuc67qwc</t>
    <phoneticPr fontId="2" type="noConversion"/>
  </si>
  <si>
    <t>檔案_5：</t>
    <phoneticPr fontId="2" type="noConversion"/>
  </si>
  <si>
    <t>檔案名：409 419 Download.xlsx</t>
    <phoneticPr fontId="2" type="noConversion"/>
  </si>
  <si>
    <t>https://agc.box.com/s/km2pi8u8vn4r4uszmghmvpktrr9vn3yz</t>
    <phoneticPr fontId="2" type="noConversion"/>
  </si>
  <si>
    <t>檔案_4：</t>
    <phoneticPr fontId="2" type="noConversion"/>
  </si>
  <si>
    <t>有幾個檔案，在資料貼附後，還需要進行手動的資料整理。因此，整個過程的手續有點複雜。熟練的老手來進行這項作業，每天需要耗費的時間也需要約30分鐘。</t>
    <phoneticPr fontId="2" type="noConversion"/>
  </si>
  <si>
    <t>KF窯_每日生產Data定例更新</t>
    <phoneticPr fontId="2" type="noConversion"/>
  </si>
  <si>
    <t>素材製造三課</t>
    <phoneticPr fontId="2" type="noConversion"/>
  </si>
  <si>
    <t>素材製造二課</t>
    <phoneticPr fontId="2" type="noConversion"/>
  </si>
  <si>
    <t>素材製造一課</t>
    <phoneticPr fontId="2" type="noConversion"/>
  </si>
  <si>
    <t>下載ECC的ZASA30資料 &gt;&gt;下載ECC的ZASA02資料 &gt;&gt; 執行VBA &gt;&gt; VBA將訂單/驗收單PDF拋入AEPS &gt;&gt; 生成訂單/驗收單存檔資料夾 跟 驗收單存檔資料夾 &gt;&gt; 不適用AEPS的廠商, 從存檔資料夾壓縮訂單/驗收單後, 手動發EMAIL聯絡訂單 &gt;&gt; 全部的驗收單另外拋入SPO讓倉庫人員收貨時可列印</t>
    <phoneticPr fontId="2" type="noConversion"/>
  </si>
  <si>
    <t>每日拋訂單PDF至AEPS跟email廠商</t>
    <phoneticPr fontId="2" type="noConversion"/>
  </si>
  <si>
    <t>資材課</t>
    <phoneticPr fontId="2" type="noConversion"/>
  </si>
  <si>
    <t xml:space="preserve">下載ECC的ME2N資料 &gt;&gt;下載ECC的ZASA02資料 &gt;&gt; 執行VBA(更新ACCESS資料庫) &gt;&gt; 生成訂單LIST &gt;&gt; 上傳訂單LIST至AEPS </t>
    <phoneticPr fontId="2" type="noConversion"/>
  </si>
  <si>
    <t>每日拋訂單LIST至AEPS
(跟訂單PDF檔配對)</t>
    <phoneticPr fontId="2" type="noConversion"/>
  </si>
  <si>
    <t>下載BPM "委託核准完成" 資料 &gt;&gt;下載ECC的ZASA02 &gt;&gt; 更新ECC "PO_DATA" &gt;&gt; 執行VBA(更新ACCESS資料庫) &gt;&gt; 生成待處理清單 &gt;&gt; 發送連絡給各採購擔當</t>
    <phoneticPr fontId="2" type="noConversion"/>
  </si>
  <si>
    <t>待處理請購清單聯絡</t>
    <phoneticPr fontId="2" type="noConversion"/>
  </si>
  <si>
    <t>登入ISOP SYSTEM→在庫查詢條件輸入→Download 在庫 "CSV" 檔案→另存CSV檔案到指定的SPO路徑→取得(昨日)mmdd_素板在庫整理巨集→開啟Excel執行巨集→另存(今日)mmdd_素板在庫….xlsm檔案→CSV檔案刪除→開啟OUTLOOK發信通知</t>
    <phoneticPr fontId="2" type="noConversion"/>
  </si>
  <si>
    <t>60
(2回/日)</t>
    <phoneticPr fontId="2" type="noConversion"/>
  </si>
  <si>
    <t>REF_ISOP每日素板在庫整理</t>
    <phoneticPr fontId="2" type="noConversion"/>
  </si>
  <si>
    <t>張錦章</t>
    <phoneticPr fontId="63" type="noConversion"/>
  </si>
  <si>
    <t>ISOP_在庫檢索下載→特採與流動禁止檢索下載作業_每日早上8點例行查詢ISOP下載(F9.F3.F1)【在庫清單】→再儲檔(下載日期+在庫類)，將【在庫清單】匯入VBA自生成【查詢對象】有特採與流動止LOT、再將這些LOT放到ISOP查詢【特採與流動止情報】情報下載、最後依類別儲檔(在庫類+情報類)。</t>
    <phoneticPr fontId="2" type="noConversion"/>
  </si>
  <si>
    <t>Redo_素板在庫查詢</t>
    <phoneticPr fontId="2" type="noConversion"/>
  </si>
  <si>
    <t>範例</t>
    <phoneticPr fontId="2" type="noConversion"/>
  </si>
  <si>
    <t>UiPath初階教育訓練_個人課題資料一覽表</t>
    <phoneticPr fontId="2" type="noConversion"/>
  </si>
  <si>
    <t>進度</t>
    <phoneticPr fontId="2" type="noConversion"/>
  </si>
  <si>
    <t>•發佈至管道（Web、Teams 等）</t>
  </si>
  <si>
    <t>•Web 權限設定</t>
  </si>
  <si>
    <t>•發佈管理</t>
  </si>
  <si>
    <t>Part 5｜發佈與管理</t>
  </si>
  <si>
    <t>•流程自動化開發實務</t>
  </si>
  <si>
    <t>•從動作建立自動化流程</t>
  </si>
  <si>
    <t>•使用 Adaptive Card 擴充對話功能</t>
  </si>
  <si>
    <t>•Power Automate 流程自動化介紹</t>
  </si>
  <si>
    <t>Part 4｜搭載 Power Automate 擴展進階代理服務</t>
  </si>
  <si>
    <t>•提示詞功能與定義</t>
  </si>
  <si>
    <t>•檔案與網頁知識來源設定</t>
  </si>
  <si>
    <t>•知識串接介紹</t>
  </si>
  <si>
    <t>Part 3｜建立知識服務的客服機器人</t>
  </si>
  <si>
    <t>13:00–17:30</t>
  </si>
  <si>
    <t>Copilot Studio</t>
  </si>
  <si>
    <t>4/7 (二)下午</t>
  </si>
  <si>
    <t>•建立對話流程與參數設定</t>
  </si>
  <si>
    <t>•提示詞工程</t>
  </si>
  <si>
    <t>•生成式對話主題管理</t>
  </si>
  <si>
    <t>Part 2｜使用 GPT開發智能對話機器人</t>
  </si>
  <si>
    <t>•動作擴充服務</t>
  </si>
  <si>
    <t>•實體介紹</t>
  </si>
  <si>
    <t>•條件式應用</t>
  </si>
  <si>
    <t>•變數功能</t>
  </si>
  <si>
    <t>•主題類別與設計</t>
  </si>
  <si>
    <t>Part 1｜使用 Copilot Studio 開發商務對話機器人</t>
  </si>
  <si>
    <t>•Copilot Studio 介面工具導引</t>
  </si>
  <si>
    <t>•Copilot Studio 服務啟用</t>
  </si>
  <si>
    <t>Copilot Studio 介面功能介紹</t>
  </si>
  <si>
    <t>•Copilot Studio 服務元件與工作原理</t>
  </si>
  <si>
    <t>•Copilot Studio 智慧助理介紹</t>
  </si>
  <si>
    <t>09:30–12:00</t>
  </si>
  <si>
    <t>Copilot Studio 簡介</t>
  </si>
  <si>
    <t>Copilot Studio</t>
    <phoneticPr fontId="66" type="noConversion"/>
  </si>
  <si>
    <t>4/7 (二) 上午</t>
  </si>
  <si>
    <t>・儲存、測試與發布至 Teams / 行動裝置</t>
  </si>
  <si>
    <t>Part 5｜APP 發布與共用</t>
  </si>
  <si>
    <t>・設定 Teams 紀錄通知</t>
  </si>
  <si>
    <t>・結合 Power Automate 服務</t>
  </si>
  <si>
    <t>・歸還後綁定參數設定</t>
  </si>
  <si>
    <t>・進行 Dataverse 資料連線</t>
  </si>
  <si>
    <t>・建立 QR Code 掃描器</t>
  </si>
  <si>
    <t>・使用 Canvas App 模式建立行動 App</t>
  </si>
  <si>
    <t>・建置行動查驗模組（手機裝置）</t>
  </si>
  <si>
    <t>Part 4｜建立財產歸還系統</t>
  </si>
  <si>
    <t>・建立資料來源與樣式設定</t>
  </si>
  <si>
    <t>・使用公式編輯器和元件</t>
  </si>
  <si>
    <t>・建置 Power Apps 的版面設定與初步架構</t>
  </si>
  <si>
    <t>・建立資料輸入模組（Web/平板裝置）</t>
  </si>
  <si>
    <t>Part 3｜建立財產借用系統</t>
  </si>
  <si>
    <t>Power Apps</t>
  </si>
  <si>
    <t>4/1 (三)下午</t>
  </si>
  <si>
    <t>・從資料產生應用程式</t>
  </si>
  <si>
    <t>・串接資料來源</t>
  </si>
  <si>
    <t>・Power Apps 的基礎功能</t>
  </si>
  <si>
    <t>Part 2｜建立財產維護系統</t>
  </si>
  <si>
    <t>・資料來源匯入與格式設定</t>
  </si>
  <si>
    <t>・資料庫數據概念與資料類型</t>
  </si>
  <si>
    <t>・Dataverse 虛擬資料庫服務</t>
  </si>
  <si>
    <t>Part 1｜連接財產資料來源</t>
  </si>
  <si>
    <t>・功能元件概念說明</t>
  </si>
  <si>
    <t>・操作介面介紹</t>
  </si>
  <si>
    <t>・Power App 服務啟用</t>
  </si>
  <si>
    <t>Power Apps 架構與類型介紹</t>
  </si>
  <si>
    <t>・低代碼開發的概念與應用場景</t>
  </si>
  <si>
    <t>・Power Apps 介紹</t>
  </si>
  <si>
    <t>・Power Platform 簡介</t>
  </si>
  <si>
    <t>Power Apps 入門知識與低代碼開發概念說明</t>
  </si>
  <si>
    <t>Power Apps</t>
    <phoneticPr fontId="66" type="noConversion"/>
  </si>
  <si>
    <t>4/1 (三)上午</t>
  </si>
  <si>
    <t>•發送 Teams 訊息</t>
  </si>
  <si>
    <t>•無痛使用 HTML 編寫</t>
  </si>
  <si>
    <t>•JSON 資料格式應用</t>
  </si>
  <si>
    <t>•資料作業篩選技巧</t>
  </si>
  <si>
    <t>•建立 Excel 資料來源</t>
  </si>
  <si>
    <t>Part 3｜即時取得特定區間銷售資料並製成報表格式</t>
  </si>
  <si>
    <t>•套印 Outlook 信件與發送通知</t>
  </si>
  <si>
    <t>•啟動 Approvals 審核與判斷流程</t>
  </si>
  <si>
    <t>•建立 Excel 資料收取清單</t>
  </si>
  <si>
    <t>•建立 Forms 數位表單</t>
  </si>
  <si>
    <t>Part 2｜專案報名流程自動化</t>
  </si>
  <si>
    <t>Power Automate</t>
  </si>
  <si>
    <t>3/25 (三)下午</t>
  </si>
  <si>
    <t>事務局</t>
    <phoneticPr fontId="66" type="noConversion"/>
  </si>
  <si>
    <t>陳 勇全</t>
    <phoneticPr fontId="66" type="noConversion"/>
  </si>
  <si>
    <t>革新推進部／IT</t>
  </si>
  <si>
    <t>•To-Do 自動列管待辦事項</t>
  </si>
  <si>
    <t>陳 彥予</t>
    <phoneticPr fontId="66" type="noConversion"/>
  </si>
  <si>
    <t>•OneDrive 自動存檔功能</t>
  </si>
  <si>
    <t>侯 家驊</t>
    <phoneticPr fontId="66" type="noConversion"/>
  </si>
  <si>
    <t>革新推進部／PEGAS＠s</t>
    <phoneticPr fontId="66" type="noConversion"/>
  </si>
  <si>
    <t>•Outlook 信件管理</t>
  </si>
  <si>
    <t>曾 茜</t>
    <phoneticPr fontId="66" type="noConversion"/>
  </si>
  <si>
    <t>Part 1｜自動偵測測來信並建立列管事項</t>
  </si>
  <si>
    <t>鍾 旭汶</t>
    <phoneticPr fontId="66" type="noConversion"/>
  </si>
  <si>
    <t>台南工廠／管理課</t>
    <phoneticPr fontId="66" type="noConversion"/>
  </si>
  <si>
    <t>•功能元件概念說明</t>
  </si>
  <si>
    <t>王 宗瑋</t>
    <phoneticPr fontId="66" type="noConversion"/>
  </si>
  <si>
    <t>安全環境衛生部</t>
  </si>
  <si>
    <t>•操作介面介紹</t>
  </si>
  <si>
    <t>莊 珍如</t>
    <phoneticPr fontId="66" type="noConversion"/>
  </si>
  <si>
    <t>•Power Automate 服務啟用</t>
  </si>
  <si>
    <t>陳 品錡</t>
    <phoneticPr fontId="66" type="noConversion"/>
  </si>
  <si>
    <t>財務部</t>
  </si>
  <si>
    <t>Power Automate 架構與類型介紹</t>
  </si>
  <si>
    <t>吳 至鈞</t>
    <phoneticPr fontId="66" type="noConversion"/>
  </si>
  <si>
    <t>管理部／總務課</t>
  </si>
  <si>
    <t>•Power Automate 自動化流程設計工具</t>
  </si>
  <si>
    <t>黃 碧如</t>
    <phoneticPr fontId="66" type="noConversion"/>
  </si>
  <si>
    <t>•專案流程自動化規劃技巧</t>
  </si>
  <si>
    <t>林 芷瑩</t>
    <phoneticPr fontId="66" type="noConversion"/>
  </si>
  <si>
    <t>管理部／人事課</t>
  </si>
  <si>
    <t>•Power Automate 基本介紹</t>
  </si>
  <si>
    <t>沈 銘蔚</t>
    <phoneticPr fontId="66" type="noConversion"/>
  </si>
  <si>
    <t>資材物流部／物流</t>
    <phoneticPr fontId="66" type="noConversion"/>
  </si>
  <si>
    <t>Power Automate 流程自動化概念說明</t>
  </si>
  <si>
    <t>Power 
Automate</t>
    <phoneticPr fontId="66" type="noConversion"/>
  </si>
  <si>
    <t>3/25 (三)上午</t>
  </si>
  <si>
    <t>江 炎竹</t>
    <phoneticPr fontId="66" type="noConversion"/>
  </si>
  <si>
    <t>資材物流部／原燃</t>
    <phoneticPr fontId="66" type="noConversion"/>
  </si>
  <si>
    <t>・發布至 Web</t>
  </si>
  <si>
    <t>張 雅菁</t>
    <phoneticPr fontId="66" type="noConversion"/>
  </si>
  <si>
    <t>資材物流部／資材</t>
    <phoneticPr fontId="66" type="noConversion"/>
  </si>
  <si>
    <t>・Power BI Service 工作區管理</t>
  </si>
  <si>
    <t>陳 昱璉</t>
    <phoneticPr fontId="66" type="noConversion"/>
  </si>
  <si>
    <t>設備技術部／機動課</t>
  </si>
  <si>
    <t>Part 4｜發布報表與共用</t>
  </si>
  <si>
    <t>張 育銘</t>
    <phoneticPr fontId="66" type="noConversion"/>
  </si>
  <si>
    <t>設備技術部／電氣技術課</t>
  </si>
  <si>
    <t>・分頁報告與輔助說明工具</t>
  </si>
  <si>
    <t>張 介騰</t>
    <phoneticPr fontId="66" type="noConversion"/>
  </si>
  <si>
    <t>設備技術部／機械技術課</t>
  </si>
  <si>
    <t>・卡片、交叉分析篩選器、樹狀圖、群組直條圖、環圖、地圖、折線圖、KPI</t>
  </si>
  <si>
    <t>詹 佳親</t>
    <phoneticPr fontId="66" type="noConversion"/>
  </si>
  <si>
    <t>品質保證部／台南品保</t>
    <phoneticPr fontId="66" type="noConversion"/>
  </si>
  <si>
    <t>・視覺化分析工具實作：</t>
  </si>
  <si>
    <t>高 誌陽</t>
    <phoneticPr fontId="66" type="noConversion"/>
  </si>
  <si>
    <t>品質保證部／素板品管</t>
    <phoneticPr fontId="66" type="noConversion"/>
  </si>
  <si>
    <t>・使用 DAX 與自訂量值</t>
  </si>
  <si>
    <t>郭 芷琳</t>
    <phoneticPr fontId="66" type="noConversion"/>
  </si>
  <si>
    <t>品質保證部／基板品保</t>
    <phoneticPr fontId="66" type="noConversion"/>
  </si>
  <si>
    <t>・建立互動報告版面樣式設定</t>
  </si>
  <si>
    <t>陳 詣凱</t>
    <phoneticPr fontId="66" type="noConversion"/>
  </si>
  <si>
    <t>品質保證部／試驗分析</t>
    <phoneticPr fontId="66" type="noConversion"/>
  </si>
  <si>
    <t>Part 3｜資料視覺化實戰</t>
  </si>
  <si>
    <t>王 士嘉</t>
    <phoneticPr fontId="66" type="noConversion"/>
  </si>
  <si>
    <t>生產管理部／素生計</t>
    <phoneticPr fontId="66" type="noConversion"/>
  </si>
  <si>
    <t>Power BI</t>
  </si>
  <si>
    <t>3/19(四)下午</t>
  </si>
  <si>
    <t>吳 汧縈</t>
    <phoneticPr fontId="66" type="noConversion"/>
  </si>
  <si>
    <t>生產管理部／工程管理</t>
    <phoneticPr fontId="66" type="noConversion"/>
  </si>
  <si>
    <t>・建立資料關聯性（一對多）</t>
  </si>
  <si>
    <t>李 明顯</t>
    <phoneticPr fontId="66" type="noConversion"/>
  </si>
  <si>
    <t>生產管理部／基生計</t>
    <phoneticPr fontId="66" type="noConversion"/>
  </si>
  <si>
    <t>・事實表 (Fact) vs 維度表 (Dim)</t>
  </si>
  <si>
    <t>羅 朝文</t>
    <phoneticPr fontId="66" type="noConversion"/>
  </si>
  <si>
    <t>製造二部</t>
  </si>
  <si>
    <t>Part 2｜資料建模與關聯</t>
  </si>
  <si>
    <t>李 孟寰</t>
    <phoneticPr fontId="66" type="noConversion"/>
  </si>
  <si>
    <t>Power BI 零基礎入門</t>
  </si>
  <si>
    <t xml:space="preserve"> 邱 信翔</t>
    <phoneticPr fontId="66" type="noConversion"/>
  </si>
  <si>
    <t>製造一部／素製四</t>
  </si>
  <si>
    <t>・資料模型及關係</t>
  </si>
  <si>
    <t xml:space="preserve"> 王 俊淵</t>
    <phoneticPr fontId="66" type="noConversion"/>
  </si>
  <si>
    <t>製造一部／素製二</t>
  </si>
  <si>
    <t>・使用 Power Query 整理數據</t>
  </si>
  <si>
    <t xml:space="preserve"> 陳 俊碩</t>
    <phoneticPr fontId="66" type="noConversion"/>
  </si>
  <si>
    <t>製造一部／生產推進</t>
  </si>
  <si>
    <t>・Import / Direct Query</t>
  </si>
  <si>
    <t xml:space="preserve"> 黃 炳銓</t>
    <phoneticPr fontId="66" type="noConversion"/>
  </si>
  <si>
    <t>・資料清洗實戰</t>
  </si>
  <si>
    <t>李 聖斌</t>
    <phoneticPr fontId="66" type="noConversion"/>
  </si>
  <si>
    <t>製造一部／素製三</t>
  </si>
  <si>
    <t>Part 1｜使用 Power Query 建立與轉換資料集</t>
  </si>
  <si>
    <t>備考</t>
    <phoneticPr fontId="66" type="noConversion"/>
  </si>
  <si>
    <t>姓名</t>
    <phoneticPr fontId="66" type="noConversion"/>
  </si>
  <si>
    <t>單位</t>
    <phoneticPr fontId="66" type="noConversion"/>
  </si>
  <si>
    <t>＃</t>
    <phoneticPr fontId="66" type="noConversion"/>
  </si>
  <si>
    <t>【學員名單】</t>
    <phoneticPr fontId="66" type="noConversion"/>
  </si>
  <si>
    <t>・軟體下載與安裝</t>
  </si>
  <si>
    <t>課程教師：陳育亮（教授）　※所屬單位世新大學管系</t>
    <phoneticPr fontId="66" type="noConversion"/>
  </si>
  <si>
    <t>Power BI Desktop 設定與介面說明</t>
  </si>
  <si>
    <t>協辨單位：國立雲林科技大學</t>
    <phoneticPr fontId="66" type="noConversion"/>
  </si>
  <si>
    <t>・商業分析流程 (ETL) 概念導引</t>
  </si>
  <si>
    <t>第一會議室</t>
    <phoneticPr fontId="2" type="noConversion"/>
  </si>
  <si>
    <t>4/7(二) 0930-1730</t>
    <phoneticPr fontId="2" type="noConversion"/>
  </si>
  <si>
    <t>・Power BI 介紹</t>
  </si>
  <si>
    <t>第三辨公室</t>
    <phoneticPr fontId="2" type="noConversion"/>
  </si>
  <si>
    <t>4/1(三) 0930-1730</t>
    <phoneticPr fontId="2" type="noConversion"/>
  </si>
  <si>
    <t>Power Automate</t>
    <phoneticPr fontId="66" type="noConversion"/>
  </si>
  <si>
    <t>3/25(三) 0930-1730</t>
    <phoneticPr fontId="2" type="noConversion"/>
  </si>
  <si>
    <t>Power BI 流程自動化概念說明</t>
    <phoneticPr fontId="66" type="noConversion"/>
  </si>
  <si>
    <t>Power BI</t>
    <phoneticPr fontId="66" type="noConversion"/>
  </si>
  <si>
    <t>3/19(四)上午</t>
  </si>
  <si>
    <t>3/19(四) 0930-1730</t>
    <phoneticPr fontId="2" type="noConversion"/>
  </si>
  <si>
    <t>課程內容</t>
  </si>
  <si>
    <t>課程時段</t>
  </si>
  <si>
    <t>課程內容</t>
    <phoneticPr fontId="66" type="noConversion"/>
  </si>
  <si>
    <t>會議室</t>
    <phoneticPr fontId="2" type="noConversion"/>
  </si>
  <si>
    <t>上課時間</t>
    <phoneticPr fontId="2" type="noConversion"/>
  </si>
  <si>
    <t>#</t>
    <phoneticPr fontId="2" type="noConversion"/>
  </si>
  <si>
    <t>【詳細課程內容】</t>
    <phoneticPr fontId="66" type="noConversion"/>
  </si>
  <si>
    <t>【課程時間】</t>
    <phoneticPr fontId="66" type="noConversion"/>
  </si>
  <si>
    <t>作成:陳勇全 日時:2026/3/6</t>
    <phoneticPr fontId="66" type="noConversion"/>
  </si>
  <si>
    <t>ADT 2026年 Power Platform 教育課程</t>
    <phoneticPr fontId="66" type="noConversion"/>
  </si>
  <si>
    <t>初心者向け</t>
  </si>
  <si>
    <t>セッション</t>
  </si>
  <si>
    <t>対面教育</t>
  </si>
  <si>
    <t>會議室：Fab1第一會議室</t>
  </si>
  <si>
    <t>授業者</t>
  </si>
  <si>
    <t>電子カンパニー運用ルール紹介　Q＆A</t>
  </si>
  <si>
    <t>3・ 製造一部/生產推進 /　陳 俊碩</t>
  </si>
  <si>
    <t>8・ 台南工場/設備技術 /　蘇 輝誠</t>
  </si>
  <si>
    <t>10・ 設備技術/公用電氣課 /　陳 雅歆</t>
  </si>
  <si>
    <t>ユースケース紹介</t>
  </si>
  <si>
    <t>Databricksの書き方の進め</t>
  </si>
  <si>
    <t>Databricks構造理解</t>
  </si>
  <si>
    <t>DataFrame入出力</t>
  </si>
  <si>
    <t>ファイルストレージ</t>
  </si>
  <si>
    <t>基本ETL</t>
  </si>
  <si>
    <t>Job・Workflow</t>
  </si>
  <si>
    <t>外部データ取得</t>
  </si>
  <si>
    <t>SQL・ダッシュボード作成</t>
  </si>
  <si>
    <t>各種Cluster（GPU・サーバレス）</t>
  </si>
  <si>
    <t>GENIE入門</t>
  </si>
  <si>
    <t>Databricks熟練者向け機能紹介</t>
  </si>
  <si>
    <t>DLT</t>
  </si>
  <si>
    <t>3/30 09：30-12：00</t>
    <phoneticPr fontId="2" type="noConversion"/>
  </si>
  <si>
    <t>3/30 13：00-17：00</t>
    <phoneticPr fontId="2" type="noConversion"/>
  </si>
  <si>
    <r>
      <t>3/3</t>
    </r>
    <r>
      <rPr>
        <sz val="11"/>
        <color rgb="FF000000"/>
        <rFont val="微軟正黑體"/>
        <family val="2"/>
        <charset val="136"/>
      </rPr>
      <t>1</t>
    </r>
    <r>
      <rPr>
        <sz val="11"/>
        <color rgb="FF000000"/>
        <rFont val="Meiryo UI"/>
        <family val="2"/>
        <charset val="128"/>
      </rPr>
      <t xml:space="preserve"> 09：30-12：00</t>
    </r>
    <phoneticPr fontId="2" type="noConversion"/>
  </si>
  <si>
    <r>
      <t>3/3</t>
    </r>
    <r>
      <rPr>
        <sz val="11"/>
        <color rgb="FF000000"/>
        <rFont val="微軟正黑體"/>
        <family val="2"/>
        <charset val="136"/>
      </rPr>
      <t>1</t>
    </r>
    <r>
      <rPr>
        <sz val="11"/>
        <color rgb="FF000000"/>
        <rFont val="Meiryo UI"/>
        <family val="2"/>
        <charset val="128"/>
      </rPr>
      <t xml:space="preserve"> 13：00-17：00</t>
    </r>
    <phoneticPr fontId="2" type="noConversion"/>
  </si>
  <si>
    <t>2・ 製造一部/生產推進 /　黃 炳銓</t>
    <phoneticPr fontId="2" type="noConversion"/>
  </si>
  <si>
    <t>1・ 製造一部/生產推進 /　楊 大慶</t>
    <phoneticPr fontId="2" type="noConversion"/>
  </si>
  <si>
    <t>4・ 製造二部 /　羅 朝文</t>
    <phoneticPr fontId="2" type="noConversion"/>
  </si>
  <si>
    <t>5・ 製造二部 /　張 家綸</t>
    <phoneticPr fontId="2" type="noConversion"/>
  </si>
  <si>
    <t>6・ 製造二部 /　蔡 宏杰</t>
    <phoneticPr fontId="2" type="noConversion"/>
  </si>
  <si>
    <t>7・ 台南工場/基板加工 /　劉 修銘</t>
    <phoneticPr fontId="2" type="noConversion"/>
  </si>
  <si>
    <t>9・ 品質保証/基板品質保証 /　郭 芷琳</t>
    <phoneticPr fontId="2" type="noConversion"/>
  </si>
  <si>
    <t>11・ 設備技術/機械技術課 /　蔡 淂鎰</t>
    <phoneticPr fontId="2" type="noConversion"/>
  </si>
  <si>
    <t>12・ 資材物流部/原燃 /　江 炎竹</t>
    <phoneticPr fontId="2" type="noConversion"/>
  </si>
  <si>
    <t>13・ 革新推進部(事務局) /　吳 建毅</t>
    <phoneticPr fontId="2" type="noConversion"/>
  </si>
  <si>
    <t>UiPath 專案實戰指南：KF窯每日資料更新 (完全重構教學版 V1.0)</t>
  </si>
  <si>
    <r>
      <t>專案名稱</t>
    </r>
    <r>
      <rPr>
        <sz val="11"/>
        <color theme="1"/>
        <rFont val="微軟正黑體"/>
        <family val="2"/>
        <charset val="136"/>
      </rPr>
      <t xml:space="preserve">：KF窯每日資料更新_生產推進課 </t>
    </r>
    <r>
      <rPr>
        <b/>
        <sz val="11"/>
        <color theme="1"/>
        <rFont val="微軟正黑體"/>
        <family val="2"/>
        <charset val="136"/>
      </rPr>
      <t>適用版本</t>
    </r>
    <r>
      <rPr>
        <sz val="11"/>
        <color theme="1"/>
        <rFont val="微軟正黑體"/>
        <family val="2"/>
        <charset val="136"/>
      </rPr>
      <t xml:space="preserve">：UiPath Studio 2023.10.3 (Modern Experience) </t>
    </r>
    <r>
      <rPr>
        <b/>
        <sz val="11"/>
        <color theme="1"/>
        <rFont val="微軟正黑體"/>
        <family val="2"/>
        <charset val="136"/>
      </rPr>
      <t>文件狀態</t>
    </r>
    <r>
      <rPr>
        <sz val="11"/>
        <color theme="1"/>
        <rFont val="微軟正黑體"/>
        <family val="2"/>
        <charset val="136"/>
      </rPr>
      <t>：從 0 到 1 教學版 (依據最新 Main.xaml 完美還原，剔除所有冗餘變數)</t>
    </r>
  </si>
  <si>
    <t>🛠️ 第一部分：專案準備 (Project Setup)</t>
  </si>
  <si>
    <t>1. 安裝套件 (Packages)</t>
  </si>
  <si>
    <r>
      <t xml:space="preserve">請開啟 UiPath 的 </t>
    </r>
    <r>
      <rPr>
        <sz val="10"/>
        <color theme="1"/>
        <rFont val="微軟正黑體"/>
        <family val="2"/>
        <charset val="136"/>
      </rPr>
      <t>管理套件 (Manage Packages)</t>
    </r>
    <r>
      <rPr>
        <sz val="11"/>
        <color theme="1"/>
        <rFont val="微軟正黑體"/>
        <family val="2"/>
        <charset val="136"/>
      </rPr>
      <t>，確保以下套件已安裝：</t>
    </r>
  </si>
  <si>
    <t>UiPath.Excel.Activities</t>
  </si>
  <si>
    <t>UiPath.System.Activities</t>
  </si>
  <si>
    <t>UiPath.UIAutomation.Activities</t>
  </si>
  <si>
    <t>2. Orchestrator 資產 (Assets)</t>
  </si>
  <si>
    <r>
      <t>Name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GIKAI_ISOP_Cred</t>
    </r>
  </si>
  <si>
    <r>
      <t>Type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Credential</t>
    </r>
    <r>
      <rPr>
        <sz val="11"/>
        <color theme="1"/>
        <rFont val="微軟正黑體"/>
        <family val="2"/>
        <charset val="136"/>
      </rPr>
      <t xml:space="preserve"> (憑證)</t>
    </r>
  </si>
  <si>
    <r>
      <t>Value</t>
    </r>
    <r>
      <rPr>
        <sz val="11"/>
        <color theme="1"/>
        <rFont val="微軟正黑體"/>
        <family val="2"/>
        <charset val="136"/>
      </rPr>
      <t>: 填入執行 GIKAI 系統的帳號與密碼。</t>
    </r>
  </si>
  <si>
    <t>📝 第二部分：資料管理器詳解 (Data Manager)</t>
  </si>
  <si>
    <r>
      <t>⚠️ 給初心者的重要提醒</t>
    </r>
    <r>
      <rPr>
        <sz val="11"/>
        <color theme="1"/>
        <rFont val="微軟正黑體"/>
        <family val="2"/>
        <charset val="136"/>
      </rPr>
      <t>： 如果您是從舊專案修改過來，請</t>
    </r>
    <r>
      <rPr>
        <b/>
        <sz val="11"/>
        <color theme="1"/>
        <rFont val="微軟正黑體"/>
        <family val="2"/>
        <charset val="136"/>
      </rPr>
      <t>勇敢地把下面表格「沒有列出來的變數」全部刪除</t>
    </r>
    <r>
      <rPr>
        <sz val="11"/>
        <color theme="1"/>
        <rFont val="微軟正黑體"/>
        <family val="2"/>
        <charset val="136"/>
      </rPr>
      <t xml:space="preserve"> (例如：</t>
    </r>
    <r>
      <rPr>
        <sz val="10"/>
        <color theme="1"/>
        <rFont val="微軟正黑體"/>
        <family val="2"/>
        <charset val="136"/>
      </rPr>
      <t>dt_Analysis_Data</t>
    </r>
    <r>
      <rPr>
        <sz val="11"/>
        <color theme="1"/>
        <rFont val="微軟正黑體"/>
        <family val="2"/>
        <charset val="136"/>
      </rPr>
      <t xml:space="preserve">, </t>
    </r>
    <r>
      <rPr>
        <sz val="10"/>
        <color theme="1"/>
        <rFont val="微軟正黑體"/>
        <family val="2"/>
        <charset val="136"/>
      </rPr>
      <t>dt_FileA_Yao</t>
    </r>
    <r>
      <rPr>
        <sz val="11"/>
        <color theme="1"/>
        <rFont val="微軟正黑體"/>
        <family val="2"/>
        <charset val="136"/>
      </rPr>
      <t xml:space="preserve">, </t>
    </r>
    <r>
      <rPr>
        <sz val="10"/>
        <color theme="1"/>
        <rFont val="微軟正黑體"/>
        <family val="2"/>
        <charset val="136"/>
      </rPr>
      <t>IsFileExist</t>
    </r>
    <r>
      <rPr>
        <sz val="11"/>
        <color theme="1"/>
        <rFont val="微軟正黑體"/>
        <family val="2"/>
        <charset val="136"/>
      </rPr>
      <t xml:space="preserve"> 等)。保持變數表乾淨，是避免選錯變數的第一步！所有變數的 </t>
    </r>
    <r>
      <rPr>
        <sz val="10"/>
        <color theme="1"/>
        <rFont val="微軟正黑體"/>
        <family val="2"/>
        <charset val="136"/>
      </rPr>
      <t>Scope (範圍)</t>
    </r>
    <r>
      <rPr>
        <sz val="11"/>
        <color theme="1"/>
        <rFont val="微軟正黑體"/>
        <family val="2"/>
        <charset val="136"/>
      </rPr>
      <t xml:space="preserve"> 請統一選 </t>
    </r>
    <r>
      <rPr>
        <sz val="10"/>
        <color theme="1"/>
        <rFont val="微軟正黑體"/>
        <family val="2"/>
        <charset val="136"/>
      </rPr>
      <t>Main Sequence</t>
    </r>
    <r>
      <rPr>
        <sz val="11"/>
        <color theme="1"/>
        <rFont val="微軟正黑體"/>
        <family val="2"/>
        <charset val="136"/>
      </rPr>
      <t>。</t>
    </r>
  </si>
  <si>
    <t>1. 引數 (Arguments) - 接收外部資訊</t>
  </si>
  <si>
    <r>
      <t xml:space="preserve">(方向皆為 </t>
    </r>
    <r>
      <rPr>
        <i/>
        <sz val="10"/>
        <color theme="1"/>
        <rFont val="微軟正黑體"/>
        <family val="2"/>
        <charset val="136"/>
      </rPr>
      <t>In</t>
    </r>
    <r>
      <rPr>
        <i/>
        <sz val="11"/>
        <color theme="1"/>
        <rFont val="微軟正黑體"/>
        <family val="2"/>
        <charset val="136"/>
      </rPr>
      <t>)</t>
    </r>
  </si>
  <si>
    <t>名稱</t>
  </si>
  <si>
    <t>類型 (Type)</t>
  </si>
  <si>
    <t>預設值 (Default Value 範例)</t>
  </si>
  <si>
    <t>in_FileA_Path</t>
  </si>
  <si>
    <t>String</t>
  </si>
  <si>
    <t>"C:\Users\...\SHP資料（KF入力用）.xlsx"</t>
  </si>
  <si>
    <t>in_FileB_Path</t>
  </si>
  <si>
    <t>"C:\Users\...\08 KF窯物、化性相關測定Trend-1030.xlsm"</t>
  </si>
  <si>
    <t>in_BoxDrivePath</t>
  </si>
  <si>
    <t>"C:\Program Files\Box\Box\Box.exe"</t>
  </si>
  <si>
    <t>in_Analysis_BoxURL</t>
  </si>
  <si>
    <r>
      <t>"https://agc.box.com/..."</t>
    </r>
    <r>
      <rPr>
        <sz val="11"/>
        <color theme="1"/>
        <rFont val="微軟正黑體"/>
        <family val="2"/>
        <charset val="136"/>
      </rPr>
      <t xml:space="preserve"> </t>
    </r>
    <r>
      <rPr>
        <i/>
        <sz val="11"/>
        <color theme="1"/>
        <rFont val="微軟正黑體"/>
        <family val="2"/>
        <charset val="136"/>
      </rPr>
      <t>(註：本版流程暫無使用，但保留)</t>
    </r>
  </si>
  <si>
    <t>in_ISOP_URL</t>
  </si>
  <si>
    <t>"http://t183fdl05tom/isop/ADT-ISOP.jsp"</t>
  </si>
  <si>
    <t>in_CredentialName</t>
  </si>
  <si>
    <t>"GIKAI_ISOP_Cred"</t>
  </si>
  <si>
    <t>2. 變數 (Variables) - 流程內部使用</t>
  </si>
  <si>
    <t>A. 系統與路徑類</t>
  </si>
  <si>
    <t>類型</t>
  </si>
  <si>
    <t>用途說明</t>
  </si>
  <si>
    <t>Username</t>
  </si>
  <si>
    <t>存放帳號。</t>
  </si>
  <si>
    <t>Password</t>
  </si>
  <si>
    <t>SecureString</t>
  </si>
  <si>
    <t>存放加密密碼。</t>
  </si>
  <si>
    <t>FileA_FullPath</t>
  </si>
  <si>
    <t>承接 File A 引數。</t>
  </si>
  <si>
    <t>FileB_FullPath</t>
  </si>
  <si>
    <t>承接 File B 引數。</t>
  </si>
  <si>
    <t>UserProfilePath</t>
  </si>
  <si>
    <t>使用者根目錄 (例如 C:\Users\Name)。</t>
  </si>
  <si>
    <t>DownloadsPath</t>
  </si>
  <si>
    <t>電腦的「下載」資料夾路徑。</t>
  </si>
  <si>
    <t>B. 檔案物件與資料表類</t>
  </si>
  <si>
    <t>DownloadedFileInfo</t>
  </si>
  <si>
    <t>System.IO.FileInfo</t>
  </si>
  <si>
    <t>抓取下載後的 CSV 檔案資訊。</t>
  </si>
  <si>
    <t>SheetNameList</t>
  </si>
  <si>
    <t>System.Collections.Generic.List&lt;String&gt;</t>
  </si>
  <si>
    <t>存取 CSV 的動態工作表名稱。</t>
  </si>
  <si>
    <t>NewData_Yao</t>
  </si>
  <si>
    <t>System.Data.DataTable</t>
  </si>
  <si>
    <t>暫存篩選後的 "窯" 新資料。</t>
  </si>
  <si>
    <t>NewData_IF</t>
  </si>
  <si>
    <t>暫存篩選後的 "IF" 新資料。</t>
  </si>
  <si>
    <t>dt_Analysis_Data</t>
    <phoneticPr fontId="2" type="noConversion"/>
  </si>
  <si>
    <t>跨檔(Analysis)處理與比對用的暫存表。</t>
    <phoneticPr fontId="2" type="noConversion"/>
  </si>
  <si>
    <t>dt_Col_J</t>
  </si>
  <si>
    <t>專門極速讀取 J 欄使用的暫存表。</t>
  </si>
  <si>
    <t>C. 日期與數字計算類</t>
  </si>
  <si>
    <t>LastTimestamp_Yao</t>
  </si>
  <si>
    <t>System.DateTime</t>
  </si>
  <si>
    <t>File A "窯" 的最後一筆時間 (含時分秒)。</t>
  </si>
  <si>
    <t>LastTime_Yao</t>
  </si>
  <si>
    <t>"窯" 的純日期 (00:00:00，網頁輸入用)。</t>
  </si>
  <si>
    <t>LastTimestamp_IF</t>
  </si>
  <si>
    <t>File A "IF" 的最後一筆時間 (含時分秒)。</t>
  </si>
  <si>
    <t>LastTime_IF</t>
  </si>
  <si>
    <t>"IF" 的純日期 (網頁輸入用)。</t>
  </si>
  <si>
    <t>LastRow_Yao</t>
  </si>
  <si>
    <t>Int32</t>
  </si>
  <si>
    <t>讀取時，"窯" 分頁的最後一列行號。</t>
  </si>
  <si>
    <t>LastRow_IF</t>
  </si>
  <si>
    <t>讀取時，"IF" 分頁的最後一列行號。</t>
  </si>
  <si>
    <t>CurrentLastRow_Yao</t>
  </si>
  <si>
    <t>寫入前，"窯" 分頁的最後一列行號。</t>
  </si>
  <si>
    <t>CurrentLastRow_IF</t>
  </si>
  <si>
    <t>寫入前，"IF" 分頁的最後一列行號。</t>
  </si>
  <si>
    <t>CurrentLastRow_SHP</t>
  </si>
  <si>
    <t>"SHP DATA" 分頁 (A~I 欄) 更新前的底線。</t>
  </si>
  <si>
    <t>NewLastRowIndex</t>
  </si>
  <si>
    <t>"窯" 更新後的最新底線 (等於 SHP DATA 的目標終點)。</t>
  </si>
  <si>
    <t>CurrentLastRow_J_Start</t>
  </si>
  <si>
    <t>"SHP DATA" J欄合併區塊的絕對起點。</t>
  </si>
  <si>
    <t>CurrentLastRow_J_End</t>
  </si>
  <si>
    <t>"SHP DATA" J欄合併區塊的絕對終點。</t>
  </si>
  <si>
    <t>AppendRowCount</t>
  </si>
  <si>
    <t>這次抓下來的新資料總筆數。</t>
  </si>
  <si>
    <t>D. 邏輯判斷類</t>
  </si>
  <si>
    <t>IsToggleOn</t>
  </si>
  <si>
    <t>Boolean</t>
  </si>
  <si>
    <t>檢查權限或網頁 Checkbox 的狀態。</t>
  </si>
  <si>
    <t>IsAskDownloadOn</t>
  </si>
  <si>
    <t>檢查 Edge「下載前詢問」是否開啟。</t>
  </si>
  <si>
    <t>🚀 第三部分：流程操作詳解與屬性設定 (Main Sequence)</t>
  </si>
  <si>
    <t>🛡️ 階段 0：安全前置 (環境清理)</t>
  </si>
  <si>
    <r>
      <t>1. 活動：</t>
    </r>
    <r>
      <rPr>
        <b/>
        <sz val="10"/>
        <color theme="1"/>
        <rFont val="微軟正黑體"/>
        <family val="2"/>
        <charset val="136"/>
      </rPr>
      <t>記錄訊息 (Log Message)</t>
    </r>
  </si>
  <si>
    <r>
      <t>Message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"流程開始，KF窯每日生產Data定例更新"</t>
    </r>
  </si>
  <si>
    <r>
      <t>Level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Info</t>
    </r>
  </si>
  <si>
    <r>
      <t>2. 活動：</t>
    </r>
    <r>
      <rPr>
        <b/>
        <sz val="10"/>
        <color theme="1"/>
        <rFont val="微軟正黑體"/>
        <family val="2"/>
        <charset val="136"/>
      </rPr>
      <t>序列 (Sequence)</t>
    </r>
    <r>
      <rPr>
        <b/>
        <sz val="11"/>
        <color theme="1"/>
        <rFont val="微軟正黑體"/>
        <family val="2"/>
        <charset val="136"/>
      </rPr>
      <t xml:space="preserve"> - 強制關閉干擾程序</t>
    </r>
  </si>
  <si>
    <r>
      <t>內部活動</t>
    </r>
    <r>
      <rPr>
        <sz val="11"/>
        <color theme="1"/>
        <rFont val="微軟正黑體"/>
        <family val="2"/>
        <charset val="136"/>
      </rPr>
      <t>：</t>
    </r>
    <r>
      <rPr>
        <sz val="10"/>
        <color theme="1"/>
        <rFont val="微軟正黑體"/>
        <family val="2"/>
        <charset val="136"/>
      </rPr>
      <t>終止程序 (Kill Process)</t>
    </r>
    <r>
      <rPr>
        <sz val="11"/>
        <color theme="1"/>
        <rFont val="微軟正黑體"/>
        <family val="2"/>
        <charset val="136"/>
      </rPr>
      <t xml:space="preserve"> (x2)</t>
    </r>
  </si>
  <si>
    <r>
      <t>ProcessName 1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"Excel"</t>
    </r>
    <r>
      <rPr>
        <sz val="11"/>
        <color theme="1"/>
        <rFont val="微軟正黑體"/>
        <family val="2"/>
        <charset val="136"/>
      </rPr>
      <t xml:space="preserve"> / </t>
    </r>
    <r>
      <rPr>
        <b/>
        <sz val="11"/>
        <color theme="1"/>
        <rFont val="微軟正黑體"/>
        <family val="2"/>
        <charset val="136"/>
      </rPr>
      <t>ContinueOnError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True</t>
    </r>
  </si>
  <si>
    <r>
      <t>ProcessName 2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"msedge"</t>
    </r>
    <r>
      <rPr>
        <sz val="11"/>
        <color theme="1"/>
        <rFont val="微軟正黑體"/>
        <family val="2"/>
        <charset val="136"/>
      </rPr>
      <t xml:space="preserve"> / </t>
    </r>
    <r>
      <rPr>
        <b/>
        <sz val="11"/>
        <color theme="1"/>
        <rFont val="微軟正黑體"/>
        <family val="2"/>
        <charset val="136"/>
      </rPr>
      <t>ContinueOnError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True</t>
    </r>
  </si>
  <si>
    <r>
      <t>3. 活動：</t>
    </r>
    <r>
      <rPr>
        <b/>
        <sz val="10"/>
        <color theme="1"/>
        <rFont val="微軟正黑體"/>
        <family val="2"/>
        <charset val="136"/>
      </rPr>
      <t>序列 (Sequence)</t>
    </r>
    <r>
      <rPr>
        <b/>
        <sz val="11"/>
        <color theme="1"/>
        <rFont val="微軟正黑體"/>
        <family val="2"/>
        <charset val="136"/>
      </rPr>
      <t xml:space="preserve"> - Edge 環境重置與設定</t>
    </r>
  </si>
  <si>
    <r>
      <t>外層</t>
    </r>
    <r>
      <rPr>
        <sz val="11"/>
        <color theme="1"/>
        <rFont val="微軟正黑體"/>
        <family val="2"/>
        <charset val="136"/>
      </rPr>
      <t>：</t>
    </r>
    <r>
      <rPr>
        <sz val="10"/>
        <color theme="1"/>
        <rFont val="微軟正黑體"/>
        <family val="2"/>
        <charset val="136"/>
      </rPr>
      <t>使用應用程式/瀏覽器 (Use Application/Browser)</t>
    </r>
  </si>
  <si>
    <r>
      <t>Url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"edge://extensions"</t>
    </r>
  </si>
  <si>
    <r>
      <t>Open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IfNotOpen</t>
    </r>
  </si>
  <si>
    <r>
      <t>Close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Always</t>
    </r>
  </si>
  <si>
    <r>
      <t>內部邏輯 1 (擴充功能權限)</t>
    </r>
    <r>
      <rPr>
        <sz val="11"/>
        <color theme="1"/>
        <rFont val="微軟正黑體"/>
        <family val="2"/>
        <charset val="136"/>
      </rPr>
      <t>：</t>
    </r>
  </si>
  <si>
    <r>
      <t>延遲 (Delay)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00:00:20</t>
    </r>
    <r>
      <rPr>
        <sz val="11"/>
        <color theme="1"/>
        <rFont val="微軟正黑體"/>
        <family val="2"/>
        <charset val="136"/>
      </rPr>
      <t>。</t>
    </r>
  </si>
  <si>
    <r>
      <t>移至 URL (Navigate Browser)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"edge://extensions"</t>
    </r>
    <r>
      <rPr>
        <sz val="11"/>
        <color theme="1"/>
        <rFont val="微軟正黑體"/>
        <family val="2"/>
        <charset val="136"/>
      </rPr>
      <t>。</t>
    </r>
  </si>
  <si>
    <r>
      <t>輸入資訊 (Type Into)</t>
    </r>
    <r>
      <rPr>
        <sz val="11"/>
        <color theme="1"/>
        <rFont val="微軟正黑體"/>
        <family val="2"/>
        <charset val="136"/>
      </rPr>
      <t xml:space="preserve">: Target: 搜尋欄, Text: </t>
    </r>
    <r>
      <rPr>
        <sz val="10"/>
        <color theme="1"/>
        <rFont val="微軟正黑體"/>
        <family val="2"/>
        <charset val="136"/>
      </rPr>
      <t>"UiPath"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>Input Mode: Simulate</t>
    </r>
    <r>
      <rPr>
        <sz val="11"/>
        <color theme="1"/>
        <rFont val="微軟正黑體"/>
        <family val="2"/>
        <charset val="136"/>
      </rPr>
      <t>。</t>
    </r>
  </si>
  <si>
    <r>
      <t>按一下 (Click)</t>
    </r>
    <r>
      <rPr>
        <sz val="11"/>
        <color theme="1"/>
        <rFont val="微軟正黑體"/>
        <family val="2"/>
        <charset val="136"/>
      </rPr>
      <t xml:space="preserve">: Target: </t>
    </r>
    <r>
      <rPr>
        <sz val="10"/>
        <color theme="1"/>
        <rFont val="微軟正黑體"/>
        <family val="2"/>
        <charset val="136"/>
      </rPr>
      <t>"詳細資料"</t>
    </r>
    <r>
      <rPr>
        <sz val="11"/>
        <color theme="1"/>
        <rFont val="微軟正黑體"/>
        <family val="2"/>
        <charset val="136"/>
      </rPr>
      <t xml:space="preserve"> (HardwareEvents)。</t>
    </r>
  </si>
  <si>
    <r>
      <t>取得屬性 (Get Attribute)</t>
    </r>
    <r>
      <rPr>
        <sz val="11"/>
        <color theme="1"/>
        <rFont val="微軟正黑體"/>
        <family val="2"/>
        <charset val="136"/>
      </rPr>
      <t xml:space="preserve">: Target: </t>
    </r>
    <r>
      <rPr>
        <sz val="10"/>
        <color theme="1"/>
        <rFont val="微軟正黑體"/>
        <family val="2"/>
        <charset val="136"/>
      </rPr>
      <t>"在 InPrivate 下允許"</t>
    </r>
    <r>
      <rPr>
        <sz val="11"/>
        <color theme="1"/>
        <rFont val="微軟正黑體"/>
        <family val="2"/>
        <charset val="136"/>
      </rPr>
      <t xml:space="preserve"> 開關, Attribute: </t>
    </r>
    <r>
      <rPr>
        <sz val="10"/>
        <color theme="1"/>
        <rFont val="微軟正黑體"/>
        <family val="2"/>
        <charset val="136"/>
      </rPr>
      <t>"checked"</t>
    </r>
    <r>
      <rPr>
        <sz val="11"/>
        <color theme="1"/>
        <rFont val="微軟正黑體"/>
        <family val="2"/>
        <charset val="136"/>
      </rPr>
      <t xml:space="preserve">, Save to: </t>
    </r>
    <r>
      <rPr>
        <sz val="10"/>
        <color theme="1"/>
        <rFont val="微軟正黑體"/>
        <family val="2"/>
        <charset val="136"/>
      </rPr>
      <t>IsToggleOn</t>
    </r>
    <r>
      <rPr>
        <sz val="11"/>
        <color theme="1"/>
        <rFont val="微軟正黑體"/>
        <family val="2"/>
        <charset val="136"/>
      </rPr>
      <t>。</t>
    </r>
  </si>
  <si>
    <r>
      <t>如果 (If)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Not IsToggleOn</t>
    </r>
    <r>
      <rPr>
        <sz val="11"/>
        <color theme="1"/>
        <rFont val="微軟正黑體"/>
        <family val="2"/>
        <charset val="136"/>
      </rPr>
      <t xml:space="preserve">) -&gt; </t>
    </r>
    <r>
      <rPr>
        <sz val="10"/>
        <color theme="1"/>
        <rFont val="微軟正黑體"/>
        <family val="2"/>
        <charset val="136"/>
      </rPr>
      <t>Then</t>
    </r>
    <r>
      <rPr>
        <sz val="11"/>
        <color theme="1"/>
        <rFont val="微軟正黑體"/>
        <family val="2"/>
        <charset val="136"/>
      </rPr>
      <t xml:space="preserve"> 執行 </t>
    </r>
    <r>
      <rPr>
        <sz val="10"/>
        <color theme="1"/>
        <rFont val="微軟正黑體"/>
        <family val="2"/>
        <charset val="136"/>
      </rPr>
      <t>按一下 (Click)</t>
    </r>
    <r>
      <rPr>
        <sz val="11"/>
        <color theme="1"/>
        <rFont val="微軟正黑體"/>
        <family val="2"/>
        <charset val="136"/>
      </rPr>
      <t xml:space="preserve"> (開啟開關) + </t>
    </r>
    <r>
      <rPr>
        <sz val="10"/>
        <color theme="1"/>
        <rFont val="微軟正黑體"/>
        <family val="2"/>
        <charset val="136"/>
      </rPr>
      <t>Log Message</t>
    </r>
    <r>
      <rPr>
        <sz val="11"/>
        <color theme="1"/>
        <rFont val="微軟正黑體"/>
        <family val="2"/>
        <charset val="136"/>
      </rPr>
      <t>。</t>
    </r>
  </si>
  <si>
    <r>
      <t>內部邏輯 2 (下載行為設定)</t>
    </r>
    <r>
      <rPr>
        <sz val="11"/>
        <color theme="1"/>
        <rFont val="微軟正黑體"/>
        <family val="2"/>
        <charset val="136"/>
      </rPr>
      <t>：</t>
    </r>
  </si>
  <si>
    <r>
      <t>延遲 (Delay)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00:00:10</t>
    </r>
    <r>
      <rPr>
        <sz val="11"/>
        <color theme="1"/>
        <rFont val="微軟正黑體"/>
        <family val="2"/>
        <charset val="136"/>
      </rPr>
      <t>。</t>
    </r>
  </si>
  <si>
    <r>
      <t>移至 URL (Navigate Browser)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"edge://settings/downloads"</t>
    </r>
    <r>
      <rPr>
        <sz val="11"/>
        <color theme="1"/>
        <rFont val="微軟正黑體"/>
        <family val="2"/>
        <charset val="136"/>
      </rPr>
      <t>。</t>
    </r>
  </si>
  <si>
    <r>
      <t>取得屬性 (Get Attribute)</t>
    </r>
    <r>
      <rPr>
        <sz val="11"/>
        <color theme="1"/>
        <rFont val="微軟正黑體"/>
        <family val="2"/>
        <charset val="136"/>
      </rPr>
      <t xml:space="preserve">: Target: </t>
    </r>
    <r>
      <rPr>
        <sz val="10"/>
        <color theme="1"/>
        <rFont val="微軟正黑體"/>
        <family val="2"/>
        <charset val="136"/>
      </rPr>
      <t>"下載前詢問每個檔案的儲存位置"</t>
    </r>
    <r>
      <rPr>
        <sz val="11"/>
        <color theme="1"/>
        <rFont val="微軟正黑體"/>
        <family val="2"/>
        <charset val="136"/>
      </rPr>
      <t xml:space="preserve"> 開關, Attribute: </t>
    </r>
    <r>
      <rPr>
        <sz val="10"/>
        <color theme="1"/>
        <rFont val="微軟正黑體"/>
        <family val="2"/>
        <charset val="136"/>
      </rPr>
      <t>"checked"</t>
    </r>
    <r>
      <rPr>
        <sz val="11"/>
        <color theme="1"/>
        <rFont val="微軟正黑體"/>
        <family val="2"/>
        <charset val="136"/>
      </rPr>
      <t xml:space="preserve">, Save to: </t>
    </r>
    <r>
      <rPr>
        <sz val="10"/>
        <color theme="1"/>
        <rFont val="微軟正黑體"/>
        <family val="2"/>
        <charset val="136"/>
      </rPr>
      <t>IsAskDownloadOn</t>
    </r>
    <r>
      <rPr>
        <sz val="11"/>
        <color theme="1"/>
        <rFont val="微軟正黑體"/>
        <family val="2"/>
        <charset val="136"/>
      </rPr>
      <t>。</t>
    </r>
  </si>
  <si>
    <r>
      <t>如果 (If)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IsAskDownloadOn</t>
    </r>
    <r>
      <rPr>
        <sz val="11"/>
        <color theme="1"/>
        <rFont val="微軟正黑體"/>
        <family val="2"/>
        <charset val="136"/>
      </rPr>
      <t xml:space="preserve">) -&gt; </t>
    </r>
    <r>
      <rPr>
        <sz val="10"/>
        <color theme="1"/>
        <rFont val="微軟正黑體"/>
        <family val="2"/>
        <charset val="136"/>
      </rPr>
      <t>Then</t>
    </r>
    <r>
      <rPr>
        <sz val="11"/>
        <color theme="1"/>
        <rFont val="微軟正黑體"/>
        <family val="2"/>
        <charset val="136"/>
      </rPr>
      <t xml:space="preserve"> 執行 </t>
    </r>
    <r>
      <rPr>
        <sz val="10"/>
        <color theme="1"/>
        <rFont val="微軟正黑體"/>
        <family val="2"/>
        <charset val="136"/>
      </rPr>
      <t>按一下 (Click)</t>
    </r>
    <r>
      <rPr>
        <sz val="11"/>
        <color theme="1"/>
        <rFont val="微軟正黑體"/>
        <family val="2"/>
        <charset val="136"/>
      </rPr>
      <t xml:space="preserve"> (關閉它) + </t>
    </r>
    <r>
      <rPr>
        <sz val="10"/>
        <color theme="1"/>
        <rFont val="微軟正黑體"/>
        <family val="2"/>
        <charset val="136"/>
      </rPr>
      <t>Log Message</t>
    </r>
    <r>
      <rPr>
        <sz val="11"/>
        <color theme="1"/>
        <rFont val="微軟正黑體"/>
        <family val="2"/>
        <charset val="136"/>
      </rPr>
      <t>。</t>
    </r>
  </si>
  <si>
    <r>
      <t>後置動作</t>
    </r>
    <r>
      <rPr>
        <sz val="11"/>
        <color theme="1"/>
        <rFont val="微軟正黑體"/>
        <family val="2"/>
        <charset val="136"/>
      </rPr>
      <t xml:space="preserve">：跳出瀏覽器活動後，再次執行 </t>
    </r>
    <r>
      <rPr>
        <sz val="10"/>
        <color theme="1"/>
        <rFont val="微軟正黑體"/>
        <family val="2"/>
        <charset val="136"/>
      </rPr>
      <t>終止程序 (Kill Process)</t>
    </r>
    <r>
      <rPr>
        <sz val="11"/>
        <color theme="1"/>
        <rFont val="微軟正黑體"/>
        <family val="2"/>
        <charset val="136"/>
      </rPr>
      <t xml:space="preserve"> </t>
    </r>
    <r>
      <rPr>
        <sz val="10"/>
        <color theme="1"/>
        <rFont val="微軟正黑體"/>
        <family val="2"/>
        <charset val="136"/>
      </rPr>
      <t>"msedge"</t>
    </r>
    <r>
      <rPr>
        <sz val="11"/>
        <color theme="1"/>
        <rFont val="微軟正黑體"/>
        <family val="2"/>
        <charset val="136"/>
      </rPr>
      <t>，確保設定生效且環境淨空。</t>
    </r>
  </si>
  <si>
    <t>🅰️ 階段 A：初始設定</t>
  </si>
  <si>
    <r>
      <t>1. 活動：</t>
    </r>
    <r>
      <rPr>
        <b/>
        <sz val="10"/>
        <color theme="1"/>
        <rFont val="微軟正黑體"/>
        <family val="2"/>
        <charset val="136"/>
      </rPr>
      <t>啟動程序 (Start Process)</t>
    </r>
  </si>
  <si>
    <r>
      <t>FileName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in_BoxDrivePath</t>
    </r>
  </si>
  <si>
    <r>
      <t>2. 活動：</t>
    </r>
    <r>
      <rPr>
        <b/>
        <sz val="10"/>
        <color theme="1"/>
        <rFont val="微軟正黑體"/>
        <family val="2"/>
        <charset val="136"/>
      </rPr>
      <t>延遲 (Delay)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00:00:10</t>
    </r>
  </si>
  <si>
    <r>
      <t>3. 活動：</t>
    </r>
    <r>
      <rPr>
        <b/>
        <sz val="10"/>
        <color theme="1"/>
        <rFont val="微軟正黑體"/>
        <family val="2"/>
        <charset val="136"/>
      </rPr>
      <t>終止程序 (Kill Process)</t>
    </r>
  </si>
  <si>
    <r>
      <t>ProcessName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"explorer"</t>
    </r>
    <r>
      <rPr>
        <sz val="11"/>
        <color theme="1"/>
        <rFont val="微軟正黑體"/>
        <family val="2"/>
        <charset val="136"/>
      </rPr>
      <t xml:space="preserve"> (原理：直接關閉 Box 彈出的檔案總管)。</t>
    </r>
  </si>
  <si>
    <r>
      <t>4. 活動：</t>
    </r>
    <r>
      <rPr>
        <b/>
        <sz val="10"/>
        <color theme="1"/>
        <rFont val="微軟正黑體"/>
        <family val="2"/>
        <charset val="136"/>
      </rPr>
      <t>指派 (Assign)</t>
    </r>
    <r>
      <rPr>
        <b/>
        <sz val="11"/>
        <color theme="1"/>
        <rFont val="微軟正黑體"/>
        <family val="2"/>
        <charset val="136"/>
      </rPr>
      <t xml:space="preserve"> (組合下載路徑)</t>
    </r>
  </si>
  <si>
    <r>
      <t>UserProfilePath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System.Environment.GetFolderPath(System.Environment.SpecialFolder.UserProfile)</t>
    </r>
  </si>
  <si>
    <r>
      <t>DownloadsPath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System.IO.Path.Combine(UserProfilePath, "Downloads")</t>
    </r>
  </si>
  <si>
    <r>
      <t>5. 活動：</t>
    </r>
    <r>
      <rPr>
        <b/>
        <sz val="10"/>
        <color theme="1"/>
        <rFont val="微軟正黑體"/>
        <family val="2"/>
        <charset val="136"/>
      </rPr>
      <t>取得憑證 (Get Robot Credential)</t>
    </r>
  </si>
  <si>
    <r>
      <t>AssetName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in_CredentialName</t>
    </r>
    <r>
      <rPr>
        <sz val="11"/>
        <color theme="1"/>
        <rFont val="微軟正黑體"/>
        <family val="2"/>
        <charset val="136"/>
      </rPr>
      <t xml:space="preserve"> -&gt; 輸出 </t>
    </r>
    <r>
      <rPr>
        <sz val="10"/>
        <color theme="1"/>
        <rFont val="微軟正黑體"/>
        <family val="2"/>
        <charset val="136"/>
      </rPr>
      <t>Username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Password</t>
    </r>
    <r>
      <rPr>
        <sz val="11"/>
        <color theme="1"/>
        <rFont val="微軟正黑體"/>
        <family val="2"/>
        <charset val="136"/>
      </rPr>
      <t>。</t>
    </r>
  </si>
  <si>
    <r>
      <t>6. 活動：</t>
    </r>
    <r>
      <rPr>
        <b/>
        <sz val="10"/>
        <color theme="1"/>
        <rFont val="微軟正黑體"/>
        <family val="2"/>
        <charset val="136"/>
      </rPr>
      <t>指派 (Assign)</t>
    </r>
    <r>
      <rPr>
        <b/>
        <sz val="11"/>
        <color theme="1"/>
        <rFont val="微軟正黑體"/>
        <family val="2"/>
        <charset val="136"/>
      </rPr>
      <t xml:space="preserve"> (檔案路徑)</t>
    </r>
  </si>
  <si>
    <r>
      <t>FileA_FullPath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in_FileA_Path</t>
    </r>
  </si>
  <si>
    <r>
      <t>FileB_FullPath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in_FileB_Path</t>
    </r>
  </si>
  <si>
    <t>🅱️ 階段 B：處理『窯』數據</t>
  </si>
  <si>
    <t>1. 登入 GIKAI ISOP</t>
  </si>
  <si>
    <r>
      <t>活動：</t>
    </r>
    <r>
      <rPr>
        <b/>
        <sz val="10"/>
        <color theme="1"/>
        <rFont val="微軟正黑體"/>
        <family val="2"/>
        <charset val="136"/>
      </rPr>
      <t>使用應用程式/瀏覽器 (Use Application/Browser)</t>
    </r>
  </si>
  <si>
    <r>
      <t>Url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in_ISOP_URL</t>
    </r>
  </si>
  <si>
    <r>
      <t>Incognito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 xml:space="preserve"> (無痕模式)</t>
    </r>
  </si>
  <si>
    <r>
      <t>Arguments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"--hide-crash-restore-bubble"</t>
    </r>
  </si>
  <si>
    <r>
      <t>內部</t>
    </r>
    <r>
      <rPr>
        <sz val="11"/>
        <color theme="1"/>
        <rFont val="微軟正黑體"/>
        <family val="2"/>
        <charset val="136"/>
      </rPr>
      <t>：</t>
    </r>
    <r>
      <rPr>
        <sz val="10"/>
        <color theme="1"/>
        <rFont val="微軟正黑體"/>
        <family val="2"/>
        <charset val="136"/>
      </rPr>
      <t>輸入資訊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Username</t>
    </r>
    <r>
      <rPr>
        <sz val="11"/>
        <color theme="1"/>
        <rFont val="微軟正黑體"/>
        <family val="2"/>
        <charset val="136"/>
      </rPr>
      <t xml:space="preserve">) -&gt; </t>
    </r>
    <r>
      <rPr>
        <sz val="10"/>
        <color theme="1"/>
        <rFont val="微軟正黑體"/>
        <family val="2"/>
        <charset val="136"/>
      </rPr>
      <t>輸入安全文字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Password</t>
    </r>
    <r>
      <rPr>
        <sz val="11"/>
        <color theme="1"/>
        <rFont val="微軟正黑體"/>
        <family val="2"/>
        <charset val="136"/>
      </rPr>
      <t xml:space="preserve">) -&gt; </t>
    </r>
    <r>
      <rPr>
        <sz val="10"/>
        <color theme="1"/>
        <rFont val="微軟正黑體"/>
        <family val="2"/>
        <charset val="136"/>
      </rPr>
      <t>按一下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Log in</t>
    </r>
    <r>
      <rPr>
        <sz val="11"/>
        <color theme="1"/>
        <rFont val="微軟正黑體"/>
        <family val="2"/>
        <charset val="136"/>
      </rPr>
      <t xml:space="preserve">)，皆使用 </t>
    </r>
    <r>
      <rPr>
        <b/>
        <sz val="11"/>
        <color theme="1"/>
        <rFont val="微軟正黑體"/>
        <family val="2"/>
        <charset val="136"/>
      </rPr>
      <t>Simulate</t>
    </r>
    <r>
      <rPr>
        <sz val="11"/>
        <color theme="1"/>
        <rFont val="微軟正黑體"/>
        <family val="2"/>
        <charset val="136"/>
      </rPr>
      <t xml:space="preserve"> 模式。</t>
    </r>
  </si>
  <si>
    <t>2. 讀取上次更新時間與精度校正</t>
  </si>
  <si>
    <r>
      <t>活動：</t>
    </r>
    <r>
      <rPr>
        <b/>
        <sz val="10"/>
        <color theme="1"/>
        <rFont val="微軟正黑體"/>
        <family val="2"/>
        <charset val="136"/>
      </rPr>
      <t>Excel 程序範圍 (Excel Process Scope)</t>
    </r>
  </si>
  <si>
    <r>
      <t>ExistingProcessAction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ForceKill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>ShowExcelWindow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False</t>
    </r>
  </si>
  <si>
    <r>
      <t>內部</t>
    </r>
    <r>
      <rPr>
        <sz val="11"/>
        <color theme="1"/>
        <rFont val="微軟正黑體"/>
        <family val="2"/>
        <charset val="136"/>
      </rPr>
      <t>：</t>
    </r>
    <r>
      <rPr>
        <sz val="10"/>
        <color theme="1"/>
        <rFont val="微軟正黑體"/>
        <family val="2"/>
        <charset val="136"/>
      </rPr>
      <t>使用 Excel 檔案 (Use Excel File)</t>
    </r>
    <r>
      <rPr>
        <sz val="11"/>
        <color theme="1"/>
        <rFont val="微軟正黑體"/>
        <family val="2"/>
        <charset val="136"/>
      </rPr>
      <t xml:space="preserve"> (File: </t>
    </r>
    <r>
      <rPr>
        <sz val="10"/>
        <color theme="1"/>
        <rFont val="微軟正黑體"/>
        <family val="2"/>
        <charset val="136"/>
      </rPr>
      <t>FileA_FullPath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>)</t>
    </r>
  </si>
  <si>
    <r>
      <t>1. 尋找第一列/最後一列資料 (Find First/Last Data Row)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"窯"</t>
    </r>
    <r>
      <rPr>
        <sz val="11"/>
        <color theme="1"/>
        <rFont val="微軟正黑體"/>
        <family val="2"/>
        <charset val="136"/>
      </rPr>
      <t xml:space="preserve">, Config </t>
    </r>
    <r>
      <rPr>
        <sz val="10"/>
        <color theme="1"/>
        <rFont val="微軟正黑體"/>
        <family val="2"/>
        <charset val="136"/>
      </rPr>
      <t>Last populated row</t>
    </r>
    <r>
      <rPr>
        <sz val="11"/>
        <color theme="1"/>
        <rFont val="微軟正黑體"/>
        <family val="2"/>
        <charset val="136"/>
      </rPr>
      <t xml:space="preserve">, Col </t>
    </r>
    <r>
      <rPr>
        <sz val="10"/>
        <color theme="1"/>
        <rFont val="微軟正黑體"/>
        <family val="2"/>
        <charset val="136"/>
      </rPr>
      <t>"A"</t>
    </r>
    <r>
      <rPr>
        <sz val="11"/>
        <color theme="1"/>
        <rFont val="微軟正黑體"/>
        <family val="2"/>
        <charset val="136"/>
      </rPr>
      <t xml:space="preserve"> -&gt; 存為 </t>
    </r>
    <r>
      <rPr>
        <sz val="10"/>
        <color theme="1"/>
        <rFont val="微軟正黑體"/>
        <family val="2"/>
        <charset val="136"/>
      </rPr>
      <t>LastRow_Yao</t>
    </r>
    <r>
      <rPr>
        <sz val="11"/>
        <color theme="1"/>
        <rFont val="微軟正黑體"/>
        <family val="2"/>
        <charset val="136"/>
      </rPr>
      <t>。</t>
    </r>
  </si>
  <si>
    <r>
      <t>2. 讀取儲存格的值 (Read Cell Value)</t>
    </r>
    <r>
      <rPr>
        <sz val="11"/>
        <color theme="1"/>
        <rFont val="微軟正黑體"/>
        <family val="2"/>
        <charset val="136"/>
      </rPr>
      <t xml:space="preserve">: Cell </t>
    </r>
    <r>
      <rPr>
        <sz val="10"/>
        <color theme="1"/>
        <rFont val="微軟正黑體"/>
        <family val="2"/>
        <charset val="136"/>
      </rPr>
      <t>"A" + LastRow_Yao.ToString</t>
    </r>
    <r>
      <rPr>
        <sz val="11"/>
        <color theme="1"/>
        <rFont val="微軟正黑體"/>
        <family val="2"/>
        <charset val="136"/>
      </rPr>
      <t xml:space="preserve">, Save to </t>
    </r>
    <r>
      <rPr>
        <sz val="10"/>
        <color theme="1"/>
        <rFont val="微軟正黑體"/>
        <family val="2"/>
        <charset val="136"/>
      </rPr>
      <t>LastTimestamp_Yao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Get formatted text: </t>
    </r>
    <r>
      <rPr>
        <b/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>。</t>
    </r>
  </si>
  <si>
    <r>
      <t>3. 指派 (Assign)</t>
    </r>
    <r>
      <rPr>
        <b/>
        <sz val="11"/>
        <color theme="1"/>
        <rFont val="微軟正黑體"/>
        <family val="2"/>
        <charset val="136"/>
      </rPr>
      <t xml:space="preserve"> (✨時間校正魔法)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LastTimestamp_Yao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If(LastTimestamp_Yao.Second &gt;= 30, LastTimestamp_Yao.AddSeconds(60 - LastTimestamp_Yao.Second), LastTimestamp_Yao.AddSeconds(-LastTimestamp_Yao.Second))</t>
    </r>
  </si>
  <si>
    <r>
      <t>活動：</t>
    </r>
    <r>
      <rPr>
        <b/>
        <sz val="10"/>
        <color theme="1"/>
        <rFont val="微軟正黑體"/>
        <family val="2"/>
        <charset val="136"/>
      </rPr>
      <t>指派 (Assign)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LastTime_Yao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LastTimestamp_Yao.Date</t>
    </r>
    <r>
      <rPr>
        <sz val="11"/>
        <color theme="1"/>
        <rFont val="微軟正黑體"/>
        <family val="2"/>
        <charset val="136"/>
      </rPr>
      <t>。</t>
    </r>
  </si>
  <si>
    <t>3. 網頁操作與下載</t>
  </si>
  <si>
    <r>
      <t>活動：</t>
    </r>
    <r>
      <rPr>
        <b/>
        <sz val="10"/>
        <color theme="1"/>
        <rFont val="微軟正黑體"/>
        <family val="2"/>
        <charset val="136"/>
      </rPr>
      <t>針對資料夾中的每一個檔案 (For Each File in Folder)</t>
    </r>
    <r>
      <rPr>
        <sz val="11"/>
        <color theme="1"/>
        <rFont val="微軟正黑體"/>
        <family val="2"/>
        <charset val="136"/>
      </rPr>
      <t xml:space="preserve"> -&gt; 清空 </t>
    </r>
    <r>
      <rPr>
        <sz val="10"/>
        <color theme="1"/>
        <rFont val="微軟正黑體"/>
        <family val="2"/>
        <charset val="136"/>
      </rPr>
      <t>DownloadsPath</t>
    </r>
    <r>
      <rPr>
        <sz val="11"/>
        <color theme="1"/>
        <rFont val="微軟正黑體"/>
        <family val="2"/>
        <charset val="136"/>
      </rPr>
      <t xml:space="preserve"> 內的檔案 (</t>
    </r>
    <r>
      <rPr>
        <sz val="10"/>
        <color theme="1"/>
        <rFont val="微軟正黑體"/>
        <family val="2"/>
        <charset val="136"/>
      </rPr>
      <t>Delete File</t>
    </r>
    <r>
      <rPr>
        <sz val="11"/>
        <color theme="1"/>
        <rFont val="微軟正黑體"/>
        <family val="2"/>
        <charset val="136"/>
      </rPr>
      <t>)。</t>
    </r>
  </si>
  <si>
    <r>
      <t>活動：</t>
    </r>
    <r>
      <rPr>
        <b/>
        <sz val="10"/>
        <color theme="1"/>
        <rFont val="微軟正黑體"/>
        <family val="2"/>
        <charset val="136"/>
      </rPr>
      <t>使用應用程式/瀏覽器 (Use Application/Browser)</t>
    </r>
    <r>
      <rPr>
        <sz val="11"/>
        <color theme="1"/>
        <rFont val="微軟正黑體"/>
        <family val="2"/>
        <charset val="136"/>
      </rPr>
      <t xml:space="preserve"> (附著剛登入的網頁)</t>
    </r>
  </si>
  <si>
    <r>
      <t>按一下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"KF"</t>
    </r>
    <r>
      <rPr>
        <sz val="11"/>
        <color theme="1"/>
        <rFont val="微軟正黑體"/>
        <family val="2"/>
        <charset val="136"/>
      </rPr>
      <t xml:space="preserve"> Radio Button。</t>
    </r>
  </si>
  <si>
    <r>
      <t>輸入資訊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"日期"</t>
    </r>
    <r>
      <rPr>
        <sz val="11"/>
        <color theme="1"/>
        <rFont val="微軟正黑體"/>
        <family val="2"/>
        <charset val="136"/>
      </rPr>
      <t xml:space="preserve">，Text: </t>
    </r>
    <r>
      <rPr>
        <sz val="10"/>
        <color theme="1"/>
        <rFont val="微軟正黑體"/>
        <family val="2"/>
        <charset val="136"/>
      </rPr>
      <t>LastTime_Yao.ToString("yyyy") + "[k(right)]" + ...</t>
    </r>
    <r>
      <rPr>
        <sz val="11"/>
        <color theme="1"/>
        <rFont val="微軟正黑體"/>
        <family val="2"/>
        <charset val="136"/>
      </rPr>
      <t>，</t>
    </r>
    <r>
      <rPr>
        <b/>
        <sz val="11"/>
        <color theme="1"/>
        <rFont val="微軟正黑體"/>
        <family val="2"/>
        <charset val="136"/>
      </rPr>
      <t>Input Mode: HardwareEvents</t>
    </r>
    <r>
      <rPr>
        <sz val="11"/>
        <color theme="1"/>
        <rFont val="微軟正黑體"/>
        <family val="2"/>
        <charset val="136"/>
      </rPr>
      <t>。</t>
    </r>
  </si>
  <si>
    <r>
      <t>按一下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"1 Hour ave"</t>
    </r>
    <r>
      <rPr>
        <sz val="11"/>
        <color theme="1"/>
        <rFont val="微軟正黑體"/>
        <family val="2"/>
        <charset val="136"/>
      </rPr>
      <t xml:space="preserve"> Checkbox。</t>
    </r>
  </si>
  <si>
    <r>
      <t>等待下載 (Wait for Download)</t>
    </r>
    <r>
      <rPr>
        <sz val="11"/>
        <color theme="1"/>
        <rFont val="微軟正黑體"/>
        <family val="2"/>
        <charset val="136"/>
      </rPr>
      <t xml:space="preserve">: Monitor folder </t>
    </r>
    <r>
      <rPr>
        <sz val="10"/>
        <color theme="1"/>
        <rFont val="微軟正黑體"/>
        <family val="2"/>
        <charset val="136"/>
      </rPr>
      <t>DownloadsPath</t>
    </r>
    <r>
      <rPr>
        <sz val="11"/>
        <color theme="1"/>
        <rFont val="微軟正黑體"/>
        <family val="2"/>
        <charset val="136"/>
      </rPr>
      <t xml:space="preserve">, Downloaded file </t>
    </r>
    <r>
      <rPr>
        <sz val="10"/>
        <color theme="1"/>
        <rFont val="微軟正黑體"/>
        <family val="2"/>
        <charset val="136"/>
      </rPr>
      <t>DownloadedFileInfo</t>
    </r>
    <r>
      <rPr>
        <sz val="11"/>
        <color theme="1"/>
        <rFont val="微軟正黑體"/>
        <family val="2"/>
        <charset val="136"/>
      </rPr>
      <t>。</t>
    </r>
  </si>
  <si>
    <r>
      <t>內部 (Body)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按一下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"Get Data"</t>
    </r>
    <r>
      <rPr>
        <sz val="11"/>
        <color theme="1"/>
        <rFont val="微軟正黑體"/>
        <family val="2"/>
        <charset val="136"/>
      </rPr>
      <t xml:space="preserve"> 按鈕。</t>
    </r>
  </si>
  <si>
    <t>4. 篩選與讀取 (CSV)</t>
  </si>
  <si>
    <r>
      <t>活動：</t>
    </r>
    <r>
      <rPr>
        <b/>
        <sz val="10"/>
        <color theme="1"/>
        <rFont val="微軟正黑體"/>
        <family val="2"/>
        <charset val="136"/>
      </rPr>
      <t>Excel 程序範圍</t>
    </r>
    <r>
      <rPr>
        <sz val="11"/>
        <color theme="1"/>
        <rFont val="微軟正黑體"/>
        <family val="2"/>
        <charset val="136"/>
      </rPr>
      <t xml:space="preserve"> (Action: </t>
    </r>
    <r>
      <rPr>
        <sz val="10"/>
        <color theme="1"/>
        <rFont val="微軟正黑體"/>
        <family val="2"/>
        <charset val="136"/>
      </rPr>
      <t>None</t>
    </r>
    <r>
      <rPr>
        <sz val="11"/>
        <color theme="1"/>
        <rFont val="微軟正黑體"/>
        <family val="2"/>
        <charset val="136"/>
      </rPr>
      <t>)</t>
    </r>
  </si>
  <si>
    <r>
      <t>活動：</t>
    </r>
    <r>
      <rPr>
        <b/>
        <sz val="10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 xml:space="preserve"> (File: </t>
    </r>
    <r>
      <rPr>
        <sz val="10"/>
        <color theme="1"/>
        <rFont val="微軟正黑體"/>
        <family val="2"/>
        <charset val="136"/>
      </rPr>
      <t>DownloadedFileInfo.FullName</t>
    </r>
    <r>
      <rPr>
        <sz val="11"/>
        <color theme="1"/>
        <rFont val="微軟正黑體"/>
        <family val="2"/>
        <charset val="136"/>
      </rPr>
      <t xml:space="preserve">, Reference: </t>
    </r>
    <r>
      <rPr>
        <sz val="10"/>
        <color theme="1"/>
        <rFont val="微軟正黑體"/>
        <family val="2"/>
        <charset val="136"/>
      </rPr>
      <t>SourceCSV_窯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>)</t>
    </r>
  </si>
  <si>
    <r>
      <t>1. 取得活頁簿工作表 (Get Workbook Sheets)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SheetNameList</t>
    </r>
  </si>
  <si>
    <r>
      <t>2. 篩選 (Filter)</t>
    </r>
    <r>
      <rPr>
        <sz val="11"/>
        <color theme="1"/>
        <rFont val="微軟正黑體"/>
        <family val="2"/>
        <charset val="136"/>
      </rPr>
      <t>:</t>
    </r>
  </si>
  <si>
    <r>
      <t xml:space="preserve">Range: </t>
    </r>
    <r>
      <rPr>
        <sz val="10"/>
        <color theme="1"/>
        <rFont val="微軟正黑體"/>
        <family val="2"/>
        <charset val="136"/>
      </rPr>
      <t>SourceCSV_窯.Sheet(SheetNameList(0))</t>
    </r>
  </si>
  <si>
    <r>
      <t xml:space="preserve">Column Name: </t>
    </r>
    <r>
      <rPr>
        <sz val="10"/>
        <color theme="1"/>
        <rFont val="微軟正黑體"/>
        <family val="2"/>
        <charset val="136"/>
      </rPr>
      <t>System.IO.Path.GetFileNameWithoutExtension(DownloadedFileInfo.Name)</t>
    </r>
  </si>
  <si>
    <r>
      <t xml:space="preserve">Condition: </t>
    </r>
    <r>
      <rPr>
        <sz val="10"/>
        <color theme="1"/>
        <rFont val="微軟正黑體"/>
        <family val="2"/>
        <charset val="136"/>
      </rPr>
      <t>&gt;</t>
    </r>
    <r>
      <rPr>
        <sz val="11"/>
        <color theme="1"/>
        <rFont val="微軟正黑體"/>
        <family val="2"/>
        <charset val="136"/>
      </rPr>
      <t xml:space="preserve"> </t>
    </r>
    <r>
      <rPr>
        <sz val="10"/>
        <color theme="1"/>
        <rFont val="微軟正黑體"/>
        <family val="2"/>
        <charset val="136"/>
      </rPr>
      <t>LastTimestamp_Yao.ToString("yyyy/MM/dd HH:mm")</t>
    </r>
  </si>
  <si>
    <r>
      <t>3. 讀取範圍 (Read Range)</t>
    </r>
    <r>
      <rPr>
        <sz val="11"/>
        <color theme="1"/>
        <rFont val="微軟正黑體"/>
        <family val="2"/>
        <charset val="136"/>
      </rPr>
      <t xml:space="preserve">: Range同上, Save to </t>
    </r>
    <r>
      <rPr>
        <sz val="10"/>
        <color theme="1"/>
        <rFont val="微軟正黑體"/>
        <family val="2"/>
        <charset val="136"/>
      </rPr>
      <t>NewData_Yao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Visible rows only: </t>
    </r>
    <r>
      <rPr>
        <b/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。</t>
    </r>
  </si>
  <si>
    <t>5. 寫回主檔 (Temp 暫存法)</t>
  </si>
  <si>
    <r>
      <t>活動：</t>
    </r>
    <r>
      <rPr>
        <b/>
        <sz val="10"/>
        <color theme="1"/>
        <rFont val="微軟正黑體"/>
        <family val="2"/>
        <charset val="136"/>
      </rPr>
      <t>如果 (If)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NewData_Yao IsNot Nothing AndAlso NewData_Yao.Rows.Count &gt; 0</t>
    </r>
  </si>
  <si>
    <r>
      <t>Then</t>
    </r>
    <r>
      <rPr>
        <sz val="11"/>
        <color theme="1"/>
        <rFont val="微軟正黑體"/>
        <family val="2"/>
        <charset val="136"/>
      </rPr>
      <t>:</t>
    </r>
  </si>
  <si>
    <r>
      <t>1. Excel 程序範圍</t>
    </r>
    <r>
      <rPr>
        <sz val="11"/>
        <color theme="1"/>
        <rFont val="微軟正黑體"/>
        <family val="2"/>
        <charset val="136"/>
      </rPr>
      <t xml:space="preserve"> (Action: </t>
    </r>
    <r>
      <rPr>
        <sz val="10"/>
        <color theme="1"/>
        <rFont val="微軟正黑體"/>
        <family val="2"/>
        <charset val="136"/>
      </rPr>
      <t>ForceKill</t>
    </r>
    <r>
      <rPr>
        <sz val="11"/>
        <color theme="1"/>
        <rFont val="微軟正黑體"/>
        <family val="2"/>
        <charset val="136"/>
      </rPr>
      <t xml:space="preserve">, ShowWindow: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</t>
    </r>
  </si>
  <si>
    <r>
      <t>使用 Excel 檔案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FileA_FullPath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</t>
    </r>
  </si>
  <si>
    <r>
      <t>尋找第一列/最後一列資料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"窯"</t>
    </r>
    <r>
      <rPr>
        <sz val="11"/>
        <color theme="1"/>
        <rFont val="微軟正黑體"/>
        <family val="2"/>
        <charset val="136"/>
      </rPr>
      <t xml:space="preserve">, Col </t>
    </r>
    <r>
      <rPr>
        <sz val="10"/>
        <color theme="1"/>
        <rFont val="微軟正黑體"/>
        <family val="2"/>
        <charset val="136"/>
      </rPr>
      <t>"A"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CurrentLastRow_Yao</t>
    </r>
    <r>
      <rPr>
        <sz val="11"/>
        <color theme="1"/>
        <rFont val="微軟正黑體"/>
        <family val="2"/>
        <charset val="136"/>
      </rPr>
      <t>.</t>
    </r>
  </si>
  <si>
    <r>
      <t>將資料表寫入 Excel (Write Range)</t>
    </r>
    <r>
      <rPr>
        <sz val="11"/>
        <color theme="1"/>
        <rFont val="微軟正黑體"/>
        <family val="2"/>
        <charset val="136"/>
      </rPr>
      <t xml:space="preserve">: Source </t>
    </r>
    <r>
      <rPr>
        <sz val="10"/>
        <color theme="1"/>
        <rFont val="微軟正黑體"/>
        <family val="2"/>
        <charset val="136"/>
      </rPr>
      <t>NewData_Yao</t>
    </r>
    <r>
      <rPr>
        <sz val="11"/>
        <color theme="1"/>
        <rFont val="微軟正黑體"/>
        <family val="2"/>
        <charset val="136"/>
      </rPr>
      <t xml:space="preserve">, Dest </t>
    </r>
    <r>
      <rPr>
        <sz val="10"/>
        <color theme="1"/>
        <rFont val="微軟正黑體"/>
        <family val="2"/>
        <charset val="136"/>
      </rPr>
      <t>Excel.Sheet("Temp_窯")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ExcludeHeaders: </t>
    </r>
    <r>
      <rPr>
        <b/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.</t>
    </r>
  </si>
  <si>
    <r>
      <t>複製/貼上範圍 (Copy Paste Range)</t>
    </r>
    <r>
      <rPr>
        <sz val="11"/>
        <color theme="1"/>
        <rFont val="微軟正黑體"/>
        <family val="2"/>
        <charset val="136"/>
      </rPr>
      <t xml:space="preserve">: Source </t>
    </r>
    <r>
      <rPr>
        <sz val="10"/>
        <color theme="1"/>
        <rFont val="微軟正黑體"/>
        <family val="2"/>
        <charset val="136"/>
      </rPr>
      <t>Excel.Sheet("Temp_窯")</t>
    </r>
    <r>
      <rPr>
        <sz val="11"/>
        <color theme="1"/>
        <rFont val="微軟正黑體"/>
        <family val="2"/>
        <charset val="136"/>
      </rPr>
      <t xml:space="preserve">, Dest </t>
    </r>
    <r>
      <rPr>
        <sz val="10"/>
        <color theme="1"/>
        <rFont val="微軟正黑體"/>
        <family val="2"/>
        <charset val="136"/>
      </rPr>
      <t>Excel.Sheet("窯").Range("A" + (CurrentLastRow_Yao + 1).ToString)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PasteOptions: </t>
    </r>
    <r>
      <rPr>
        <b/>
        <sz val="10"/>
        <color theme="1"/>
        <rFont val="微軟正黑體"/>
        <family val="2"/>
        <charset val="136"/>
      </rPr>
      <t>All</t>
    </r>
    <r>
      <rPr>
        <sz val="11"/>
        <color theme="1"/>
        <rFont val="微軟正黑體"/>
        <family val="2"/>
        <charset val="136"/>
      </rPr>
      <t>.</t>
    </r>
  </si>
  <si>
    <r>
      <t>刪除工作表 (Delete Sheet)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"Temp_窯"</t>
    </r>
    <r>
      <rPr>
        <sz val="11"/>
        <color theme="1"/>
        <rFont val="微軟正黑體"/>
        <family val="2"/>
        <charset val="136"/>
      </rPr>
      <t>.</t>
    </r>
  </si>
  <si>
    <r>
      <t>Else</t>
    </r>
    <r>
      <rPr>
        <sz val="11"/>
        <color theme="1"/>
        <rFont val="微軟正黑體"/>
        <family val="2"/>
        <charset val="136"/>
      </rPr>
      <t xml:space="preserve">: Log Message </t>
    </r>
    <r>
      <rPr>
        <sz val="10"/>
        <color theme="1"/>
        <rFont val="微軟正黑體"/>
        <family val="2"/>
        <charset val="136"/>
      </rPr>
      <t>"無新資料"</t>
    </r>
    <r>
      <rPr>
        <sz val="11"/>
        <color theme="1"/>
        <rFont val="微軟正黑體"/>
        <family val="2"/>
        <charset val="136"/>
      </rPr>
      <t>.</t>
    </r>
  </si>
  <si>
    <t>🅲 階段 C：處理『I/F』數據</t>
  </si>
  <si>
    <r>
      <t xml:space="preserve">本階段的邏輯架構與 🅱️ 階段 B 完全對稱，僅操作對象變更為 </t>
    </r>
    <r>
      <rPr>
        <b/>
        <sz val="11"/>
        <color theme="1"/>
        <rFont val="微軟正黑體"/>
        <family val="2"/>
        <charset val="136"/>
      </rPr>
      <t>I/F 相關工作表與變數</t>
    </r>
    <r>
      <rPr>
        <sz val="11"/>
        <color theme="1"/>
        <rFont val="微軟正黑體"/>
        <family val="2"/>
        <charset val="136"/>
      </rPr>
      <t>。</t>
    </r>
  </si>
  <si>
    <t>1. 讀取上次更新時間與精度校正</t>
  </si>
  <si>
    <r>
      <t>1. 尋找第一列/最後一列資料 (Find First/Last Data Row)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"IF"</t>
    </r>
    <r>
      <rPr>
        <sz val="11"/>
        <color theme="1"/>
        <rFont val="微軟正黑體"/>
        <family val="2"/>
        <charset val="136"/>
      </rPr>
      <t xml:space="preserve">, Config </t>
    </r>
    <r>
      <rPr>
        <sz val="10"/>
        <color theme="1"/>
        <rFont val="微軟正黑體"/>
        <family val="2"/>
        <charset val="136"/>
      </rPr>
      <t>Last populated row</t>
    </r>
    <r>
      <rPr>
        <sz val="11"/>
        <color theme="1"/>
        <rFont val="微軟正黑體"/>
        <family val="2"/>
        <charset val="136"/>
      </rPr>
      <t xml:space="preserve">, Col </t>
    </r>
    <r>
      <rPr>
        <sz val="10"/>
        <color theme="1"/>
        <rFont val="微軟正黑體"/>
        <family val="2"/>
        <charset val="136"/>
      </rPr>
      <t>"A"</t>
    </r>
    <r>
      <rPr>
        <sz val="11"/>
        <color theme="1"/>
        <rFont val="微軟正黑體"/>
        <family val="2"/>
        <charset val="136"/>
      </rPr>
      <t xml:space="preserve"> -&gt; 存為 </t>
    </r>
    <r>
      <rPr>
        <sz val="10"/>
        <color theme="1"/>
        <rFont val="微軟正黑體"/>
        <family val="2"/>
        <charset val="136"/>
      </rPr>
      <t>LastRow_IF</t>
    </r>
    <r>
      <rPr>
        <sz val="11"/>
        <color theme="1"/>
        <rFont val="微軟正黑體"/>
        <family val="2"/>
        <charset val="136"/>
      </rPr>
      <t>。</t>
    </r>
  </si>
  <si>
    <r>
      <t>2. 讀取儲存格的值 (Read Cell Value)</t>
    </r>
    <r>
      <rPr>
        <sz val="11"/>
        <color theme="1"/>
        <rFont val="微軟正黑體"/>
        <family val="2"/>
        <charset val="136"/>
      </rPr>
      <t xml:space="preserve">: Cell </t>
    </r>
    <r>
      <rPr>
        <sz val="10"/>
        <color theme="1"/>
        <rFont val="微軟正黑體"/>
        <family val="2"/>
        <charset val="136"/>
      </rPr>
      <t>"A" + LastRow_IF.ToString</t>
    </r>
    <r>
      <rPr>
        <sz val="11"/>
        <color theme="1"/>
        <rFont val="微軟正黑體"/>
        <family val="2"/>
        <charset val="136"/>
      </rPr>
      <t xml:space="preserve">, Save to </t>
    </r>
    <r>
      <rPr>
        <sz val="10"/>
        <color theme="1"/>
        <rFont val="微軟正黑體"/>
        <family val="2"/>
        <charset val="136"/>
      </rPr>
      <t>LastTimestamp_IF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Get formatted text: </t>
    </r>
    <r>
      <rPr>
        <b/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>。</t>
    </r>
  </si>
  <si>
    <r>
      <t>3. 指派 (Assign)</t>
    </r>
    <r>
      <rPr>
        <b/>
        <sz val="11"/>
        <color theme="1"/>
        <rFont val="微軟正黑體"/>
        <family val="2"/>
        <charset val="136"/>
      </rPr>
      <t xml:space="preserve"> (✨時間校正魔法)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LastTimestamp_IF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If(LastTimestamp_IF.Second &gt;= 30, LastTimestamp_IF.AddSeconds(60 - LastTimestamp_IF.Second), LastTimestamp_IF.AddSeconds(-LastTimestamp_IF.Second))</t>
    </r>
  </si>
  <si>
    <r>
      <t>活動：</t>
    </r>
    <r>
      <rPr>
        <b/>
        <sz val="10"/>
        <color theme="1"/>
        <rFont val="微軟正黑體"/>
        <family val="2"/>
        <charset val="136"/>
      </rPr>
      <t>指派 (Assign)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LastTime_IF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LastTimestamp_IF.Date</t>
    </r>
    <r>
      <rPr>
        <sz val="11"/>
        <color theme="1"/>
        <rFont val="微軟正黑體"/>
        <family val="2"/>
        <charset val="136"/>
      </rPr>
      <t>。</t>
    </r>
  </si>
  <si>
    <t>2. 網頁操作與下載</t>
  </si>
  <si>
    <r>
      <t>活動：</t>
    </r>
    <r>
      <rPr>
        <b/>
        <sz val="10"/>
        <color theme="1"/>
        <rFont val="微軟正黑體"/>
        <family val="2"/>
        <charset val="136"/>
      </rPr>
      <t>針對資料夾中的每一個檔案 (For Each File in Folder)</t>
    </r>
    <r>
      <rPr>
        <sz val="11"/>
        <color theme="1"/>
        <rFont val="微軟正黑體"/>
        <family val="2"/>
        <charset val="136"/>
      </rPr>
      <t xml:space="preserve"> -&gt; 清空 </t>
    </r>
    <r>
      <rPr>
        <sz val="10"/>
        <color theme="1"/>
        <rFont val="微軟正黑體"/>
        <family val="2"/>
        <charset val="136"/>
      </rPr>
      <t>DownloadsPath</t>
    </r>
    <r>
      <rPr>
        <sz val="11"/>
        <color theme="1"/>
        <rFont val="微軟正黑體"/>
        <family val="2"/>
        <charset val="136"/>
      </rPr>
      <t xml:space="preserve"> 內的暫存檔案 (</t>
    </r>
    <r>
      <rPr>
        <sz val="10"/>
        <color theme="1"/>
        <rFont val="微軟正黑體"/>
        <family val="2"/>
        <charset val="136"/>
      </rPr>
      <t>Delete File</t>
    </r>
    <r>
      <rPr>
        <sz val="11"/>
        <color theme="1"/>
        <rFont val="微軟正黑體"/>
        <family val="2"/>
        <charset val="136"/>
      </rPr>
      <t>)。</t>
    </r>
  </si>
  <si>
    <r>
      <t>原理</t>
    </r>
    <r>
      <rPr>
        <sz val="11"/>
        <color theme="1"/>
        <rFont val="微軟正黑體"/>
        <family val="2"/>
        <charset val="136"/>
      </rPr>
      <t xml:space="preserve">: 預防性刪除剛才下載的窯數據 CSV 檔，確保 </t>
    </r>
    <r>
      <rPr>
        <sz val="10"/>
        <color theme="1"/>
        <rFont val="微軟正黑體"/>
        <family val="2"/>
        <charset val="136"/>
      </rPr>
      <t>Wait for Download</t>
    </r>
    <r>
      <rPr>
        <sz val="11"/>
        <color theme="1"/>
        <rFont val="微軟正黑體"/>
        <family val="2"/>
        <charset val="136"/>
      </rPr>
      <t xml:space="preserve"> 抓到的是全新的 IF 檔案。</t>
    </r>
  </si>
  <si>
    <r>
      <t>按一下 (Click)</t>
    </r>
    <r>
      <rPr>
        <sz val="11"/>
        <color theme="1"/>
        <rFont val="微軟正黑體"/>
        <family val="2"/>
        <charset val="136"/>
      </rPr>
      <t xml:space="preserve">: 目標改為網頁上對應 IF 數據的 Radio Button (例如 </t>
    </r>
    <r>
      <rPr>
        <sz val="10"/>
        <color theme="1"/>
        <rFont val="微軟正黑體"/>
        <family val="2"/>
        <charset val="136"/>
      </rPr>
      <t>"位置 5"</t>
    </r>
    <r>
      <rPr>
        <sz val="11"/>
        <color theme="1"/>
        <rFont val="微軟正黑體"/>
        <family val="2"/>
        <charset val="136"/>
      </rPr>
      <t xml:space="preserve"> 或是 </t>
    </r>
    <r>
      <rPr>
        <sz val="10"/>
        <color theme="1"/>
        <rFont val="微軟正黑體"/>
        <family val="2"/>
        <charset val="136"/>
      </rPr>
      <t>idx='14'</t>
    </r>
    <r>
      <rPr>
        <sz val="11"/>
        <color theme="1"/>
        <rFont val="微軟正黑體"/>
        <family val="2"/>
        <charset val="136"/>
      </rPr>
      <t xml:space="preserve"> 等 IF 專屬選項)。</t>
    </r>
  </si>
  <si>
    <r>
      <t>輸入資訊 (Type Into)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"日期"</t>
    </r>
    <r>
      <rPr>
        <sz val="11"/>
        <color theme="1"/>
        <rFont val="微軟正黑體"/>
        <family val="2"/>
        <charset val="136"/>
      </rPr>
      <t xml:space="preserve">，Text: </t>
    </r>
    <r>
      <rPr>
        <sz val="10"/>
        <color theme="1"/>
        <rFont val="微軟正黑體"/>
        <family val="2"/>
        <charset val="136"/>
      </rPr>
      <t>LastTime_IF.ToString("yyyy") + "[k(right)]" + ...</t>
    </r>
    <r>
      <rPr>
        <sz val="11"/>
        <color theme="1"/>
        <rFont val="微軟正黑體"/>
        <family val="2"/>
        <charset val="136"/>
      </rPr>
      <t>，</t>
    </r>
    <r>
      <rPr>
        <b/>
        <sz val="11"/>
        <color theme="1"/>
        <rFont val="微軟正黑體"/>
        <family val="2"/>
        <charset val="136"/>
      </rPr>
      <t>Input Mode: HardwareEvents</t>
    </r>
    <r>
      <rPr>
        <sz val="11"/>
        <color theme="1"/>
        <rFont val="微軟正黑體"/>
        <family val="2"/>
        <charset val="136"/>
      </rPr>
      <t>。</t>
    </r>
  </si>
  <si>
    <r>
      <t>按一下 (Click)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"1 Hour ave"</t>
    </r>
    <r>
      <rPr>
        <sz val="11"/>
        <color theme="1"/>
        <rFont val="微軟正黑體"/>
        <family val="2"/>
        <charset val="136"/>
      </rPr>
      <t xml:space="preserve"> Checkbox。</t>
    </r>
  </si>
  <si>
    <r>
      <t>內部 (Body)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按一下 (Click)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"Get Data"</t>
    </r>
    <r>
      <rPr>
        <sz val="11"/>
        <color theme="1"/>
        <rFont val="微軟正黑體"/>
        <family val="2"/>
        <charset val="136"/>
      </rPr>
      <t xml:space="preserve"> 按鈕。</t>
    </r>
  </si>
  <si>
    <t>3. 篩選與讀取 (CSV)</t>
  </si>
  <si>
    <r>
      <t>活動：</t>
    </r>
    <r>
      <rPr>
        <b/>
        <sz val="10"/>
        <color theme="1"/>
        <rFont val="微軟正黑體"/>
        <family val="2"/>
        <charset val="136"/>
      </rPr>
      <t>Excel 程序範圍 (Excel Process Scope)</t>
    </r>
    <r>
      <rPr>
        <sz val="11"/>
        <color theme="1"/>
        <rFont val="微軟正黑體"/>
        <family val="2"/>
        <charset val="136"/>
      </rPr>
      <t xml:space="preserve"> (Action: </t>
    </r>
    <r>
      <rPr>
        <sz val="10"/>
        <color theme="1"/>
        <rFont val="微軟正黑體"/>
        <family val="2"/>
        <charset val="136"/>
      </rPr>
      <t>None</t>
    </r>
    <r>
      <rPr>
        <sz val="11"/>
        <color theme="1"/>
        <rFont val="微軟正黑體"/>
        <family val="2"/>
        <charset val="136"/>
      </rPr>
      <t>)</t>
    </r>
  </si>
  <si>
    <r>
      <t>活動：</t>
    </r>
    <r>
      <rPr>
        <b/>
        <sz val="10"/>
        <color theme="1"/>
        <rFont val="微軟正黑體"/>
        <family val="2"/>
        <charset val="136"/>
      </rPr>
      <t>使用 Excel 檔案 (Use Excel File)</t>
    </r>
    <r>
      <rPr>
        <sz val="11"/>
        <color theme="1"/>
        <rFont val="微軟正黑體"/>
        <family val="2"/>
        <charset val="136"/>
      </rPr>
      <t xml:space="preserve"> (File: </t>
    </r>
    <r>
      <rPr>
        <sz val="10"/>
        <color theme="1"/>
        <rFont val="微軟正黑體"/>
        <family val="2"/>
        <charset val="136"/>
      </rPr>
      <t>DownloadedFileInfo.FullName</t>
    </r>
    <r>
      <rPr>
        <sz val="11"/>
        <color theme="1"/>
        <rFont val="微軟正黑體"/>
        <family val="2"/>
        <charset val="136"/>
      </rPr>
      <t xml:space="preserve">, Reference: </t>
    </r>
    <r>
      <rPr>
        <sz val="10"/>
        <color theme="1"/>
        <rFont val="微軟正黑體"/>
        <family val="2"/>
        <charset val="136"/>
      </rPr>
      <t>SourceCSV_IF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>)</t>
    </r>
  </si>
  <si>
    <r>
      <t xml:space="preserve">Range: </t>
    </r>
    <r>
      <rPr>
        <sz val="10"/>
        <color theme="1"/>
        <rFont val="微軟正黑體"/>
        <family val="2"/>
        <charset val="136"/>
      </rPr>
      <t>SourceCSV_IF.Sheet(SheetNameList(0))</t>
    </r>
  </si>
  <si>
    <r>
      <t xml:space="preserve">Condition: </t>
    </r>
    <r>
      <rPr>
        <sz val="10"/>
        <color theme="1"/>
        <rFont val="微軟正黑體"/>
        <family val="2"/>
        <charset val="136"/>
      </rPr>
      <t>&gt;</t>
    </r>
    <r>
      <rPr>
        <sz val="11"/>
        <color theme="1"/>
        <rFont val="微軟正黑體"/>
        <family val="2"/>
        <charset val="136"/>
      </rPr>
      <t xml:space="preserve"> </t>
    </r>
    <r>
      <rPr>
        <sz val="10"/>
        <color theme="1"/>
        <rFont val="微軟正黑體"/>
        <family val="2"/>
        <charset val="136"/>
      </rPr>
      <t>LastTimestamp_IF.ToString("yyyy/MM/dd HH:mm")</t>
    </r>
  </si>
  <si>
    <r>
      <t>3. 讀取範圍 (Read Range)</t>
    </r>
    <r>
      <rPr>
        <sz val="11"/>
        <color theme="1"/>
        <rFont val="微軟正黑體"/>
        <family val="2"/>
        <charset val="136"/>
      </rPr>
      <t xml:space="preserve">: Range同上, Save to </t>
    </r>
    <r>
      <rPr>
        <sz val="10"/>
        <color theme="1"/>
        <rFont val="微軟正黑體"/>
        <family val="2"/>
        <charset val="136"/>
      </rPr>
      <t>NewData_IF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Visible rows only: </t>
    </r>
    <r>
      <rPr>
        <b/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。</t>
    </r>
  </si>
  <si>
    <t>4. 寫回主檔 (Temp 暫存法)</t>
  </si>
  <si>
    <r>
      <t>活動：</t>
    </r>
    <r>
      <rPr>
        <b/>
        <sz val="10"/>
        <color theme="1"/>
        <rFont val="微軟正黑體"/>
        <family val="2"/>
        <charset val="136"/>
      </rPr>
      <t>如果 (If)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NewData_IF IsNot Nothing AndAlso NewData_IF.Rows.Count &gt; 0</t>
    </r>
  </si>
  <si>
    <r>
      <t>尋找第一列/最後一列資料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"IF"</t>
    </r>
    <r>
      <rPr>
        <sz val="11"/>
        <color theme="1"/>
        <rFont val="微軟正黑體"/>
        <family val="2"/>
        <charset val="136"/>
      </rPr>
      <t xml:space="preserve">, Col </t>
    </r>
    <r>
      <rPr>
        <sz val="10"/>
        <color theme="1"/>
        <rFont val="微軟正黑體"/>
        <family val="2"/>
        <charset val="136"/>
      </rPr>
      <t>"A"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CurrentLastRow_IF</t>
    </r>
    <r>
      <rPr>
        <sz val="11"/>
        <color theme="1"/>
        <rFont val="微軟正黑體"/>
        <family val="2"/>
        <charset val="136"/>
      </rPr>
      <t>.</t>
    </r>
  </si>
  <si>
    <r>
      <t>將資料表寫入 Excel (Write Range)</t>
    </r>
    <r>
      <rPr>
        <sz val="11"/>
        <color theme="1"/>
        <rFont val="微軟正黑體"/>
        <family val="2"/>
        <charset val="136"/>
      </rPr>
      <t xml:space="preserve">: Source </t>
    </r>
    <r>
      <rPr>
        <sz val="10"/>
        <color theme="1"/>
        <rFont val="微軟正黑體"/>
        <family val="2"/>
        <charset val="136"/>
      </rPr>
      <t>NewData_IF</t>
    </r>
    <r>
      <rPr>
        <sz val="11"/>
        <color theme="1"/>
        <rFont val="微軟正黑體"/>
        <family val="2"/>
        <charset val="136"/>
      </rPr>
      <t xml:space="preserve">, Dest </t>
    </r>
    <r>
      <rPr>
        <sz val="10"/>
        <color theme="1"/>
        <rFont val="微軟正黑體"/>
        <family val="2"/>
        <charset val="136"/>
      </rPr>
      <t>Excel.Sheet("Temp_IF")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ExcludeHeaders: </t>
    </r>
    <r>
      <rPr>
        <b/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.</t>
    </r>
  </si>
  <si>
    <r>
      <t>複製/貼上範圍 (Copy Paste Range)</t>
    </r>
    <r>
      <rPr>
        <sz val="11"/>
        <color theme="1"/>
        <rFont val="微軟正黑體"/>
        <family val="2"/>
        <charset val="136"/>
      </rPr>
      <t xml:space="preserve">: Source </t>
    </r>
    <r>
      <rPr>
        <sz val="10"/>
        <color theme="1"/>
        <rFont val="微軟正黑體"/>
        <family val="2"/>
        <charset val="136"/>
      </rPr>
      <t>Excel.Sheet("Temp_IF")</t>
    </r>
    <r>
      <rPr>
        <sz val="11"/>
        <color theme="1"/>
        <rFont val="微軟正黑體"/>
        <family val="2"/>
        <charset val="136"/>
      </rPr>
      <t xml:space="preserve">, Dest </t>
    </r>
    <r>
      <rPr>
        <sz val="10"/>
        <color theme="1"/>
        <rFont val="微軟正黑體"/>
        <family val="2"/>
        <charset val="136"/>
      </rPr>
      <t>Excel.Sheet("IF").Range("A" + (CurrentLastRow_IF + 1).ToString)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PasteOptions: </t>
    </r>
    <r>
      <rPr>
        <b/>
        <sz val="10"/>
        <color theme="1"/>
        <rFont val="微軟正黑體"/>
        <family val="2"/>
        <charset val="136"/>
      </rPr>
      <t>All</t>
    </r>
    <r>
      <rPr>
        <sz val="11"/>
        <color theme="1"/>
        <rFont val="微軟正黑體"/>
        <family val="2"/>
        <charset val="136"/>
      </rPr>
      <t>.</t>
    </r>
  </si>
  <si>
    <r>
      <t>刪除工作表 (Delete Sheet)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"Temp_IF"</t>
    </r>
    <r>
      <rPr>
        <sz val="11"/>
        <color theme="1"/>
        <rFont val="微軟正黑體"/>
        <family val="2"/>
        <charset val="136"/>
      </rPr>
      <t>.</t>
    </r>
  </si>
  <si>
    <t>5. 刪除暫存檔</t>
  </si>
  <si>
    <r>
      <t>活動：</t>
    </r>
    <r>
      <rPr>
        <b/>
        <sz val="10"/>
        <color theme="1"/>
        <rFont val="微軟正黑體"/>
        <family val="2"/>
        <charset val="136"/>
      </rPr>
      <t>刪除檔案 (Delete File)</t>
    </r>
  </si>
  <si>
    <r>
      <t>Path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DownloadedFileInfo.FullName</t>
    </r>
  </si>
  <si>
    <r>
      <t>原理</t>
    </r>
    <r>
      <rPr>
        <sz val="11"/>
        <color theme="1"/>
        <rFont val="微軟正黑體"/>
        <family val="2"/>
        <charset val="136"/>
      </rPr>
      <t>: 流程尾聲，保持本機下載資料夾的乾淨整潔。</t>
    </r>
  </si>
  <si>
    <t>🟢 階段 D：Excel 公式處理 (File A 內部)</t>
  </si>
  <si>
    <t>此階段將 A~I 欄的數值與公式向下延伸，並完美處理 J~O 欄位「每24小時合併儲存格」的向下鋪滿機制。</t>
  </si>
  <si>
    <r>
      <t>ExistingProcessAction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ForceKill</t>
    </r>
  </si>
  <si>
    <r>
      <t>內部活動</t>
    </r>
    <r>
      <rPr>
        <sz val="11"/>
        <color theme="1"/>
        <rFont val="微軟正黑體"/>
        <family val="2"/>
        <charset val="136"/>
      </rPr>
      <t>：</t>
    </r>
    <r>
      <rPr>
        <sz val="10"/>
        <color theme="1"/>
        <rFont val="微軟正黑體"/>
        <family val="2"/>
        <charset val="136"/>
      </rPr>
      <t>使用 Excel 檔案 (Use Excel File)</t>
    </r>
    <r>
      <rPr>
        <sz val="11"/>
        <color theme="1"/>
        <rFont val="微軟正黑體"/>
        <family val="2"/>
        <charset val="136"/>
      </rPr>
      <t xml:space="preserve"> (File: </t>
    </r>
    <r>
      <rPr>
        <sz val="10"/>
        <color theme="1"/>
        <rFont val="微軟正黑體"/>
        <family val="2"/>
        <charset val="136"/>
      </rPr>
      <t>FileA_FullPath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</t>
    </r>
  </si>
  <si>
    <t>(A) 瞬間定位目標與來源行號</t>
  </si>
  <si>
    <r>
      <t>1. 尋找第一列/最後一列資料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"窯"</t>
    </r>
    <r>
      <rPr>
        <sz val="11"/>
        <color theme="1"/>
        <rFont val="微軟正黑體"/>
        <family val="2"/>
        <charset val="136"/>
      </rPr>
      <t xml:space="preserve">, Col </t>
    </r>
    <r>
      <rPr>
        <sz val="10"/>
        <color theme="1"/>
        <rFont val="微軟正黑體"/>
        <family val="2"/>
        <charset val="136"/>
      </rPr>
      <t>"A"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HasHeaders: </t>
    </r>
    <r>
      <rPr>
        <b/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(目標終點)。</t>
    </r>
  </si>
  <si>
    <r>
      <t>2. 尋找第一列/最後一列資料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"SHP DATA"</t>
    </r>
    <r>
      <rPr>
        <sz val="11"/>
        <color theme="1"/>
        <rFont val="微軟正黑體"/>
        <family val="2"/>
        <charset val="136"/>
      </rPr>
      <t xml:space="preserve">, Col </t>
    </r>
    <r>
      <rPr>
        <sz val="10"/>
        <color theme="1"/>
        <rFont val="微軟正黑體"/>
        <family val="2"/>
        <charset val="136"/>
      </rPr>
      <t>"COLLECT_DATE"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HasHeaders: </t>
    </r>
    <r>
      <rPr>
        <b/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CurrentLastRow_SHP</t>
    </r>
    <r>
      <rPr>
        <sz val="11"/>
        <color theme="1"/>
        <rFont val="微軟正黑體"/>
        <family val="2"/>
        <charset val="136"/>
      </rPr>
      <t xml:space="preserve"> (目前底線)。</t>
    </r>
  </si>
  <si>
    <r>
      <t>3. 如果 (If)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NewLastRowIndex &gt; CurrentLastRow_SHP</t>
    </r>
    <r>
      <rPr>
        <sz val="11"/>
        <color theme="1"/>
        <rFont val="微軟正黑體"/>
        <family val="2"/>
        <charset val="136"/>
      </rPr>
      <t>)</t>
    </r>
  </si>
  <si>
    <r>
      <t>記錄訊息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"Sheet_SHP DATA的A～I欄位進行更新"</t>
    </r>
  </si>
  <si>
    <r>
      <t>複製/貼上範圍 (Copy Paste Range)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(✨ 取代原本的 Auto Fill)</t>
    </r>
    <r>
      <rPr>
        <sz val="11"/>
        <color theme="1"/>
        <rFont val="微軟正黑體"/>
        <family val="2"/>
        <charset val="136"/>
      </rPr>
      <t>:</t>
    </r>
    <phoneticPr fontId="2" type="noConversion"/>
  </si>
  <si>
    <r>
      <t>PasteType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All</t>
    </r>
    <r>
      <rPr>
        <sz val="11"/>
        <color theme="1"/>
        <rFont val="微軟正黑體"/>
        <family val="2"/>
        <charset val="136"/>
      </rPr>
      <t xml:space="preserve"> (全部)</t>
    </r>
  </si>
  <si>
    <r>
      <t>Source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Excel.Sheet("SHP DATA").Range("A" + CurrentLastRow_SHP.ToString + ":I" + CurrentLastRow_SHP.ToString)</t>
    </r>
  </si>
  <si>
    <r>
      <t>Destination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Excel.Sheet("SHP DATA").Range("A" + CurrentLastRow_SHP.ToString + ":I" + NewLastRowIndex.ToString)</t>
    </r>
  </si>
  <si>
    <r>
      <t>Exclude headers</t>
    </r>
    <r>
      <rPr>
        <sz val="11"/>
        <color theme="1"/>
        <rFont val="新細明體"/>
        <family val="2"/>
        <scheme val="minor"/>
      </rPr>
      <t xml:space="preserve">: </t>
    </r>
    <r>
      <rPr>
        <sz val="10"/>
        <color theme="1"/>
        <rFont val="細明體"/>
        <family val="3"/>
        <charset val="136"/>
      </rPr>
      <t>包含標頭</t>
    </r>
    <r>
      <rPr>
        <sz val="10"/>
        <color theme="1"/>
        <rFont val="新細明體"/>
        <family val="2"/>
      </rPr>
      <t xml:space="preserve"> (Include headers) (⚠️ </t>
    </r>
    <r>
      <rPr>
        <sz val="10"/>
        <color theme="1"/>
        <rFont val="細明體"/>
        <family val="3"/>
        <charset val="136"/>
      </rPr>
      <t>關鍵：因為來源只有一列資料，若排除會導致複製失敗</t>
    </r>
    <r>
      <rPr>
        <sz val="10"/>
        <color theme="1"/>
        <rFont val="新細明體"/>
        <family val="2"/>
      </rPr>
      <t>)</t>
    </r>
    <phoneticPr fontId="2" type="noConversion"/>
  </si>
  <si>
    <r>
      <t>原理</t>
    </r>
    <r>
      <rPr>
        <sz val="11"/>
        <color theme="1"/>
        <rFont val="微軟正黑體"/>
        <family val="2"/>
        <charset val="136"/>
      </rPr>
      <t>: 將 A~I 欄直接往下拖曳複製 (含格式與公式)，完美對齊 "窯" 分頁的最新列數。</t>
    </r>
  </si>
  <si>
    <t>(B) J~O 欄合併儲存格：精準追蹤與安全煞車 (✨ V4.5 終極區塊複製法)</t>
  </si>
  <si>
    <t>(接續在上述 Use Excel File 內部)</t>
  </si>
  <si>
    <r>
      <t>4. 讀取範圍 (Read Range)</t>
    </r>
    <r>
      <rPr>
        <b/>
        <sz val="11"/>
        <color theme="1"/>
        <rFont val="微軟正黑體"/>
        <family val="2"/>
        <charset val="136"/>
      </rPr>
      <t xml:space="preserve"> (極速單欄讀取 J 欄)</t>
    </r>
  </si>
  <si>
    <r>
      <t>Range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Excel.Sheet("SHP DATA").Range("J1:J" + NewLastRowIndex.ToString)</t>
    </r>
  </si>
  <si>
    <r>
      <t>Save to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dt_Col_J</t>
    </r>
  </si>
  <si>
    <r>
      <t>Has Headers</t>
    </r>
    <r>
      <rPr>
        <sz val="11"/>
        <color theme="1"/>
        <rFont val="微軟正黑體"/>
        <family val="2"/>
        <charset val="136"/>
      </rPr>
      <t xml:space="preserve">: </t>
    </r>
    <r>
      <rPr>
        <b/>
        <sz val="11"/>
        <color theme="1"/>
        <rFont val="微軟正黑體"/>
        <family val="2"/>
        <charset val="136"/>
      </rPr>
      <t>False</t>
    </r>
  </si>
  <si>
    <r>
      <t>5. 指派 (Assign)</t>
    </r>
    <r>
      <rPr>
        <b/>
        <sz val="11"/>
        <color theme="1"/>
        <rFont val="微軟正黑體"/>
        <family val="2"/>
        <charset val="136"/>
      </rPr>
      <t xml:space="preserve"> (LINQ + 正則表達式：精準找出最後一個合併起點)</t>
    </r>
  </si>
  <si>
    <r>
      <t>To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CurrentLastRow_J_Start</t>
    </r>
  </si>
  <si>
    <r>
      <t>Value</t>
    </r>
    <r>
      <rPr>
        <sz val="11"/>
        <color theme="1"/>
        <rFont val="微軟正黑體"/>
        <family val="2"/>
        <charset val="136"/>
      </rPr>
      <t>:</t>
    </r>
  </si>
  <si>
    <t>dt_Col_J.AsEnumerable().Select(Function(r, i) New With {.Value = System.Text.RegularExpressions.Regex.Replace(r(0).ToString(), "[\s\u00A0\u200B]+", ""), .Index = i + 1}).Where(Function(x) x.Value.Length &gt; 0).Last().Index</t>
  </si>
  <si>
    <t>(💡 說明：假設算出來是 9218，代表 9218 就是目前最後一個 24 小時區塊的開頭。)</t>
  </si>
  <si>
    <r>
      <t>6. 如果 (If)</t>
    </r>
    <r>
      <rPr>
        <b/>
        <sz val="11"/>
        <color theme="1"/>
        <rFont val="微軟正黑體"/>
        <family val="2"/>
        <charset val="136"/>
      </rPr>
      <t xml:space="preserve"> (✨ 安全距離煞車判斷)</t>
    </r>
  </si>
  <si>
    <r>
      <t>Condition</t>
    </r>
    <r>
      <rPr>
        <sz val="11"/>
        <color theme="1"/>
        <rFont val="微軟正黑體"/>
        <family val="2"/>
        <charset val="136"/>
      </rPr>
      <t xml:space="preserve">: </t>
    </r>
    <r>
      <rPr>
        <b/>
        <sz val="10"/>
        <color theme="1"/>
        <rFont val="微軟正黑體"/>
        <family val="2"/>
        <charset val="136"/>
      </rPr>
      <t>(CurrentLastRow_J_Start + 47) &lt;= NewLastRowIndex</t>
    </r>
    <phoneticPr fontId="2" type="noConversion"/>
  </si>
  <si>
    <t>(💡 說明：47 是怎麼來的？目前的區塊佔了 24 列 (Start 到 Start+23)，如果要往下再貼一塊，代表目標區塊會吃到 Start+47。只要這個終點還沒超過 A 欄目前的進度，就代表安全，可以更新！)</t>
  </si>
  <si>
    <r>
      <t>Then (執行更新)</t>
    </r>
    <r>
      <rPr>
        <sz val="11"/>
        <color theme="1"/>
        <rFont val="微軟正黑體"/>
        <family val="2"/>
        <charset val="136"/>
      </rPr>
      <t>:</t>
    </r>
  </si>
  <si>
    <r>
      <t>記錄訊息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"J~O 欄位已達更新條件，開始向下鋪滿..."</t>
    </r>
  </si>
  <si>
    <r>
      <t>當 (While)</t>
    </r>
    <r>
      <rPr>
        <b/>
        <sz val="11"/>
        <color theme="1"/>
        <rFont val="微軟正黑體"/>
        <family val="2"/>
        <charset val="136"/>
      </rPr>
      <t xml:space="preserve"> 迴圈</t>
    </r>
  </si>
  <si>
    <r>
      <t>Condition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(CurrentLastRow_J_Start + 47) &lt;= NewLastRowIndex</t>
    </r>
  </si>
  <si>
    <r>
      <t>Body (內部活動)</t>
    </r>
    <r>
      <rPr>
        <sz val="11"/>
        <color theme="1"/>
        <rFont val="微軟正黑體"/>
        <family val="2"/>
        <charset val="136"/>
      </rPr>
      <t>:</t>
    </r>
  </si>
  <si>
    <r>
      <t>複製/貼上範圍 (Copy Paste Range)</t>
    </r>
    <r>
      <rPr>
        <b/>
        <sz val="11"/>
        <color theme="1"/>
        <rFont val="微軟正黑體"/>
        <family val="2"/>
        <charset val="136"/>
      </rPr>
      <t xml:space="preserve"> (✨ 區塊對區塊，完美還原合併格式)</t>
    </r>
  </si>
  <si>
    <r>
      <t>Paste Type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All</t>
    </r>
    <r>
      <rPr>
        <sz val="11"/>
        <color theme="1"/>
        <rFont val="微軟正黑體"/>
        <family val="2"/>
        <charset val="136"/>
      </rPr>
      <t xml:space="preserve"> (全部)</t>
    </r>
  </si>
  <si>
    <r>
      <t>Source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Excel.Sheet("SHP DATA").Range("J" + CurrentLastRow_J_Start.ToString + ":O" + (CurrentLastRow_J_Start + 23).ToString)</t>
    </r>
    <phoneticPr fontId="2" type="noConversion"/>
  </si>
  <si>
    <t>(💡 說明：強制指定 24 列大區塊，如 J9218:O9241。這確保 Excel 複製的是「完整的合併儲存格」，絕對不會報錯！)</t>
  </si>
  <si>
    <r>
      <t>Destination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Excel.Sheet("SHP DATA").Range("J" + (CurrentLastRow_J_Start + 24).ToString + ":O" + (CurrentLastRow_J_Start + 47).ToString)</t>
    </r>
    <phoneticPr fontId="2" type="noConversion"/>
  </si>
  <si>
    <t>(💡 說明：目標區塊也必須明確指出是下一個 24 列，如 J9242:O9265。)</t>
  </si>
  <si>
    <r>
      <t>Exclude headers</t>
    </r>
    <r>
      <rPr>
        <sz val="11"/>
        <color theme="1"/>
        <rFont val="微軟正黑體"/>
        <family val="2"/>
        <charset val="136"/>
      </rPr>
      <t xml:space="preserve">: </t>
    </r>
    <r>
      <rPr>
        <b/>
        <sz val="11"/>
        <color theme="1"/>
        <rFont val="微軟正黑體"/>
        <family val="2"/>
        <charset val="136"/>
      </rPr>
      <t>包含標頭 (Include headers)</t>
    </r>
    <r>
      <rPr>
        <sz val="11"/>
        <color theme="1"/>
        <rFont val="微軟正黑體"/>
        <family val="2"/>
        <charset val="136"/>
      </rPr>
      <t xml:space="preserve"> (⚠️ 必選)</t>
    </r>
  </si>
  <si>
    <r>
      <t>指派 (Assign)</t>
    </r>
    <r>
      <rPr>
        <sz val="11"/>
        <color theme="1"/>
        <rFont val="微軟正黑體"/>
        <family val="2"/>
        <charset val="136"/>
      </rPr>
      <t xml:space="preserve"> (更新起點): </t>
    </r>
    <r>
      <rPr>
        <sz val="10"/>
        <color theme="1"/>
        <rFont val="微軟正黑體"/>
        <family val="2"/>
        <charset val="136"/>
      </rPr>
      <t>CurrentLastRow_J_Start = CurrentLastRow_J_Start + 24</t>
    </r>
    <phoneticPr fontId="2" type="noConversion"/>
  </si>
  <si>
    <r>
      <t xml:space="preserve">(💡 說明：廢棄 </t>
    </r>
    <r>
      <rPr>
        <i/>
        <sz val="10"/>
        <color theme="1"/>
        <rFont val="微軟正黑體"/>
        <family val="2"/>
        <charset val="136"/>
      </rPr>
      <t>_End</t>
    </r>
    <r>
      <rPr>
        <i/>
        <sz val="11"/>
        <color theme="1"/>
        <rFont val="微軟正黑體"/>
        <family val="2"/>
        <charset val="136"/>
      </rPr>
      <t xml:space="preserve"> 變數，只透過起點 </t>
    </r>
    <r>
      <rPr>
        <i/>
        <sz val="10"/>
        <color theme="1"/>
        <rFont val="微軟正黑體"/>
        <family val="2"/>
        <charset val="136"/>
      </rPr>
      <t>_Start</t>
    </r>
    <r>
      <rPr>
        <i/>
        <sz val="11"/>
        <color theme="1"/>
        <rFont val="微軟正黑體"/>
        <family val="2"/>
        <charset val="136"/>
      </rPr>
      <t xml:space="preserve"> 去推算一切，邏輯最防呆！)</t>
    </r>
  </si>
  <si>
    <r>
      <t>記錄訊息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"J~O 欄位鋪滿完成。"</t>
    </r>
  </si>
  <si>
    <r>
      <t>Else (跳過更新)</t>
    </r>
    <r>
      <rPr>
        <sz val="11"/>
        <color theme="1"/>
        <rFont val="微軟正黑體"/>
        <family val="2"/>
        <charset val="136"/>
      </rPr>
      <t>:</t>
    </r>
  </si>
  <si>
    <r>
      <t>記錄訊息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"Sheet_SHP DATA的J~O 欄位未達更新條件(保留前一天)，本次跳過更新"</t>
    </r>
  </si>
  <si>
    <r>
      <t>8. 記錄訊息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"SHP資料.xlsx更新完畢"</t>
    </r>
  </si>
  <si>
    <t>🟡 階段 E：跨檔案處理 (File A -&gt; File B)</t>
  </si>
  <si>
    <t>這階段將 A 檔生產數據寫入 B 檔，並下載化驗數據進行 VLOOKUP 匹配。</t>
  </si>
  <si>
    <t>(A) 將生產數據寫入 File B (✨ 巢狀跨檔複製)</t>
  </si>
  <si>
    <r>
      <t>內部：</t>
    </r>
    <r>
      <rPr>
        <b/>
        <sz val="10"/>
        <color theme="1"/>
        <rFont val="微軟正黑體"/>
        <family val="2"/>
        <charset val="136"/>
      </rPr>
      <t>使用 Excel 檔案</t>
    </r>
    <r>
      <rPr>
        <b/>
        <sz val="11"/>
        <color theme="1"/>
        <rFont val="微軟正黑體"/>
        <family val="2"/>
        <charset val="136"/>
      </rPr>
      <t xml:space="preserve"> (來源: File A)</t>
    </r>
    <r>
      <rPr>
        <sz val="11"/>
        <color theme="1"/>
        <rFont val="微軟正黑體"/>
        <family val="2"/>
        <charset val="136"/>
      </rPr>
      <t xml:space="preserve"> (Reference: </t>
    </r>
    <r>
      <rPr>
        <sz val="10"/>
        <color theme="1"/>
        <rFont val="微軟正黑體"/>
        <family val="2"/>
        <charset val="136"/>
      </rPr>
      <t>Excel_Source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>)</t>
    </r>
  </si>
  <si>
    <r>
      <t>內部：</t>
    </r>
    <r>
      <rPr>
        <b/>
        <sz val="10"/>
        <color theme="1"/>
        <rFont val="微軟正黑體"/>
        <family val="2"/>
        <charset val="136"/>
      </rPr>
      <t>使用 Excel 檔案</t>
    </r>
    <r>
      <rPr>
        <b/>
        <sz val="11"/>
        <color theme="1"/>
        <rFont val="微軟正黑體"/>
        <family val="2"/>
        <charset val="136"/>
      </rPr>
      <t xml:space="preserve"> (目標: File B)</t>
    </r>
    <r>
      <rPr>
        <sz val="11"/>
        <color theme="1"/>
        <rFont val="微軟正黑體"/>
        <family val="2"/>
        <charset val="136"/>
      </rPr>
      <t xml:space="preserve"> (Reference: </t>
    </r>
    <r>
      <rPr>
        <sz val="10"/>
        <color theme="1"/>
        <rFont val="微軟正黑體"/>
        <family val="2"/>
        <charset val="136"/>
      </rPr>
      <t>Excel_Dest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</t>
    </r>
  </si>
  <si>
    <r>
      <t>複製/貼上範圍 (Copy Paste Range)</t>
    </r>
    <r>
      <rPr>
        <sz val="11"/>
        <color theme="1"/>
        <rFont val="微軟正黑體"/>
        <family val="2"/>
        <charset val="136"/>
      </rPr>
      <t>:</t>
    </r>
  </si>
  <si>
    <r>
      <t>PasteType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Values</t>
    </r>
    <r>
      <rPr>
        <sz val="11"/>
        <color theme="1"/>
        <rFont val="微軟正黑體"/>
        <family val="2"/>
        <charset val="136"/>
      </rPr>
      <t xml:space="preserve"> (值)</t>
    </r>
  </si>
  <si>
    <r>
      <t>Source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Excel_Source.Sheet("SHP DATA").Range("A2:I" + NewLastRowIndex.ToString)</t>
    </r>
  </si>
  <si>
    <r>
      <t>Destination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Excel_Dest.Sheet("data4").Range("A2")</t>
    </r>
  </si>
  <si>
    <r>
      <t>原理</t>
    </r>
    <r>
      <rPr>
        <sz val="11"/>
        <color theme="1"/>
        <rFont val="微軟正黑體"/>
        <family val="2"/>
        <charset val="136"/>
      </rPr>
      <t>: 讓機器人同時開啟兩份 Excel，不經過 UiPath DataTable 記憶體，直接走 Excel 底層傳輸，速度極快且絕不報錯！</t>
    </r>
  </si>
  <si>
    <t>(B) 下載並讀取 Analysis 雲端化驗數據</t>
  </si>
  <si>
    <r>
      <t>活動：</t>
    </r>
    <r>
      <rPr>
        <b/>
        <sz val="10"/>
        <color theme="1"/>
        <rFont val="微軟正黑體"/>
        <family val="2"/>
        <charset val="136"/>
      </rPr>
      <t>使用應用程式/瀏覽器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in_Analysis_BoxURL</t>
    </r>
    <r>
      <rPr>
        <sz val="11"/>
        <color theme="1"/>
        <rFont val="微軟正黑體"/>
        <family val="2"/>
        <charset val="136"/>
      </rPr>
      <t xml:space="preserve">, Incognito: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</t>
    </r>
  </si>
  <si>
    <r>
      <t>等待下載 (Wait for Download)</t>
    </r>
    <r>
      <rPr>
        <sz val="11"/>
        <color theme="1"/>
        <rFont val="微軟正黑體"/>
        <family val="2"/>
        <charset val="136"/>
      </rPr>
      <t xml:space="preserve">: Monitor </t>
    </r>
    <r>
      <rPr>
        <sz val="10"/>
        <color theme="1"/>
        <rFont val="微軟正黑體"/>
        <family val="2"/>
        <charset val="136"/>
      </rPr>
      <t>DownloadsPath</t>
    </r>
    <r>
      <rPr>
        <sz val="11"/>
        <color theme="1"/>
        <rFont val="微軟正黑體"/>
        <family val="2"/>
        <charset val="136"/>
      </rPr>
      <t xml:space="preserve">, Output </t>
    </r>
    <r>
      <rPr>
        <sz val="10"/>
        <color theme="1"/>
        <rFont val="微軟正黑體"/>
        <family val="2"/>
        <charset val="136"/>
      </rPr>
      <t>File_Analysis_Info</t>
    </r>
    <r>
      <rPr>
        <sz val="11"/>
        <color theme="1"/>
        <rFont val="微軟正黑體"/>
        <family val="2"/>
        <charset val="136"/>
      </rPr>
      <t>.</t>
    </r>
  </si>
  <si>
    <r>
      <t>內部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按一下</t>
    </r>
    <r>
      <rPr>
        <sz val="11"/>
        <color theme="1"/>
        <rFont val="微軟正黑體"/>
        <family val="2"/>
        <charset val="136"/>
      </rPr>
      <t xml:space="preserve"> 網頁上的 </t>
    </r>
    <r>
      <rPr>
        <sz val="10"/>
        <color theme="1"/>
        <rFont val="微軟正黑體"/>
        <family val="2"/>
        <charset val="136"/>
      </rPr>
      <t>"下載"</t>
    </r>
    <r>
      <rPr>
        <sz val="11"/>
        <color theme="1"/>
        <rFont val="微軟正黑體"/>
        <family val="2"/>
        <charset val="136"/>
      </rPr>
      <t xml:space="preserve"> 按鈕。</t>
    </r>
  </si>
  <si>
    <r>
      <t>活動：</t>
    </r>
    <r>
      <rPr>
        <b/>
        <sz val="10"/>
        <color theme="1"/>
        <rFont val="微軟正黑體"/>
        <family val="2"/>
        <charset val="136"/>
      </rPr>
      <t>讀取範圍活頁簿 (Read Range Workbook)</t>
    </r>
    <r>
      <rPr>
        <sz val="11"/>
        <color theme="1"/>
        <rFont val="微軟正黑體"/>
        <family val="2"/>
        <charset val="136"/>
      </rPr>
      <t xml:space="preserve"> (System活動)</t>
    </r>
  </si>
  <si>
    <r>
      <t>WorkbookPath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File_Analysis_Info.FullName</t>
    </r>
  </si>
  <si>
    <r>
      <t>SheetName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""</t>
    </r>
    <r>
      <rPr>
        <sz val="11"/>
        <color theme="1"/>
        <rFont val="微軟正黑體"/>
        <family val="2"/>
        <charset val="136"/>
      </rPr>
      <t xml:space="preserve"> (留白讀第一頁)</t>
    </r>
  </si>
  <si>
    <r>
      <t>DataTable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dt_Analysis_Data</t>
    </r>
  </si>
  <si>
    <r>
      <t>Add Headers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True</t>
    </r>
  </si>
  <si>
    <r>
      <t>活動：</t>
    </r>
    <r>
      <rPr>
        <b/>
        <sz val="10"/>
        <color theme="1"/>
        <rFont val="微軟正黑體"/>
        <family val="2"/>
        <charset val="136"/>
      </rPr>
      <t>刪除檔案 (Delete File)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File_Analysis_Info.FullName</t>
    </r>
    <r>
      <rPr>
        <sz val="11"/>
        <color theme="1"/>
        <rFont val="微軟正黑體"/>
        <family val="2"/>
        <charset val="136"/>
      </rPr>
      <t>.</t>
    </r>
  </si>
  <si>
    <t>(C) 資料比對與更新 (VLOOKUP 邏輯)</t>
  </si>
  <si>
    <r>
      <t>活動：</t>
    </r>
    <r>
      <rPr>
        <b/>
        <sz val="10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FileB_FullPath</t>
    </r>
    <r>
      <rPr>
        <sz val="11"/>
        <color theme="1"/>
        <rFont val="微軟正黑體"/>
        <family val="2"/>
        <charset val="136"/>
      </rPr>
      <t xml:space="preserve">, Save: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</t>
    </r>
  </si>
  <si>
    <r>
      <t>1. 讀取範圍 (Read Range)</t>
    </r>
    <r>
      <rPr>
        <sz val="11"/>
        <color theme="1"/>
        <rFont val="微軟正黑體"/>
        <family val="2"/>
        <charset val="136"/>
      </rPr>
      <t xml:space="preserve">: Sheet </t>
    </r>
    <r>
      <rPr>
        <sz val="10"/>
        <color theme="1"/>
        <rFont val="微軟正黑體"/>
        <family val="2"/>
        <charset val="136"/>
      </rPr>
      <t>"data3"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dt_FileB_data3</t>
    </r>
    <r>
      <rPr>
        <sz val="11"/>
        <color theme="1"/>
        <rFont val="微軟正黑體"/>
        <family val="2"/>
        <charset val="136"/>
      </rPr>
      <t>.</t>
    </r>
  </si>
  <si>
    <r>
      <t>2. 針對資料表中的每一列 (For Each Row in Data Table)</t>
    </r>
    <r>
      <rPr>
        <sz val="11"/>
        <color theme="1"/>
        <rFont val="微軟正黑體"/>
        <family val="2"/>
        <charset val="136"/>
      </rPr>
      <t>:</t>
    </r>
  </si>
  <si>
    <r>
      <t>DataTable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dt_FileB_data3</t>
    </r>
  </si>
  <si>
    <r>
      <t>內部</t>
    </r>
    <r>
      <rPr>
        <sz val="11"/>
        <color theme="1"/>
        <rFont val="微軟正黑體"/>
        <family val="2"/>
        <charset val="136"/>
      </rPr>
      <t>：</t>
    </r>
  </si>
  <si>
    <r>
      <t>指派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CurrentTime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CDate(CurrentRow("時間欄位"))</t>
    </r>
    <r>
      <rPr>
        <sz val="11"/>
        <color theme="1"/>
        <rFont val="微軟正黑體"/>
        <family val="2"/>
        <charset val="136"/>
      </rPr>
      <t xml:space="preserve"> (依實際名稱替換)</t>
    </r>
  </si>
  <si>
    <r>
      <t>查詢資料表 (Lookup Data Table)</t>
    </r>
    <r>
      <rPr>
        <sz val="11"/>
        <color theme="1"/>
        <rFont val="微軟正黑體"/>
        <family val="2"/>
        <charset val="136"/>
      </rPr>
      <t>:</t>
    </r>
  </si>
  <si>
    <r>
      <t xml:space="preserve">Input: </t>
    </r>
    <r>
      <rPr>
        <sz val="10"/>
        <color theme="1"/>
        <rFont val="微軟正黑體"/>
        <family val="2"/>
        <charset val="136"/>
      </rPr>
      <t>dt_Analysis_Data</t>
    </r>
    <r>
      <rPr>
        <sz val="11"/>
        <color theme="1"/>
        <rFont val="微軟正黑體"/>
        <family val="2"/>
        <charset val="136"/>
      </rPr>
      <t xml:space="preserve">, Lookup Value: </t>
    </r>
    <r>
      <rPr>
        <sz val="10"/>
        <color theme="1"/>
        <rFont val="微軟正黑體"/>
        <family val="2"/>
        <charset val="136"/>
      </rPr>
      <t>CurrentTime</t>
    </r>
    <r>
      <rPr>
        <sz val="11"/>
        <color theme="1"/>
        <rFont val="微軟正黑體"/>
        <family val="2"/>
        <charset val="136"/>
      </rPr>
      <t xml:space="preserve">, Target Column: </t>
    </r>
    <r>
      <rPr>
        <sz val="10"/>
        <color theme="1"/>
        <rFont val="微軟正黑體"/>
        <family val="2"/>
        <charset val="136"/>
      </rPr>
      <t>"對應化驗時間欄位"</t>
    </r>
    <r>
      <rPr>
        <sz val="11"/>
        <color theme="1"/>
        <rFont val="微軟正黑體"/>
        <family val="2"/>
        <charset val="136"/>
      </rPr>
      <t xml:space="preserve"> -&gt; </t>
    </r>
    <r>
      <rPr>
        <sz val="10"/>
        <color theme="1"/>
        <rFont val="微軟正黑體"/>
        <family val="2"/>
        <charset val="136"/>
      </rPr>
      <t>FoundRowIndex</t>
    </r>
  </si>
  <si>
    <r>
      <t>如果 (If)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FoundRowIndex &gt;= 0</t>
    </r>
    <r>
      <rPr>
        <sz val="11"/>
        <color theme="1"/>
        <rFont val="微軟正黑體"/>
        <family val="2"/>
        <charset val="136"/>
      </rPr>
      <t>):</t>
    </r>
  </si>
  <si>
    <r>
      <t>指派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CurrentRow("寫入目標欄位")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dt_Analysis_Data.Rows(FoundRowIndex)("來源數值欄位")</t>
    </r>
  </si>
  <si>
    <r>
      <t>3. 將資料表寫入 Excel (Write DataTable to Excel)</t>
    </r>
    <r>
      <rPr>
        <sz val="11"/>
        <color theme="1"/>
        <rFont val="微軟正黑體"/>
        <family val="2"/>
        <charset val="136"/>
      </rPr>
      <t xml:space="preserve">: Data </t>
    </r>
    <r>
      <rPr>
        <sz val="10"/>
        <color theme="1"/>
        <rFont val="微軟正黑體"/>
        <family val="2"/>
        <charset val="136"/>
      </rPr>
      <t>dt_FileB_data3</t>
    </r>
    <r>
      <rPr>
        <sz val="11"/>
        <color theme="1"/>
        <rFont val="微軟正黑體"/>
        <family val="2"/>
        <charset val="136"/>
      </rPr>
      <t xml:space="preserve"> -&gt; Destination </t>
    </r>
    <r>
      <rPr>
        <sz val="10"/>
        <color theme="1"/>
        <rFont val="微軟正黑體"/>
        <family val="2"/>
        <charset val="136"/>
      </rPr>
      <t>Excel.Sheet("data3")</t>
    </r>
    <r>
      <rPr>
        <sz val="11"/>
        <color theme="1"/>
        <rFont val="微軟正黑體"/>
        <family val="2"/>
        <charset val="136"/>
      </rPr>
      <t xml:space="preserve">, Exclude Headers: </t>
    </r>
    <r>
      <rPr>
        <sz val="10"/>
        <color theme="1"/>
        <rFont val="微軟正黑體"/>
        <family val="2"/>
        <charset val="136"/>
      </rPr>
      <t>False</t>
    </r>
    <r>
      <rPr>
        <sz val="11"/>
        <color theme="1"/>
        <rFont val="微軟正黑體"/>
        <family val="2"/>
        <charset val="136"/>
      </rPr>
      <t>.</t>
    </r>
  </si>
  <si>
    <t>🏁 階段 F：最終清理</t>
  </si>
  <si>
    <r>
      <t>Url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"edge://downloads/all"</t>
    </r>
  </si>
  <si>
    <r>
      <t>Open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Always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>Close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Always</t>
    </r>
  </si>
  <si>
    <r>
      <t>內部活動</t>
    </r>
    <r>
      <rPr>
        <sz val="11"/>
        <color theme="1"/>
        <rFont val="微軟正黑體"/>
        <family val="2"/>
        <charset val="136"/>
      </rPr>
      <t>：</t>
    </r>
  </si>
  <si>
    <r>
      <t>1. 延遲 (Delay)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00:00:02</t>
    </r>
  </si>
  <si>
    <r>
      <t>2. 按一下 (Click)</t>
    </r>
    <r>
      <rPr>
        <sz val="11"/>
        <color theme="1"/>
        <rFont val="微軟正黑體"/>
        <family val="2"/>
        <charset val="136"/>
      </rPr>
      <t xml:space="preserve">: 目標 = </t>
    </r>
    <r>
      <rPr>
        <b/>
        <sz val="11"/>
        <color theme="1"/>
        <rFont val="微軟正黑體"/>
        <family val="2"/>
        <charset val="136"/>
      </rPr>
      <t>「清除全部 (Clear all)」</t>
    </r>
    <r>
      <rPr>
        <sz val="11"/>
        <color theme="1"/>
        <rFont val="微軟正黑體"/>
        <family val="2"/>
        <charset val="136"/>
      </rPr>
      <t xml:space="preserve"> (Simulate)</t>
    </r>
  </si>
  <si>
    <r>
      <t>3. 檢查應用程式狀態 (Check App State)</t>
    </r>
    <r>
      <rPr>
        <sz val="11"/>
        <color theme="1"/>
        <rFont val="微軟正黑體"/>
        <family val="2"/>
        <charset val="136"/>
      </rPr>
      <t>:</t>
    </r>
  </si>
  <si>
    <r>
      <t xml:space="preserve">Target = 確認視窗, Timeout = </t>
    </r>
    <r>
      <rPr>
        <sz val="10"/>
        <color theme="1"/>
        <rFont val="微軟正黑體"/>
        <family val="2"/>
        <charset val="136"/>
      </rPr>
      <t>3</t>
    </r>
    <r>
      <rPr>
        <sz val="11"/>
        <color theme="1"/>
        <rFont val="微軟正黑體"/>
        <family val="2"/>
        <charset val="136"/>
      </rPr>
      <t xml:space="preserve"> 秒。</t>
    </r>
  </si>
  <si>
    <r>
      <t>Target Appears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按一下</t>
    </r>
    <r>
      <rPr>
        <sz val="11"/>
        <color theme="1"/>
        <rFont val="微軟正黑體"/>
        <family val="2"/>
        <charset val="136"/>
      </rPr>
      <t xml:space="preserve"> = </t>
    </r>
    <r>
      <rPr>
        <b/>
        <sz val="11"/>
        <color theme="1"/>
        <rFont val="微軟正黑體"/>
        <family val="2"/>
        <charset val="136"/>
      </rPr>
      <t>「全部清除」</t>
    </r>
  </si>
  <si>
    <r>
      <t>活動：</t>
    </r>
    <r>
      <rPr>
        <b/>
        <sz val="10"/>
        <color theme="1"/>
        <rFont val="微軟正黑體"/>
        <family val="2"/>
        <charset val="136"/>
      </rPr>
      <t>記錄訊息 (Log Message)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"KF窯_每日生產Data定例更新 流程全部完成。"</t>
    </r>
    <r>
      <rPr>
        <sz val="11"/>
        <color theme="1"/>
        <rFont val="微軟正黑體"/>
        <family val="2"/>
        <charset val="136"/>
      </rPr>
      <t xml:space="preserve"> (Level: </t>
    </r>
    <r>
      <rPr>
        <sz val="10"/>
        <color theme="1"/>
        <rFont val="微軟正黑體"/>
        <family val="2"/>
        <charset val="136"/>
      </rPr>
      <t>Info</t>
    </r>
    <r>
      <rPr>
        <sz val="11"/>
        <color theme="1"/>
        <rFont val="微軟正黑體"/>
        <family val="2"/>
        <charset val="136"/>
      </rPr>
      <t>)</t>
    </r>
  </si>
  <si>
    <t>課題</t>
    <phoneticPr fontId="2" type="noConversion"/>
  </si>
  <si>
    <t>Power Apps 補強教育訓練課程已另行安排合作之教育機構，上課資訊如下，後續將另行發送 Teams 會議邀請：</t>
  </si>
  <si>
    <t>關於 Databricks 課後輔導，在彙整問卷回覆後，已安排 4/16(四) 第一回輔導對象 如下。</t>
  </si>
  <si>
    <t>相關問卷內容事前已與 竹島先生團隊 共享說明。</t>
  </si>
  <si>
    <t>當天敬請各位學員準備 簡易的系統架構圖或流程圖，並向竹島先生說明預計執行的內容，每位學員說明時間約 5 分鐘。</t>
  </si>
  <si>
    <t>藉由事前的簡要說明，讓竹島先生團隊能更具體理解後續實作方向，以利進行有效的輔導與建議。</t>
  </si>
  <si>
    <t>感謝各位的配合，謝謝。</t>
  </si>
  <si>
    <t>＃</t>
  </si>
  <si>
    <t>竹島先生線上輔導</t>
  </si>
  <si>
    <t>黃 炳銓</t>
  </si>
  <si>
    <t>4/16(四) 0900-1100</t>
  </si>
  <si>
    <t>陳 雅歆</t>
  </si>
  <si>
    <t>吳 建毅</t>
  </si>
  <si>
    <t>劉 修銘</t>
  </si>
  <si>
    <t>江 炎竹</t>
  </si>
  <si>
    <t>蘇 輝誠</t>
  </si>
  <si>
    <t>郭 芷琳</t>
  </si>
  <si>
    <t>楊 大慶</t>
  </si>
  <si>
    <t>事務局另外商談</t>
  </si>
  <si>
    <r>
      <t>(</t>
    </r>
    <r>
      <rPr>
        <sz val="11"/>
        <color rgb="FF000000"/>
        <rFont val="新細明體"/>
        <family val="1"/>
        <charset val="136"/>
      </rPr>
      <t>不在</t>
    </r>
    <r>
      <rPr>
        <sz val="11"/>
        <color rgb="FF000000"/>
        <rFont val="Meiryo UI"/>
        <family val="2"/>
        <charset val="128"/>
      </rPr>
      <t>4/16</t>
    </r>
    <r>
      <rPr>
        <sz val="11"/>
        <color rgb="FF000000"/>
        <rFont val="新細明體"/>
        <family val="1"/>
        <charset val="136"/>
      </rPr>
      <t>輔導對象</t>
    </r>
    <r>
      <rPr>
        <sz val="11"/>
        <color rgb="FF000000"/>
        <rFont val="Meiryo UI"/>
        <family val="2"/>
        <charset val="128"/>
      </rPr>
      <t>)</t>
    </r>
  </si>
  <si>
    <r>
      <t>Teams</t>
    </r>
    <r>
      <rPr>
        <sz val="11"/>
        <color rgb="FF000000"/>
        <rFont val="新細明體"/>
        <family val="1"/>
        <charset val="136"/>
      </rPr>
      <t>討論</t>
    </r>
  </si>
  <si>
    <t>蔡 宏杰</t>
  </si>
  <si>
    <t>4/15 1500-1530</t>
  </si>
  <si>
    <t>陳 俊碩</t>
  </si>
  <si>
    <t>4/16 1500-1530</t>
  </si>
  <si>
    <t>張 家綸</t>
  </si>
  <si>
    <t>4/15 1530-1600</t>
  </si>
  <si>
    <t>蔡 淂鎰</t>
  </si>
  <si>
    <t>4/15 1600-1630</t>
  </si>
  <si>
    <t>羅 朝文</t>
  </si>
  <si>
    <t>4/15 1500-1600</t>
  </si>
  <si>
    <t>4/14-17
電話聯絡</t>
    <phoneticPr fontId="2" type="noConversion"/>
  </si>
  <si>
    <t>楊 大慶　陳 俊碩</t>
  </si>
  <si>
    <r>
      <t>在調</t>
    </r>
    <r>
      <rPr>
        <sz val="9"/>
        <color rgb="FF000000"/>
        <rFont val="微軟正黑體"/>
        <family val="2"/>
        <charset val="136"/>
      </rPr>
      <t>查</t>
    </r>
    <r>
      <rPr>
        <sz val="9"/>
        <color rgb="FF000000"/>
        <rFont val="Meiryo UI"/>
        <family val="2"/>
        <charset val="128"/>
      </rPr>
      <t xml:space="preserve"> PAM 資料時，每次都需下載資料並貼到 Excel 中，且針對每個 Lot 進行平坦度／板厚偏差的計算，因此在資料下載與調</t>
    </r>
    <r>
      <rPr>
        <sz val="9"/>
        <color rgb="FF000000"/>
        <rFont val="微軟正黑體"/>
        <family val="2"/>
        <charset val="136"/>
      </rPr>
      <t>查</t>
    </r>
    <r>
      <rPr>
        <sz val="9"/>
        <color rgb="FF000000"/>
        <rFont val="Meiryo UI"/>
        <family val="2"/>
        <charset val="128"/>
      </rPr>
      <t>上花費許多時間與人力。</t>
    </r>
  </si>
  <si>
    <r>
      <t>品質調</t>
    </r>
    <r>
      <rPr>
        <sz val="9"/>
        <color rgb="FF000000"/>
        <rFont val="微軟正黑體"/>
        <family val="2"/>
        <charset val="136"/>
      </rPr>
      <t>查</t>
    </r>
    <r>
      <rPr>
        <sz val="9"/>
        <color rgb="FF000000"/>
        <rFont val="Meiryo UI"/>
        <family val="2"/>
        <charset val="128"/>
      </rPr>
      <t>：除了 PAM 資料外，有時還需要 TOM 欠點資料等其他資料。</t>
    </r>
  </si>
  <si>
    <r>
      <t>・希望先從板厚偏差等調</t>
    </r>
    <r>
      <rPr>
        <sz val="9"/>
        <color rgb="FF000000"/>
        <rFont val="微軟正黑體"/>
        <family val="2"/>
        <charset val="136"/>
      </rPr>
      <t>查</t>
    </r>
    <r>
      <rPr>
        <sz val="9"/>
        <color rgb="FF000000"/>
        <rFont val="Meiryo UI"/>
        <family val="2"/>
        <charset val="128"/>
      </rPr>
      <t>需求較多的項目開始依序實作。</t>
    </r>
  </si>
  <si>
    <t>・希望在需要時也能與黃先生的資料進行串接。</t>
  </si>
  <si>
    <t>・Excel 匯入目前是暫時性使用，等 datalake 建置完成後將不再需要。</t>
  </si>
  <si>
    <t>Power Automate 補強課程</t>
  </si>
  <si>
    <t>本次課程由吳奇珅老師授課，因應老師行程調整，課程安排如下：</t>
  </si>
  <si>
    <r>
      <t>地點：斗六第三</t>
    </r>
    <r>
      <rPr>
        <b/>
        <sz val="11"/>
        <color theme="1"/>
        <rFont val="微軟正黑體"/>
        <family val="2"/>
        <charset val="136"/>
      </rPr>
      <t>辦</t>
    </r>
    <r>
      <rPr>
        <b/>
        <sz val="11"/>
        <color theme="1"/>
        <rFont val="Meiryo UI"/>
        <family val="2"/>
        <charset val="128"/>
      </rPr>
      <t>公室</t>
    </r>
  </si>
  <si>
    <t>上課地點：斗六第三辦公室</t>
  </si>
  <si>
    <t>課程時間：5/5（二）10:00–17:00（共 6 小時）</t>
    <phoneticPr fontId="2" type="noConversion"/>
  </si>
  <si>
    <t>時間：6/9（二）10:00～17:00（共 6 小時）</t>
    <phoneticPr fontId="2" type="noConversion"/>
  </si>
  <si>
    <t>● 追加課程：</t>
    <phoneticPr fontId="2" type="noConversion"/>
  </si>
  <si>
    <r>
      <t>個別與大家確認過後，已為大家安排</t>
    </r>
    <r>
      <rPr>
        <b/>
        <sz val="10"/>
        <color rgb="FF000000"/>
        <rFont val="Meiryo UI"/>
        <family val="2"/>
        <charset val="128"/>
      </rPr>
      <t xml:space="preserve"> 6/16（二）10:00–12:00</t>
    </r>
    <r>
      <rPr>
        <sz val="10"/>
        <color rgb="FF000000"/>
        <rFont val="Meiryo UI"/>
        <family val="2"/>
        <charset val="128"/>
      </rPr>
      <t xml:space="preserve"> 的Teams線上輔導時段，</t>
    </r>
  </si>
  <si>
    <t>10點時，大家可以同時上線聽看看其他同仁的內容，依順每個人20分鐘，順序如下表。</t>
  </si>
  <si>
    <t>若需調整，請於6/10上午前與勇全聯繫，如沒有問題的話，我就聯絡出去給老師，謝謝大家。</t>
  </si>
  <si>
    <t>部門</t>
  </si>
  <si>
    <t>姓名</t>
  </si>
  <si>
    <t>課題名稱</t>
  </si>
  <si>
    <t>現行問題／課題說明</t>
  </si>
  <si>
    <t>解決方式說明</t>
  </si>
  <si>
    <t>使用工具（可複選）</t>
  </si>
  <si>
    <t>成果與效益（預期）</t>
  </si>
  <si>
    <t>應用層級</t>
  </si>
  <si>
    <t>想改善的工作內容＋目的</t>
  </si>
  <si>
    <t>例：○○管理改善／○○流程數位化</t>
  </si>
  <si>
    <t>請說明目前工作如何執行（例如使用 Excel、紙本等），</t>
  </si>
  <si>
    <t>以及遇到的問題（例如：耗時、易出錯、資料分散、重複作業等）。</t>
  </si>
  <si>
    <t>請說明預計開發的系統或改善方式（不需技術細節），</t>
  </si>
  <si>
    <t>例如：建立○○管理系統、表單線上化、流程自動化等。</t>
  </si>
  <si>
    <t>請選擇預計使用工具（可複選）</t>
  </si>
  <si>
    <t>Power Apps /</t>
  </si>
  <si>
    <t>Power Automate /</t>
  </si>
  <si>
    <t>Power BI /</t>
  </si>
  <si>
    <t>其他</t>
  </si>
  <si>
    <t>※ 不確定可先選 Power Apps</t>
  </si>
  <si>
    <t>量化效果（可填數字）</t>
  </si>
  <si>
    <t>例：</t>
  </si>
  <si>
    <t>   作業時間 ↓XX%</t>
  </si>
  <si>
    <t>   人工處理 ↓XX%</t>
  </si>
  <si>
    <t>   錯誤率 ↓XX%</t>
  </si>
  <si>
    <t>或 預期成果（可選擇概念）</t>
  </si>
  <si>
    <t>  查詢更即時</t>
  </si>
  <si>
    <t>  減少重複作業</t>
  </si>
  <si>
    <t>  提升資料透明度</t>
  </si>
  <si>
    <t>  強化管理效率</t>
  </si>
  <si>
    <t>1.課內使用（單一課內）</t>
  </si>
  <si>
    <t>2.部內共用（同一部內跨課使用）</t>
  </si>
  <si>
    <t>3.跨部使用（不同部門間使用）</t>
  </si>
  <si>
    <t>4.全公司使用</t>
  </si>
  <si>
    <t>製造一部／生產推進課</t>
  </si>
  <si>
    <t>1000-1020</t>
  </si>
  <si>
    <t>Power Apps 應用：</t>
  </si>
  <si>
    <t>ADT炉材と不定形耐火物数量管理</t>
  </si>
  <si>
    <t>現況ADT的炉材と不定形耐火物数量雖有統一人員進行數量統計，不過仍需要在Excel管理表單上藉由不同窯別的同仁進行入力。</t>
  </si>
  <si>
    <t>問題點 1→耗時：同仁需要一筆一筆的進行確認後再以手動入力。</t>
  </si>
  <si>
    <t>問題點 2→入力錯誤：因為是人工輸入，加上炉材的編碼、形式…等，有多個編碼，所以容易出現"失誤"狀況。</t>
  </si>
  <si>
    <t>問題點 3→沒有效率：需要總擔當聯絡素材一～三課擔當者進行清點→各別入力後完成，總擔當再次確認內容→進行數據彙整。這中間會因為個人事務、作業…等不確定因素，造成時間的延宕。</t>
  </si>
  <si>
    <t>運用PowerApps建構「ADT炉材と不定形耐火物数量管理系統」，透過表單自動帶入、選取欄位內容…等方式，徹底消除作業Miss、提升作業效率。</t>
  </si>
  <si>
    <t>PowerApps + Power Automate</t>
  </si>
  <si>
    <t>1、作業Miss ↓100%</t>
  </si>
  <si>
    <t>2、人工作業約 ↓30%</t>
  </si>
  <si>
    <t>□ 部內共用（同一部內跨課使用）</t>
  </si>
  <si>
    <t>● 個別輔導：</t>
    <phoneticPr fontId="2" type="noConversion"/>
  </si>
  <si>
    <t>現況做成樣式：</t>
    <phoneticPr fontId="2" type="noConversion"/>
  </si>
  <si>
    <t>LINK</t>
    <phoneticPr fontId="2" type="noConversion"/>
  </si>
  <si>
    <t>業務分工：</t>
    <phoneticPr fontId="2" type="noConversion"/>
  </si>
  <si>
    <t>大慶：</t>
    <phoneticPr fontId="2" type="noConversion"/>
  </si>
  <si>
    <t>考量其本身包裝現場業務較為繁重，因此在討論之後，大慶 主要負責Data的來源確認(DataLake)，</t>
    <phoneticPr fontId="2" type="noConversion"/>
  </si>
  <si>
    <t>以及相關權限申請等事務。</t>
    <phoneticPr fontId="2" type="noConversion"/>
  </si>
  <si>
    <t>(例：需要開通DataLake與DataBricks ETL連結的權限、需要使用DataBricks viewer帳號的人員…等)</t>
    <phoneticPr fontId="2" type="noConversion"/>
  </si>
  <si>
    <t>俊碩：</t>
    <phoneticPr fontId="2" type="noConversion"/>
  </si>
  <si>
    <t>主要負責需要耗費時間編寫、測試以及Debug的開發業務。</t>
    <phoneticPr fontId="2" type="noConversion"/>
  </si>
  <si>
    <t>需耗費較多時間確認Code的細節。</t>
    <phoneticPr fontId="2" type="noConversion"/>
  </si>
  <si>
    <t>開發過程中需要不斷的Try and Error，抑或者遇到Exception狀況時的除錯…等，</t>
    <phoneticPr fontId="2" type="noConversion"/>
  </si>
  <si>
    <t>基於以上考量，並衡量 大慶 的業務狀況，以及本身對於Code已經有基礎，</t>
    <phoneticPr fontId="2" type="noConversion"/>
  </si>
  <si>
    <t>因此在討論時才會自願承擔該業務分工。</t>
    <phoneticPr fontId="2" type="noConversion"/>
  </si>
  <si>
    <t>共同做成之考量：</t>
    <phoneticPr fontId="2" type="noConversion"/>
  </si>
  <si>
    <t>1、Team Work：</t>
    <phoneticPr fontId="2" type="noConversion"/>
  </si>
  <si>
    <t>我跟大慶有一個共識，認為DX的專案推動應該是由團隊進行，</t>
    <phoneticPr fontId="2" type="noConversion"/>
  </si>
  <si>
    <t>才能更加凸顯DX化所帶來"效率化"。因此，兩人討論之後，</t>
    <phoneticPr fontId="2" type="noConversion"/>
  </si>
  <si>
    <t>再與 DX推進委員會_DataBricks擔當商談、說明之後也獲得了首肯。</t>
    <phoneticPr fontId="2" type="noConversion"/>
  </si>
  <si>
    <t>2、自身的狀況：</t>
    <phoneticPr fontId="2" type="noConversion"/>
  </si>
  <si>
    <t>考量個人本身今年有三個課題(UiPath、DataBricks、Power Platform)需要學習、做成，</t>
    <phoneticPr fontId="2" type="noConversion"/>
  </si>
  <si>
    <t>才會主動與DX推進委員會_DataBricks擔當、大慶進行商談。</t>
    <phoneticPr fontId="2" type="noConversion"/>
  </si>
  <si>
    <t>以及自身延續 初階UiPath課題 的自動化實際運用作成(2月～4月)，</t>
    <phoneticPr fontId="2" type="noConversion"/>
  </si>
  <si>
    <t>加上年初經理賦予的包裝協力業務(不定期)，出於三個課題的緊迫進度(3～7月/每周)，</t>
    <phoneticPr fontId="2" type="noConversion"/>
  </si>
  <si>
    <t>概要</t>
    <phoneticPr fontId="2" type="noConversion"/>
  </si>
  <si>
    <t>狀況/月份</t>
    <phoneticPr fontId="2" type="noConversion"/>
  </si>
  <si>
    <t>Project</t>
    <phoneticPr fontId="2" type="noConversion"/>
  </si>
  <si>
    <t>Close</t>
    <phoneticPr fontId="2" type="noConversion"/>
  </si>
  <si>
    <t>UiPath_初階課題輔導／
UiPath自動化流程開發：KF_SHP資料更新_By day</t>
    <phoneticPr fontId="2" type="noConversion"/>
  </si>
  <si>
    <t>Power Platform 教育暨課題做成／
ADT 炉材と不定形耐火物数量管理表DX化：
預想構成Power Apps+Power Automate做成</t>
    <phoneticPr fontId="2" type="noConversion"/>
  </si>
  <si>
    <t>UiPath_進階教育暨課題輔導／
UiPath__ReFramework自動化流程開發：KF_SHP資料更新
+KF窯物、化性相關測定Trend
+SHP向報告用資料(ADT操作管理DATA)_By day</t>
    <phoneticPr fontId="2" type="noConversion"/>
  </si>
  <si>
    <t>DataBricks 初階教育暨課題做成／
JF_出荷品質調查資料DX化：
人工選取日期，接著下載、彙整成報表
→DataBricks Dashboard選取日期→下載報表</t>
    <phoneticPr fontId="2" type="noConversion"/>
  </si>
  <si>
    <t>課內業務協力</t>
    <phoneticPr fontId="2" type="noConversion"/>
  </si>
  <si>
    <t>DX學習
暨
實際活用</t>
    <phoneticPr fontId="2" type="noConversion"/>
  </si>
  <si>
    <t>一、 Process vs Process_old</t>
  </si>
  <si>
    <t>在主流程中，主要解決了瀏覽器連線中斷、變數未傳遞以及迴圈邊界判斷風險的問題。</t>
  </si>
  <si>
    <t>1. 修正瀏覽器作用域 (Browser Scope) 中斷問題：</t>
  </si>
  <si>
    <r>
      <t>_old 版本：</t>
    </r>
    <r>
      <rPr>
        <sz val="11"/>
        <color theme="1"/>
        <rFont val="微軟正黑體"/>
        <family val="2"/>
        <charset val="136"/>
      </rPr>
      <t xml:space="preserve"> 登入系統用的 </t>
    </r>
    <r>
      <rPr>
        <sz val="10"/>
        <color theme="1"/>
        <rFont val="微軟正黑體"/>
        <family val="2"/>
        <charset val="136"/>
      </rPr>
      <t>NApplicationCard_3</t>
    </r>
    <r>
      <rPr>
        <sz val="11"/>
        <color theme="1"/>
        <rFont val="微軟正黑體"/>
        <family val="2"/>
        <charset val="136"/>
      </rPr>
      <t xml:space="preserve"> (Edge 瀏覽器) 執行完登入就結束了。後續下載「窯」與「IF」資料時，又各自使用了獨立的 </t>
    </r>
    <r>
      <rPr>
        <sz val="10"/>
        <color theme="1"/>
        <rFont val="微軟正黑體"/>
        <family val="2"/>
        <charset val="136"/>
      </rPr>
      <t>NApplicationCard_1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NApplicationCard_2</t>
    </r>
    <r>
      <rPr>
        <sz val="11"/>
        <color theme="1"/>
        <rFont val="微軟正黑體"/>
        <family val="2"/>
        <charset val="136"/>
      </rPr>
      <t xml:space="preserve"> 重新綁定瀏覽器。這容易導致 Session 遺失或抓不到正確視窗。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</si>
  <si>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將「下載窯資料 (</t>
    </r>
    <r>
      <rPr>
        <sz val="10"/>
        <color theme="1"/>
        <rFont val="微軟正黑體"/>
        <family val="2"/>
        <charset val="136"/>
      </rPr>
      <t>ExcelProcessScopeX_1</t>
    </r>
    <r>
      <rPr>
        <sz val="11"/>
        <color theme="1"/>
        <rFont val="微軟正黑體"/>
        <family val="2"/>
        <charset val="136"/>
      </rPr>
      <t>)」與「下載IF資料 (</t>
    </r>
    <r>
      <rPr>
        <sz val="10"/>
        <color theme="1"/>
        <rFont val="微軟正黑體"/>
        <family val="2"/>
        <charset val="136"/>
      </rPr>
      <t>ExcelProcessScopeX_2</t>
    </r>
    <r>
      <rPr>
        <sz val="11"/>
        <color theme="1"/>
        <rFont val="微軟正黑體"/>
        <family val="2"/>
        <charset val="136"/>
      </rPr>
      <t>)」的</t>
    </r>
    <r>
      <rPr>
        <b/>
        <sz val="11"/>
        <color theme="1"/>
        <rFont val="微軟正黑體"/>
        <family val="2"/>
        <charset val="136"/>
      </rPr>
      <t xml:space="preserve">所有動作，全部包進最初登入的 </t>
    </r>
    <r>
      <rPr>
        <b/>
        <sz val="10"/>
        <color theme="1"/>
        <rFont val="微軟正黑體"/>
        <family val="2"/>
        <charset val="136"/>
      </rPr>
      <t>NApplicationCard_3</t>
    </r>
    <r>
      <rPr>
        <b/>
        <sz val="11"/>
        <color theme="1"/>
        <rFont val="微軟正黑體"/>
        <family val="2"/>
        <charset val="136"/>
      </rPr>
      <t xml:space="preserve"> 範圍內</t>
    </r>
    <r>
      <rPr>
        <sz val="11"/>
        <color theme="1"/>
        <rFont val="微軟正黑體"/>
        <family val="2"/>
        <charset val="136"/>
      </rPr>
      <t>。確保從登入到下載完成，全程維持在同一個 Browser Session 中，大幅提升穩定性。</t>
    </r>
  </si>
  <si>
    <t>2. 修正變數賦值位置 (DownloadsPath / UserProfilePath)：</t>
  </si>
  <si>
    <r>
      <t>_old 版本：</t>
    </r>
    <r>
      <rPr>
        <sz val="11"/>
        <color theme="1"/>
        <rFont val="微軟正黑體"/>
        <family val="2"/>
        <charset val="136"/>
      </rPr>
      <t xml:space="preserve"> 動態取得下載路徑的 </t>
    </r>
    <r>
      <rPr>
        <sz val="10"/>
        <color theme="1"/>
        <rFont val="微軟正黑體"/>
        <family val="2"/>
        <charset val="136"/>
      </rPr>
      <t>Assign</t>
    </r>
    <r>
      <rPr>
        <sz val="11"/>
        <color theme="1"/>
        <rFont val="微軟正黑體"/>
        <family val="2"/>
        <charset val="136"/>
      </rPr>
      <t xml:space="preserve"> 動作放在瀏覽器登入範圍之外，結構較為零散。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</si>
  <si>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將取得環境變數的 </t>
    </r>
    <r>
      <rPr>
        <sz val="10"/>
        <color theme="1"/>
        <rFont val="微軟正黑體"/>
        <family val="2"/>
        <charset val="136"/>
      </rPr>
      <t>Assign</t>
    </r>
    <r>
      <rPr>
        <sz val="11"/>
        <color theme="1"/>
        <rFont val="微軟正黑體"/>
        <family val="2"/>
        <charset val="136"/>
      </rPr>
      <t xml:space="preserve"> 移入 </t>
    </r>
    <r>
      <rPr>
        <sz val="10"/>
        <color theme="1"/>
        <rFont val="微軟正黑體"/>
        <family val="2"/>
        <charset val="136"/>
      </rPr>
      <t>NApplicationCard_3</t>
    </r>
    <r>
      <rPr>
        <sz val="11"/>
        <color theme="1"/>
        <rFont val="微軟正黑體"/>
        <family val="2"/>
        <charset val="136"/>
      </rPr>
      <t xml:space="preserve"> 內部，確保在觸發點擊下載按鈕前，路徑變數已在當下環境準備就緒。</t>
    </r>
  </si>
  <si>
    <t>3. 修正 UpdateFileB 的引數 (Arguments) 遺漏問題 (致命錯誤)：</t>
  </si>
  <si>
    <r>
      <t>_old 版本：</t>
    </r>
    <r>
      <rPr>
        <sz val="11"/>
        <color theme="1"/>
        <rFont val="微軟正黑體"/>
        <family val="2"/>
        <charset val="136"/>
      </rPr>
      <t xml:space="preserve"> 呼叫 </t>
    </r>
    <r>
      <rPr>
        <sz val="10"/>
        <color theme="1"/>
        <rFont val="微軟正黑體"/>
        <family val="2"/>
        <charset val="136"/>
      </rPr>
      <t>UpdateFileB.xaml</t>
    </r>
    <r>
      <rPr>
        <sz val="11"/>
        <color theme="1"/>
        <rFont val="微軟正黑體"/>
        <family val="2"/>
        <charset val="136"/>
      </rPr>
      <t xml:space="preserve"> 時，僅傳遞了 </t>
    </r>
    <r>
      <rPr>
        <sz val="10"/>
        <color theme="1"/>
        <rFont val="微軟正黑體"/>
        <family val="2"/>
        <charset val="136"/>
      </rPr>
      <t>in_Config</t>
    </r>
    <r>
      <rPr>
        <sz val="11"/>
        <color theme="1"/>
        <rFont val="微軟正黑體"/>
        <family val="2"/>
        <charset val="136"/>
      </rPr>
      <t>，</t>
    </r>
    <r>
      <rPr>
        <b/>
        <sz val="11"/>
        <color theme="1"/>
        <rFont val="微軟正黑體"/>
        <family val="2"/>
        <charset val="136"/>
      </rPr>
      <t xml:space="preserve">遺漏了最重要的 </t>
    </r>
    <r>
      <rPr>
        <b/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>，這會導致 File B 無法知道 File A 更新到了哪一列。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</si>
  <si>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在 Invoke Workflow File 的屬性中，正確將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作為引數傳遞給 </t>
    </r>
    <r>
      <rPr>
        <sz val="10"/>
        <color theme="1"/>
        <rFont val="微軟正黑體"/>
        <family val="2"/>
        <charset val="136"/>
      </rPr>
      <t>UpdateFileB</t>
    </r>
    <r>
      <rPr>
        <sz val="11"/>
        <color theme="1"/>
        <rFont val="微軟正黑體"/>
        <family val="2"/>
        <charset val="136"/>
      </rPr>
      <t>。</t>
    </r>
  </si>
  <si>
    <t>4. 修正 J~O 欄位更新的 While 迴圈條件 (避免破圖/資料不齊)：</t>
  </si>
  <si>
    <r>
      <t>_old 版本：</t>
    </r>
    <r>
      <rPr>
        <sz val="11"/>
        <color theme="1"/>
        <rFont val="微軟正黑體"/>
        <family val="2"/>
        <charset val="136"/>
      </rPr>
      <t xml:space="preserve"> 條件為 </t>
    </r>
    <r>
      <rPr>
        <sz val="10"/>
        <color theme="1"/>
        <rFont val="微軟正黑體"/>
        <family val="2"/>
        <charset val="136"/>
      </rPr>
      <t>[(CurrentLastRow_J_Start + 23) &lt;= NewLastRowIndex]</t>
    </r>
    <r>
      <rPr>
        <sz val="11"/>
        <color theme="1"/>
        <rFont val="微軟正黑體"/>
        <family val="2"/>
        <charset val="136"/>
      </rPr>
      <t>，只要剩餘超過一天 (24行) 就執行下移拷貝。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</si>
  <si>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條件改為 </t>
    </r>
    <r>
      <rPr>
        <sz val="10"/>
        <color theme="1"/>
        <rFont val="微軟正黑體"/>
        <family val="2"/>
        <charset val="136"/>
      </rPr>
      <t>[(CurrentLastRow_J_Start + 47) &lt;= NewLastRowIndex]</t>
    </r>
    <r>
      <rPr>
        <sz val="11"/>
        <color theme="1"/>
        <rFont val="微軟正黑體"/>
        <family val="2"/>
        <charset val="136"/>
      </rPr>
      <t>。新版要求必須確保「有完整 48 小時 (兩天)」的空間才觸發 24 小時的平移，此舉防止了在資料未完全載入或跨日交界時，發生 Out of Range 或複製到空值的問題。</t>
    </r>
  </si>
  <si>
    <t>二、 UpdateFileB vs UpdateFileB_old</t>
  </si>
  <si>
    <t>此流程針對「物化性相關測定Trend」的更新，全面翻修了時間差計算、防止覆寫標題，以及修正了效能低下的貼上邏輯。</t>
  </si>
  <si>
    <r>
      <t xml:space="preserve">1. 新增 </t>
    </r>
    <r>
      <rPr>
        <b/>
        <sz val="10"/>
        <color theme="1"/>
        <rFont val="微軟正黑體"/>
        <family val="2"/>
        <charset val="136"/>
      </rPr>
      <t>NewLastRowIndex</t>
    </r>
    <r>
      <rPr>
        <b/>
        <sz val="11"/>
        <color theme="1"/>
        <rFont val="微軟正黑體"/>
        <family val="2"/>
        <charset val="136"/>
      </rPr>
      <t xml:space="preserve"> 傳入引數 (InArgument)：</t>
    </r>
  </si>
  <si>
    <r>
      <t>_old 版本：</t>
    </r>
    <r>
      <rPr>
        <sz val="11"/>
        <color theme="1"/>
        <rFont val="微軟正黑體"/>
        <family val="2"/>
        <charset val="136"/>
      </rPr>
      <t xml:space="preserve">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被宣告在內部 Variables 中（預設為 0），導致後續所有需要依賴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計算複製範圍的邏輯全部失效。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</si>
  <si>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正確將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宣告為外部傳入的 </t>
    </r>
    <r>
      <rPr>
        <sz val="10"/>
        <color theme="1"/>
        <rFont val="微軟正黑體"/>
        <family val="2"/>
        <charset val="136"/>
      </rPr>
      <t>InArgument</t>
    </r>
    <r>
      <rPr>
        <sz val="11"/>
        <color theme="1"/>
        <rFont val="微軟正黑體"/>
        <family val="2"/>
        <charset val="136"/>
      </rPr>
      <t>，接收來自 Process 的計算結果。</t>
    </r>
  </si>
  <si>
    <t>2. 新增最後列 (Last Row) 的下限保護 (防止覆蓋標題列)：</t>
  </si>
  <si>
    <r>
      <t>_old 版本：</t>
    </r>
    <r>
      <rPr>
        <sz val="11"/>
        <color theme="1"/>
        <rFont val="微軟正黑體"/>
        <family val="2"/>
        <charset val="136"/>
      </rPr>
      <t xml:space="preserve"> 取得 Data1 與 Data4 的最後一列後，直接拿來計算與貼上，若工作表為空，會把標題列覆蓋掉。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</si>
  <si>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取得 LastRow 後，強制加入 </t>
    </r>
    <r>
      <rPr>
        <sz val="10"/>
        <color theme="1"/>
        <rFont val="微軟正黑體"/>
        <family val="2"/>
        <charset val="136"/>
      </rPr>
      <t>Math.Max</t>
    </r>
    <r>
      <rPr>
        <sz val="11"/>
        <color theme="1"/>
        <rFont val="微軟正黑體"/>
        <family val="2"/>
        <charset val="136"/>
      </rPr>
      <t xml:space="preserve"> 保護機制。</t>
    </r>
  </si>
  <si>
    <r>
      <t>Data1：</t>
    </r>
    <r>
      <rPr>
        <sz val="10"/>
        <color theme="1"/>
        <rFont val="微軟正黑體"/>
        <family val="2"/>
        <charset val="136"/>
      </rPr>
      <t>LastRow_Data1 = Math.Max(8, LastRow_Data1)</t>
    </r>
    <r>
      <rPr>
        <sz val="11"/>
        <color theme="1"/>
        <rFont val="微軟正黑體"/>
        <family val="2"/>
        <charset val="136"/>
      </rPr>
      <t xml:space="preserve"> (保護前 7 列的標題/設定)。</t>
    </r>
  </si>
  <si>
    <r>
      <t>Data4：</t>
    </r>
    <r>
      <rPr>
        <sz val="10"/>
        <color theme="1"/>
        <rFont val="微軟正黑體"/>
        <family val="2"/>
        <charset val="136"/>
      </rPr>
      <t>LastRow_Data4 = Math.Max(2, LastRow_Data4)</t>
    </r>
    <r>
      <rPr>
        <sz val="11"/>
        <color theme="1"/>
        <rFont val="微軟正黑體"/>
        <family val="2"/>
        <charset val="136"/>
      </rPr>
      <t xml:space="preserve"> (保護第 1 列標題)。</t>
    </r>
  </si>
  <si>
    <t>3. 精準化時間差計算邏輯 (TimeDiff_Hours)：</t>
  </si>
  <si>
    <r>
      <t>_old 版本：</t>
    </r>
    <r>
      <rPr>
        <sz val="11"/>
        <color theme="1"/>
        <rFont val="微軟正黑體"/>
        <family val="2"/>
        <charset val="136"/>
      </rPr>
      <t xml:space="preserve"> 使用 </t>
    </r>
    <r>
      <rPr>
        <sz val="10"/>
        <color theme="1"/>
        <rFont val="微軟正黑體"/>
        <family val="2"/>
        <charset val="136"/>
      </rPr>
      <t>CInt(DateDiff(DateInterval.Hour, Time_FileB, Time_FileA))</t>
    </r>
    <r>
      <rPr>
        <sz val="11"/>
        <color theme="1"/>
        <rFont val="微軟正黑體"/>
        <family val="2"/>
        <charset val="136"/>
      </rPr>
      <t>。這會造成四捨五入誤差，甚至在跨日未滿一小時的情境下算出錯誤的時數。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</si>
  <si>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改用嚴謹的分鐘數換算機制：</t>
    </r>
    <r>
      <rPr>
        <sz val="10"/>
        <color theme="1"/>
        <rFont val="微軟正黑體"/>
        <family val="2"/>
        <charset val="136"/>
      </rPr>
      <t>Math.Max(0, CInt(Math.Ceiling(Math.Max(0, Time_FileA.Subtract(Time_FileB).TotalMinutes - 1) / 60)))</t>
    </r>
    <r>
      <rPr>
        <sz val="11"/>
        <color theme="1"/>
        <rFont val="微軟正黑體"/>
        <family val="2"/>
        <charset val="136"/>
      </rPr>
      <t xml:space="preserve">。精確計算兩者的分鐘差並無條件進位，且用 </t>
    </r>
    <r>
      <rPr>
        <sz val="10"/>
        <color theme="1"/>
        <rFont val="微軟正黑體"/>
        <family val="2"/>
        <charset val="136"/>
      </rPr>
      <t>Math.Max(0, ...)</t>
    </r>
    <r>
      <rPr>
        <sz val="11"/>
        <color theme="1"/>
        <rFont val="微軟正黑體"/>
        <family val="2"/>
        <charset val="136"/>
      </rPr>
      <t xml:space="preserve"> 防止算出負數時數。</t>
    </r>
  </si>
  <si>
    <t>4. 修正讀取日期格式導致的型別錯誤：</t>
  </si>
  <si>
    <r>
      <t>_old 版本：</t>
    </r>
    <r>
      <rPr>
        <sz val="11"/>
        <color theme="1"/>
        <rFont val="微軟正黑體"/>
        <family val="2"/>
        <charset val="136"/>
      </rPr>
      <t xml:space="preserve"> 讀取 File A (SHP DATA) 的日期時，</t>
    </r>
    <r>
      <rPr>
        <sz val="10"/>
        <color theme="1"/>
        <rFont val="微軟正黑體"/>
        <family val="2"/>
        <charset val="136"/>
      </rPr>
      <t>GetFormattedText="True"</t>
    </r>
    <r>
      <rPr>
        <sz val="11"/>
        <color theme="1"/>
        <rFont val="微軟正黑體"/>
        <family val="2"/>
        <charset val="136"/>
      </rPr>
      <t>，取得的是字串，容易因為 Excel 格式不同導致後續時間相減報錯。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</si>
  <si>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改為 </t>
    </r>
    <r>
      <rPr>
        <sz val="10"/>
        <color theme="1"/>
        <rFont val="微軟正黑體"/>
        <family val="2"/>
        <charset val="136"/>
      </rPr>
      <t>GetFormattedText="False"</t>
    </r>
    <r>
      <rPr>
        <sz val="11"/>
        <color theme="1"/>
        <rFont val="微軟正黑體"/>
        <family val="2"/>
        <charset val="136"/>
      </rPr>
      <t>，直接抓取底層的 DateTime 物件。</t>
    </r>
  </si>
  <si>
    <t>5. 新增「是否有新資料」的防呆判斷 (If Condition)：</t>
  </si>
  <si>
    <r>
      <t>_old 版本：</t>
    </r>
    <r>
      <rPr>
        <sz val="11"/>
        <color theme="1"/>
        <rFont val="微軟正黑體"/>
        <family val="2"/>
        <charset val="136"/>
      </rPr>
      <t xml:space="preserve"> 沒有判斷條件，每次執行都會硬把資料貼過去。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</si>
  <si>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對 Data1 與 Data4 的更新外層，都加入了 </t>
    </r>
    <r>
      <rPr>
        <sz val="10"/>
        <color theme="1"/>
        <rFont val="微軟正黑體"/>
        <family val="2"/>
        <charset val="136"/>
      </rPr>
      <t>If Condition="[TimeDiff_Hours &gt; 0 AndAlso CopyStartRow_FileA &lt;= NewLastRowIndex]"</t>
    </r>
    <r>
      <rPr>
        <sz val="11"/>
        <color theme="1"/>
        <rFont val="微軟正黑體"/>
        <family val="2"/>
        <charset val="136"/>
      </rPr>
      <t>，確保「真的有時間差」且「起始列合法」才進行更新。</t>
    </r>
  </si>
  <si>
    <t>6. 優化複製貼上 (Copy/Paste) 的效能與避免格式污染：</t>
  </si>
  <si>
    <r>
      <t>_old 版本：</t>
    </r>
    <r>
      <rPr>
        <sz val="11"/>
        <color theme="1"/>
        <rFont val="微軟正黑體"/>
        <family val="2"/>
        <charset val="136"/>
      </rPr>
      <t xml:space="preserve"> 直接從 File A </t>
    </r>
    <r>
      <rPr>
        <sz val="10"/>
        <color theme="1"/>
        <rFont val="微軟正黑體"/>
        <family val="2"/>
        <charset val="136"/>
      </rPr>
      <t>PasteOptions="All"</t>
    </r>
    <r>
      <rPr>
        <sz val="11"/>
        <color theme="1"/>
        <rFont val="微軟正黑體"/>
        <family val="2"/>
        <charset val="136"/>
      </rPr>
      <t xml:space="preserve"> 貼上 File B，會把 File A 的框線、顏色等無關格式帶過去，且依賴 </t>
    </r>
    <r>
      <rPr>
        <sz val="10"/>
        <color theme="1"/>
        <rFont val="微軟正黑體"/>
        <family val="2"/>
        <charset val="136"/>
      </rPr>
      <t>FindFirstLastDataRowX</t>
    </r>
    <r>
      <rPr>
        <sz val="11"/>
        <color theme="1"/>
        <rFont val="微軟正黑體"/>
        <family val="2"/>
        <charset val="136"/>
      </rPr>
      <t xml:space="preserve"> 重新找貼上後的最後一列，效能極差。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</si>
  <si>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* 將跨檔案複製資料改為 </t>
    </r>
    <r>
      <rPr>
        <sz val="10"/>
        <color theme="1"/>
        <rFont val="微軟正黑體"/>
        <family val="2"/>
        <charset val="136"/>
      </rPr>
      <t>PasteOptions="Values"</t>
    </r>
    <r>
      <rPr>
        <sz val="11"/>
        <color theme="1"/>
        <rFont val="微軟正黑體"/>
        <family val="2"/>
        <charset val="136"/>
      </rPr>
      <t xml:space="preserve"> (僅貼上值)。</t>
    </r>
  </si>
  <si>
    <r>
      <t xml:space="preserve">捨棄重新尋找最後一列的 Activity，改用數學直接推算 </t>
    </r>
    <r>
      <rPr>
        <sz val="10"/>
        <color theme="1"/>
        <rFont val="微軟正黑體"/>
        <family val="2"/>
        <charset val="136"/>
      </rPr>
      <t>NewLastRow_Data1 = LastRow_Data1 + (NewLastRowIndex - CopyStartRow_FileA + 1)</t>
    </r>
    <r>
      <rPr>
        <sz val="11"/>
        <color theme="1"/>
        <rFont val="微軟正黑體"/>
        <family val="2"/>
        <charset val="136"/>
      </rPr>
      <t>，大幅加速流程。</t>
    </r>
  </si>
  <si>
    <r>
      <t xml:space="preserve">將 File B 自身的格式與公式 (AJ、AL、C、D欄)，透過另一個 </t>
    </r>
    <r>
      <rPr>
        <sz val="10"/>
        <color theme="1"/>
        <rFont val="微軟正黑體"/>
        <family val="2"/>
        <charset val="136"/>
      </rPr>
      <t>CopyPasteRangeX</t>
    </r>
    <r>
      <rPr>
        <sz val="11"/>
        <color theme="1"/>
        <rFont val="微軟正黑體"/>
        <family val="2"/>
        <charset val="136"/>
      </rPr>
      <t xml:space="preserve"> 從上一列往下套用 (</t>
    </r>
    <r>
      <rPr>
        <sz val="10"/>
        <color theme="1"/>
        <rFont val="微軟正黑體"/>
        <family val="2"/>
        <charset val="136"/>
      </rPr>
      <t>PasteOptions="All"</t>
    </r>
    <r>
      <rPr>
        <sz val="11"/>
        <color theme="1"/>
        <rFont val="微軟正黑體"/>
        <family val="2"/>
        <charset val="136"/>
      </rPr>
      <t>)，確保檔案二的公式延續性。</t>
    </r>
  </si>
  <si>
    <t>三、 UpdateFileC vs UpdateFileC_old</t>
  </si>
  <si>
    <t>此流程針對「SHP向報告用資料」進行了極為關鍵的「跨維度對齊 (Hourly to Daily)」邏輯重構，解決了舊版直接整塊複製會導致時間錯亂的嚴重 Bug。</t>
  </si>
  <si>
    <t>1. 修正尋找資料列 (Find First/Last Data Row) 無法跳過大量空白列的問題：</t>
  </si>
  <si>
    <r>
      <t>_old 版本：</t>
    </r>
    <r>
      <rPr>
        <sz val="11"/>
        <color theme="1"/>
        <rFont val="微軟正黑體"/>
        <family val="2"/>
        <charset val="136"/>
      </rPr>
      <t xml:space="preserve"> 所有尋找最後一列的屬性 </t>
    </r>
    <r>
      <rPr>
        <sz val="10"/>
        <color theme="1"/>
        <rFont val="微軟正黑體"/>
        <family val="2"/>
        <charset val="136"/>
      </rPr>
      <t>BlankRowsToSkip</t>
    </r>
    <r>
      <rPr>
        <sz val="11"/>
        <color theme="1"/>
        <rFont val="微軟正黑體"/>
        <family val="2"/>
        <charset val="136"/>
      </rPr>
      <t xml:space="preserve"> 皆設定為 </t>
    </r>
    <r>
      <rPr>
        <sz val="10"/>
        <color theme="1"/>
        <rFont val="微軟正黑體"/>
        <family val="2"/>
        <charset val="136"/>
      </rPr>
      <t>1</t>
    </r>
    <r>
      <rPr>
        <sz val="11"/>
        <color theme="1"/>
        <rFont val="微軟正黑體"/>
        <family val="2"/>
        <charset val="136"/>
      </rPr>
      <t>。只要遇到兩行空白，RPA 就會誤以為是檔案結尾。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</si>
  <si>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* 在 SHP DATA 尋找 J 欄時，改為 </t>
    </r>
    <r>
      <rPr>
        <sz val="10"/>
        <color theme="1"/>
        <rFont val="微軟正黑體"/>
        <family val="2"/>
        <charset val="136"/>
      </rPr>
      <t>BlankRowsToSkip="24"</t>
    </r>
    <r>
      <rPr>
        <sz val="11"/>
        <color theme="1"/>
        <rFont val="微軟正黑體"/>
        <family val="2"/>
        <charset val="136"/>
      </rPr>
      <t xml:space="preserve"> (因為日平均數據每 24 行才出現一次)。</t>
    </r>
  </si>
  <si>
    <r>
      <t xml:space="preserve">在 File C 的「敷溫度差」與「絕對壓_DAIS流量」中，改為 </t>
    </r>
    <r>
      <rPr>
        <sz val="10"/>
        <color theme="1"/>
        <rFont val="微軟正黑體"/>
        <family val="2"/>
        <charset val="136"/>
      </rPr>
      <t>BlankRowsToSkip="2000"</t>
    </r>
    <r>
      <rPr>
        <sz val="11"/>
        <color theme="1"/>
        <rFont val="微軟正黑體"/>
        <family val="2"/>
        <charset val="136"/>
      </rPr>
      <t>，確保能跨越手動預留的龐大空白區塊，找到真正的最後一筆資料。</t>
    </r>
  </si>
  <si>
    <t>2. 新增最後列的下限保護：</t>
  </si>
  <si>
    <r>
      <t>_old 版本：</t>
    </r>
    <r>
      <rPr>
        <sz val="11"/>
        <color theme="1"/>
        <rFont val="微軟正黑體"/>
        <family val="2"/>
        <charset val="136"/>
      </rPr>
      <t xml:space="preserve"> 直接使用取得的 LastRow。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</si>
  <si>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針對 </t>
    </r>
    <r>
      <rPr>
        <sz val="10"/>
        <color theme="1"/>
        <rFont val="微軟正黑體"/>
        <family val="2"/>
        <charset val="136"/>
      </rPr>
      <t>LastRow_FileA_Daily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LastRow_FileC</t>
    </r>
    <r>
      <rPr>
        <sz val="11"/>
        <color theme="1"/>
        <rFont val="微軟正黑體"/>
        <family val="2"/>
        <charset val="136"/>
      </rPr>
      <t xml:space="preserve"> 皆加入 </t>
    </r>
    <r>
      <rPr>
        <sz val="10"/>
        <color theme="1"/>
        <rFont val="微軟正黑體"/>
        <family val="2"/>
        <charset val="136"/>
      </rPr>
      <t>Math.Max(2, ...)</t>
    </r>
    <r>
      <rPr>
        <sz val="11"/>
        <color theme="1"/>
        <rFont val="微軟正黑體"/>
        <family val="2"/>
        <charset val="136"/>
      </rPr>
      <t>，防止覆蓋第一列的表頭。</t>
    </r>
  </si>
  <si>
    <t>3. 全面重構「日平均資料」的貼上邏輯 (由區塊複製改為逐日迴圈提取)：(最重大的修復)</t>
  </si>
  <si>
    <r>
      <t>_old 版本：</t>
    </r>
    <r>
      <rPr>
        <sz val="11"/>
        <color theme="1"/>
        <rFont val="微軟正黑體"/>
        <family val="2"/>
        <charset val="136"/>
      </rPr>
      <t xml:space="preserve"> 舊版直接將 File A 裡某個範圍的資料，一整塊直接 </t>
    </r>
    <r>
      <rPr>
        <sz val="10"/>
        <color theme="1"/>
        <rFont val="微軟正黑體"/>
        <family val="2"/>
        <charset val="136"/>
      </rPr>
      <t>PasteOptions="Values"</t>
    </r>
    <r>
      <rPr>
        <sz val="11"/>
        <color theme="1"/>
        <rFont val="微軟正黑體"/>
        <family val="2"/>
        <charset val="136"/>
      </rPr>
      <t xml:space="preserve"> 貼進 File C。但 File A 的資料是「每小時一筆」，日平均值是每 24 行才有一筆；而 File C 是「每日一筆」。直接整塊貼上會把不需要的小時資料塞進 File C，導致維度完全錯亂。</t>
    </r>
  </si>
  <si>
    <t>新版修正：</t>
  </si>
  <si>
    <r>
      <t xml:space="preserve">引入了 </t>
    </r>
    <r>
      <rPr>
        <sz val="10"/>
        <color theme="1"/>
        <rFont val="微軟正黑體"/>
        <family val="2"/>
        <charset val="136"/>
      </rPr>
      <t>DateDiff_Days</t>
    </r>
    <r>
      <rPr>
        <sz val="11"/>
        <color theme="1"/>
        <rFont val="微軟正黑體"/>
        <family val="2"/>
        <charset val="136"/>
      </rPr>
      <t xml:space="preserve"> 計算相差的天數。</t>
    </r>
  </si>
  <si>
    <r>
      <t xml:space="preserve">引入了 </t>
    </r>
    <r>
      <rPr>
        <sz val="10"/>
        <color theme="1"/>
        <rFont val="微軟正黑體"/>
        <family val="2"/>
        <charset val="136"/>
      </rPr>
      <t>For Each</t>
    </r>
    <r>
      <rPr>
        <sz val="11"/>
        <color theme="1"/>
        <rFont val="微軟正黑體"/>
        <family val="2"/>
        <charset val="136"/>
      </rPr>
      <t xml:space="preserve"> 迴圈 (次數為相差的天數)。</t>
    </r>
  </si>
  <si>
    <r>
      <t xml:space="preserve">在迴圈內部，利用 </t>
    </r>
    <r>
      <rPr>
        <sz val="10"/>
        <color theme="1"/>
        <rFont val="微軟正黑體"/>
        <family val="2"/>
        <charset val="136"/>
      </rPr>
      <t>(DayIndex * 24)</t>
    </r>
    <r>
      <rPr>
        <sz val="11"/>
        <color theme="1"/>
        <rFont val="微軟正黑體"/>
        <family val="2"/>
        <charset val="136"/>
      </rPr>
      <t xml:space="preserve"> 的乘數邏輯，</t>
    </r>
    <r>
      <rPr>
        <b/>
        <sz val="11"/>
        <color theme="1"/>
        <rFont val="微軟正黑體"/>
        <family val="2"/>
        <charset val="136"/>
      </rPr>
      <t>精準地「每跳 24 行」去 File A 抓取那一天的平均值，然後「每跳 1 行」循序貼入 File C 中</t>
    </r>
    <r>
      <rPr>
        <sz val="11"/>
        <color theme="1"/>
        <rFont val="微軟正黑體"/>
        <family val="2"/>
        <charset val="136"/>
      </rPr>
      <t>。這徹底解決了 Hourly 轉 Daily 的間距對齊問題。</t>
    </r>
  </si>
  <si>
    <t>4. 獨立出格式套用區塊：</t>
  </si>
  <si>
    <r>
      <t>_old 版本：</t>
    </r>
    <r>
      <rPr>
        <sz val="11"/>
        <color theme="1"/>
        <rFont val="微軟正黑體"/>
        <family val="2"/>
        <charset val="136"/>
      </rPr>
      <t xml:space="preserve"> 未處理 File C 內的格式延續。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</si>
  <si>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在進入 For Each 迴圈貼上每日數值之前，先執行一次 </t>
    </r>
    <r>
      <rPr>
        <sz val="10"/>
        <color theme="1"/>
        <rFont val="微軟正黑體"/>
        <family val="2"/>
        <charset val="136"/>
      </rPr>
      <t>CopyPasteRangeX</t>
    </r>
    <r>
      <rPr>
        <sz val="11"/>
        <color theme="1"/>
        <rFont val="微軟正黑體"/>
        <family val="2"/>
        <charset val="136"/>
      </rPr>
      <t xml:space="preserve">，將上一列的框線、格式、公式向下填滿至 </t>
    </r>
    <r>
      <rPr>
        <sz val="10"/>
        <color theme="1"/>
        <rFont val="微軟正黑體"/>
        <family val="2"/>
        <charset val="136"/>
      </rPr>
      <t>NewLastRow_FileC</t>
    </r>
    <r>
      <rPr>
        <sz val="11"/>
        <color theme="1"/>
        <rFont val="微軟正黑體"/>
        <family val="2"/>
        <charset val="136"/>
      </rPr>
      <t xml:space="preserve"> (</t>
    </r>
    <r>
      <rPr>
        <sz val="10"/>
        <color theme="1"/>
        <rFont val="微軟正黑體"/>
        <family val="2"/>
        <charset val="136"/>
      </rPr>
      <t>PasteOptions="All"</t>
    </r>
    <r>
      <rPr>
        <sz val="11"/>
        <color theme="1"/>
        <rFont val="微軟正黑體"/>
        <family val="2"/>
        <charset val="136"/>
      </rPr>
      <t xml:space="preserve">)，隨後才用 </t>
    </r>
    <r>
      <rPr>
        <sz val="10"/>
        <color theme="1"/>
        <rFont val="微軟正黑體"/>
        <family val="2"/>
        <charset val="136"/>
      </rPr>
      <t>PasteOptions="Values"</t>
    </r>
    <r>
      <rPr>
        <sz val="11"/>
        <color theme="1"/>
        <rFont val="微軟正黑體"/>
        <family val="2"/>
        <charset val="136"/>
      </rPr>
      <t xml:space="preserve"> 填入實際數值，保持報表美觀與計算正確。</t>
    </r>
  </si>
  <si>
    <t>一、 Process vs Process_old (主流程)</t>
  </si>
  <si>
    <t>在主流程中，主要修正了瀏覽器連線穩定性、變數未正確傳遞（致命錯誤）以及迴圈邊界判斷的潛在風險。</t>
  </si>
  <si>
    <t>1. 修正瀏覽器作用域 (Browser Scope) 中斷與多重綁定問題</t>
  </si>
  <si>
    <r>
      <t>_old 版本：</t>
    </r>
    <r>
      <rPr>
        <sz val="11"/>
        <color theme="1"/>
        <rFont val="微軟正黑體"/>
        <family val="2"/>
        <charset val="136"/>
      </rPr>
      <t xml:space="preserve"> 登入系統所使用的 </t>
    </r>
    <r>
      <rPr>
        <sz val="10"/>
        <color theme="1"/>
        <rFont val="微軟正黑體"/>
        <family val="2"/>
        <charset val="136"/>
      </rPr>
      <t>NApplicationCard_3</t>
    </r>
    <r>
      <rPr>
        <sz val="11"/>
        <color theme="1"/>
        <rFont val="微軟正黑體"/>
        <family val="2"/>
        <charset val="136"/>
      </rPr>
      <t xml:space="preserve"> (Edge 瀏覽器) 範圍僅包含登入動作。後續下載「窯」與「IF」資料時，又各自建立獨立的 </t>
    </r>
    <r>
      <rPr>
        <sz val="10"/>
        <color theme="1"/>
        <rFont val="微軟正黑體"/>
        <family val="2"/>
        <charset val="136"/>
      </rPr>
      <t>NApplicationCard_1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NApplicationCard_2</t>
    </r>
    <r>
      <rPr>
        <sz val="11"/>
        <color theme="1"/>
        <rFont val="微軟正黑體"/>
        <family val="2"/>
        <charset val="136"/>
      </rPr>
      <t xml:space="preserve"> 嘗試重新綁定瀏覽器。這極易導致 Session 遺失或抓取不到正確的瀏覽器實例而報錯。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</si>
  <si>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將「下載窯資料」與「下載IF資料」的所有相關動作與 Excel 處理範圍，</t>
    </r>
    <r>
      <rPr>
        <b/>
        <sz val="11"/>
        <color theme="1"/>
        <rFont val="微軟正黑體"/>
        <family val="2"/>
        <charset val="136"/>
      </rPr>
      <t xml:space="preserve">全部整合收納至最初登入的 </t>
    </r>
    <r>
      <rPr>
        <b/>
        <sz val="10"/>
        <color theme="1"/>
        <rFont val="微軟正黑體"/>
        <family val="2"/>
        <charset val="136"/>
      </rPr>
      <t>NApplicationCard_3</t>
    </r>
    <r>
      <rPr>
        <b/>
        <sz val="11"/>
        <color theme="1"/>
        <rFont val="微軟正黑體"/>
        <family val="2"/>
        <charset val="136"/>
      </rPr>
      <t xml:space="preserve"> 範圍內</t>
    </r>
    <r>
      <rPr>
        <sz val="11"/>
        <color theme="1"/>
        <rFont val="微軟正黑體"/>
        <family val="2"/>
        <charset val="136"/>
      </rPr>
      <t>。確保從登入到下載完成，全程維持在同一個 Browser Session 之中，大幅提升自動化操作的穩定性。</t>
    </r>
  </si>
  <si>
    <t>2. 修正動態路徑變數賦值位置</t>
  </si>
  <si>
    <r>
      <t>_old 版本：</t>
    </r>
    <r>
      <rPr>
        <sz val="11"/>
        <color theme="1"/>
        <rFont val="微軟正黑體"/>
        <family val="2"/>
        <charset val="136"/>
      </rPr>
      <t xml:space="preserve"> 動態取得下載路徑（</t>
    </r>
    <r>
      <rPr>
        <sz val="10"/>
        <color theme="1"/>
        <rFont val="微軟正黑體"/>
        <family val="2"/>
        <charset val="136"/>
      </rPr>
      <t>UserProfilePath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DownloadsPath</t>
    </r>
    <r>
      <rPr>
        <sz val="11"/>
        <color theme="1"/>
        <rFont val="微軟正黑體"/>
        <family val="2"/>
        <charset val="136"/>
      </rPr>
      <t xml:space="preserve">）的 </t>
    </r>
    <r>
      <rPr>
        <sz val="10"/>
        <color theme="1"/>
        <rFont val="微軟正黑體"/>
        <family val="2"/>
        <charset val="136"/>
      </rPr>
      <t>Assign</t>
    </r>
    <r>
      <rPr>
        <sz val="11"/>
        <color theme="1"/>
        <rFont val="微軟正黑體"/>
        <family val="2"/>
        <charset val="136"/>
      </rPr>
      <t xml:space="preserve"> 動作散落於瀏覽器登入範圍之外。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</si>
  <si>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將取得環境變數的動作移入 </t>
    </r>
    <r>
      <rPr>
        <sz val="10"/>
        <color theme="1"/>
        <rFont val="微軟正黑體"/>
        <family val="2"/>
        <charset val="136"/>
      </rPr>
      <t>NApplicationCard_3</t>
    </r>
    <r>
      <rPr>
        <sz val="11"/>
        <color theme="1"/>
        <rFont val="微軟正黑體"/>
        <family val="2"/>
        <charset val="136"/>
      </rPr>
      <t xml:space="preserve"> 內部，確保在點擊下載按鈕並觸發 </t>
    </r>
    <r>
      <rPr>
        <sz val="10"/>
        <color theme="1"/>
        <rFont val="微軟正黑體"/>
        <family val="2"/>
        <charset val="136"/>
      </rPr>
      <t>Wait for Download</t>
    </r>
    <r>
      <rPr>
        <sz val="11"/>
        <color theme="1"/>
        <rFont val="微軟正黑體"/>
        <family val="2"/>
        <charset val="136"/>
      </rPr>
      <t xml:space="preserve"> 前，路徑變數已在當下的執行環境中準備就緒。</t>
    </r>
  </si>
  <si>
    <t>3. 修正 UpdateFileB 的引數 (Arguments) 遺漏問題 (致命錯誤)</t>
  </si>
  <si>
    <r>
      <t>_old 版本：</t>
    </r>
    <r>
      <rPr>
        <sz val="11"/>
        <color theme="1"/>
        <rFont val="微軟正黑體"/>
        <family val="2"/>
        <charset val="136"/>
      </rPr>
      <t xml:space="preserve"> 透過 </t>
    </r>
    <r>
      <rPr>
        <sz val="10"/>
        <color theme="1"/>
        <rFont val="微軟正黑體"/>
        <family val="2"/>
        <charset val="136"/>
      </rPr>
      <t>Invoke Workflow File</t>
    </r>
    <r>
      <rPr>
        <sz val="11"/>
        <color theme="1"/>
        <rFont val="微軟正黑體"/>
        <family val="2"/>
        <charset val="136"/>
      </rPr>
      <t xml:space="preserve"> 呼叫 </t>
    </r>
    <r>
      <rPr>
        <sz val="10"/>
        <color theme="1"/>
        <rFont val="微軟正黑體"/>
        <family val="2"/>
        <charset val="136"/>
      </rPr>
      <t>UpdateFileB.xaml</t>
    </r>
    <r>
      <rPr>
        <sz val="11"/>
        <color theme="1"/>
        <rFont val="微軟正黑體"/>
        <family val="2"/>
        <charset val="136"/>
      </rPr>
      <t xml:space="preserve"> 時，僅傳遞了 </t>
    </r>
    <r>
      <rPr>
        <sz val="10"/>
        <color theme="1"/>
        <rFont val="微軟正黑體"/>
        <family val="2"/>
        <charset val="136"/>
      </rPr>
      <t>in_Config</t>
    </r>
    <r>
      <rPr>
        <sz val="11"/>
        <color theme="1"/>
        <rFont val="微軟正黑體"/>
        <family val="2"/>
        <charset val="136"/>
      </rPr>
      <t xml:space="preserve"> 引數，</t>
    </r>
    <r>
      <rPr>
        <b/>
        <sz val="11"/>
        <color theme="1"/>
        <rFont val="微軟正黑體"/>
        <family val="2"/>
        <charset val="136"/>
      </rPr>
      <t xml:space="preserve">完全遺漏了最重要的 </t>
    </r>
    <r>
      <rPr>
        <b/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>。這會導致 File B 無法得知 File A 到底更新到了哪一列，進而造成後續所有處理失效。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</si>
  <si>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正確地將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作為引數傳遞給 </t>
    </r>
    <r>
      <rPr>
        <sz val="10"/>
        <color theme="1"/>
        <rFont val="微軟正黑體"/>
        <family val="2"/>
        <charset val="136"/>
      </rPr>
      <t>UpdateFileB.xaml</t>
    </r>
    <r>
      <rPr>
        <sz val="11"/>
        <color theme="1"/>
        <rFont val="微軟正黑體"/>
        <family val="2"/>
        <charset val="136"/>
      </rPr>
      <t>。</t>
    </r>
  </si>
  <si>
    <t>4. 修正 J~O 欄位更新的 While 迴圈條件 (避免資料不齊全)</t>
  </si>
  <si>
    <r>
      <t>_old 版本：</t>
    </r>
    <r>
      <rPr>
        <sz val="11"/>
        <color theme="1"/>
        <rFont val="微軟正黑體"/>
        <family val="2"/>
        <charset val="136"/>
      </rPr>
      <t xml:space="preserve"> 迴圈執行條件為 </t>
    </r>
    <r>
      <rPr>
        <sz val="10"/>
        <color theme="1"/>
        <rFont val="微軟正黑體"/>
        <family val="2"/>
        <charset val="136"/>
      </rPr>
      <t>[(CurrentLastRow_J_Start + 23) &lt;= NewLastRowIndex]</t>
    </r>
    <r>
      <rPr>
        <sz val="11"/>
        <color theme="1"/>
        <rFont val="微軟正黑體"/>
        <family val="2"/>
        <charset val="136"/>
      </rPr>
      <t>，意味著只要剩餘資料超過 24 行（一天）就會執行平移。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</si>
  <si>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條件修正為 </t>
    </r>
    <r>
      <rPr>
        <sz val="10"/>
        <color theme="1"/>
        <rFont val="微軟正黑體"/>
        <family val="2"/>
        <charset val="136"/>
      </rPr>
      <t>[(CurrentLastRow_J_Start + 47) &lt;= NewLastRowIndex]</t>
    </r>
    <r>
      <rPr>
        <sz val="11"/>
        <color theme="1"/>
        <rFont val="微軟正黑體"/>
        <family val="2"/>
        <charset val="136"/>
      </rPr>
      <t>。新版要求必須確保有「完整 48 小時 (兩天)」的空間才觸發 24 小時的平移，此舉可防止在資料未完全載入或適逢跨日交界時，發生 Out of Range 或提早複製到空值的狀況。</t>
    </r>
  </si>
  <si>
    <t>二、 UpdateFileB vs UpdateFileB_old (物化性相關測定Trend)</t>
  </si>
  <si>
    <t>此流程全面翻修了時間差的計算方式、防護標題列不被覆寫，並修正了效能低落的格式貼上邏輯。</t>
  </si>
  <si>
    <r>
      <t xml:space="preserve">1. 修正 </t>
    </r>
    <r>
      <rPr>
        <b/>
        <sz val="10"/>
        <color theme="1"/>
        <rFont val="微軟正黑體"/>
        <family val="2"/>
        <charset val="136"/>
      </rPr>
      <t>NewLastRowIndex</t>
    </r>
    <r>
      <rPr>
        <b/>
        <sz val="13.5"/>
        <color theme="1"/>
        <rFont val="微軟正黑體"/>
        <family val="2"/>
        <charset val="136"/>
      </rPr>
      <t xml:space="preserve"> 的變數宣告層級</t>
    </r>
  </si>
  <si>
    <r>
      <t>_old 版本：</t>
    </r>
    <r>
      <rPr>
        <sz val="11"/>
        <color theme="1"/>
        <rFont val="微軟正黑體"/>
        <family val="2"/>
        <charset val="136"/>
      </rPr>
      <t xml:space="preserve">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被宣告在內部的 Variables 中（預設值為 0），導致無法接收來自 Process 的資料，後續計算複製範圍的邏輯全部癱瘓。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</si>
  <si>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正確將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變更宣告為外部傳入的 </t>
    </r>
    <r>
      <rPr>
        <sz val="10"/>
        <color theme="1"/>
        <rFont val="微軟正黑體"/>
        <family val="2"/>
        <charset val="136"/>
      </rPr>
      <t>InArgument</t>
    </r>
    <r>
      <rPr>
        <sz val="11"/>
        <color theme="1"/>
        <rFont val="微軟正黑體"/>
        <family val="2"/>
        <charset val="136"/>
      </rPr>
      <t>，成功接收 Process 計算出的最後列索引。</t>
    </r>
  </si>
  <si>
    <t>2. 新增最後列 (Last Row) 的下限防護 (防止覆寫標題)</t>
  </si>
  <si>
    <r>
      <t>_old 版本：</t>
    </r>
    <r>
      <rPr>
        <sz val="11"/>
        <color theme="1"/>
        <rFont val="微軟正黑體"/>
        <family val="2"/>
        <charset val="136"/>
      </rPr>
      <t xml:space="preserve"> 透過 </t>
    </r>
    <r>
      <rPr>
        <sz val="10"/>
        <color theme="1"/>
        <rFont val="微軟正黑體"/>
        <family val="2"/>
        <charset val="136"/>
      </rPr>
      <t>FindFirstLastDataRowX</t>
    </r>
    <r>
      <rPr>
        <sz val="11"/>
        <color theme="1"/>
        <rFont val="微軟正黑體"/>
        <family val="2"/>
        <charset val="136"/>
      </rPr>
      <t xml:space="preserve"> 取得 Data1 與 Data4 的最後一列後，直接用於計算與貼上。若工作表為空或遭人為清空，會直接將標題列覆蓋掉。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</si>
  <si>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取得 LastRow 後，強制加入 </t>
    </r>
    <r>
      <rPr>
        <sz val="10"/>
        <color theme="1"/>
        <rFont val="微軟正黑體"/>
        <family val="2"/>
        <charset val="136"/>
      </rPr>
      <t>Math.Max</t>
    </r>
    <r>
      <rPr>
        <sz val="11"/>
        <color theme="1"/>
        <rFont val="微軟正黑體"/>
        <family val="2"/>
        <charset val="136"/>
      </rPr>
      <t xml:space="preserve"> 防護機制。</t>
    </r>
  </si>
  <si>
    <r>
      <t>Data1：</t>
    </r>
    <r>
      <rPr>
        <sz val="10"/>
        <color theme="1"/>
        <rFont val="微軟正黑體"/>
        <family val="2"/>
        <charset val="136"/>
      </rPr>
      <t>LastRow_Data1 = Math.Max(8, LastRow_Data1)</t>
    </r>
    <r>
      <rPr>
        <sz val="11"/>
        <color theme="1"/>
        <rFont val="微軟正黑體"/>
        <family val="2"/>
        <charset val="136"/>
      </rPr>
      <t xml:space="preserve"> (保護前 7 列的標題與設定區塊)。</t>
    </r>
  </si>
  <si>
    <r>
      <t>Data4：</t>
    </r>
    <r>
      <rPr>
        <sz val="10"/>
        <color theme="1"/>
        <rFont val="微軟正黑體"/>
        <family val="2"/>
        <charset val="136"/>
      </rPr>
      <t>LastRow_Data4 = Math.Max(2, LastRow_Data4)</t>
    </r>
    <r>
      <rPr>
        <sz val="11"/>
        <color theme="1"/>
        <rFont val="微軟正黑體"/>
        <family val="2"/>
        <charset val="136"/>
      </rPr>
      <t xml:space="preserve"> (保護第 1 列的標題)。</t>
    </r>
  </si>
  <si>
    <t>3. 精準化時間差計算邏輯 (TimeDiff_Hours)</t>
  </si>
  <si>
    <r>
      <t>_old 版本：</t>
    </r>
    <r>
      <rPr>
        <sz val="11"/>
        <color theme="1"/>
        <rFont val="微軟正黑體"/>
        <family val="2"/>
        <charset val="136"/>
      </rPr>
      <t xml:space="preserve"> 使用 </t>
    </r>
    <r>
      <rPr>
        <sz val="10"/>
        <color theme="1"/>
        <rFont val="微軟正黑體"/>
        <family val="2"/>
        <charset val="136"/>
      </rPr>
      <t>CInt(DateDiff(DateInterval.Hour, Time_FileB, Time_FileA))</t>
    </r>
    <r>
      <rPr>
        <sz val="11"/>
        <color theme="1"/>
        <rFont val="微軟正黑體"/>
        <family val="2"/>
        <charset val="136"/>
      </rPr>
      <t>。這會依賴 VB 的四捨五入機制，在跨日或未滿一小時的情境下極易算出錯誤的相差時數。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</si>
  <si>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改用更嚴格的分鐘數換算機制：</t>
    </r>
    <r>
      <rPr>
        <sz val="10"/>
        <color theme="1"/>
        <rFont val="微軟正黑體"/>
        <family val="2"/>
        <charset val="136"/>
      </rPr>
      <t>Math.Max(0, CInt(Math.Ceiling(Math.Max(0, Time_FileA.Subtract(Time_FileB).TotalMinutes - 1) / 60)))</t>
    </r>
    <r>
      <rPr>
        <sz val="11"/>
        <color theme="1"/>
        <rFont val="微軟正黑體"/>
        <family val="2"/>
        <charset val="136"/>
      </rPr>
      <t xml:space="preserve">。精確計算兩者的分鐘差並無條件進位，且使用 </t>
    </r>
    <r>
      <rPr>
        <sz val="10"/>
        <color theme="1"/>
        <rFont val="微軟正黑體"/>
        <family val="2"/>
        <charset val="136"/>
      </rPr>
      <t>Math.Max(0, ...)</t>
    </r>
    <r>
      <rPr>
        <sz val="11"/>
        <color theme="1"/>
        <rFont val="微軟正黑體"/>
        <family val="2"/>
        <charset val="136"/>
      </rPr>
      <t xml:space="preserve"> 防止算出負數導致報錯。</t>
    </r>
  </si>
  <si>
    <t>4. 修正讀取日期的屬性 (防止型別錯誤)</t>
  </si>
  <si>
    <r>
      <t>_old 版本：</t>
    </r>
    <r>
      <rPr>
        <sz val="11"/>
        <color theme="1"/>
        <rFont val="微軟正黑體"/>
        <family val="2"/>
        <charset val="136"/>
      </rPr>
      <t xml:space="preserve"> 讀取 File A 的日期時間時，設定為 </t>
    </r>
    <r>
      <rPr>
        <sz val="10"/>
        <color theme="1"/>
        <rFont val="微軟正黑體"/>
        <family val="2"/>
        <charset val="136"/>
      </rPr>
      <t>GetFormattedText="True"</t>
    </r>
    <r>
      <rPr>
        <sz val="11"/>
        <color theme="1"/>
        <rFont val="微軟正黑體"/>
        <family val="2"/>
        <charset val="136"/>
      </rPr>
      <t>，取得的是「字串」，容易因 Excel 介面格式的差異導致後續時間相減時發生轉型報錯。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</si>
  <si>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改為 </t>
    </r>
    <r>
      <rPr>
        <sz val="10"/>
        <color theme="1"/>
        <rFont val="微軟正黑體"/>
        <family val="2"/>
        <charset val="136"/>
      </rPr>
      <t>GetFormattedText="False"</t>
    </r>
    <r>
      <rPr>
        <sz val="11"/>
        <color theme="1"/>
        <rFont val="微軟正黑體"/>
        <family val="2"/>
        <charset val="136"/>
      </rPr>
      <t>，直接抓取底層標準的 DateTime 物件，確保計算穩定。</t>
    </r>
  </si>
  <si>
    <t>5. 新增「是否有新資料」的防呆判斷</t>
  </si>
  <si>
    <r>
      <t>_old 版本：</t>
    </r>
    <r>
      <rPr>
        <sz val="11"/>
        <color theme="1"/>
        <rFont val="微軟正黑體"/>
        <family val="2"/>
        <charset val="136"/>
      </rPr>
      <t xml:space="preserve"> 缺乏條件判斷，無論是否有新資料，每次執行都會硬性覆寫或貼上。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</si>
  <si>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在 Data1 與 Data4 的更新外層，加入了 </t>
    </r>
    <r>
      <rPr>
        <sz val="10"/>
        <color theme="1"/>
        <rFont val="微軟正黑體"/>
        <family val="2"/>
        <charset val="136"/>
      </rPr>
      <t>If Condition="[TimeDiff_Hours &gt; 0 AndAlso CopyStartRow_FileA &lt;= NewLastRowIndex]"</t>
    </r>
    <r>
      <rPr>
        <sz val="11"/>
        <color theme="1"/>
        <rFont val="微軟正黑體"/>
        <family val="2"/>
        <charset val="136"/>
      </rPr>
      <t>。確保「確實有時間差」且「計算出的起始列合法」才執行更新動作。</t>
    </r>
  </si>
  <si>
    <t>6. 優化複製貼上效能與避免格式污染</t>
  </si>
  <si>
    <r>
      <t>_old 版本：</t>
    </r>
    <r>
      <rPr>
        <sz val="11"/>
        <color theme="1"/>
        <rFont val="微軟正黑體"/>
        <family val="2"/>
        <charset val="136"/>
      </rPr>
      <t xml:space="preserve"> 跨檔案複製時使用 </t>
    </r>
    <r>
      <rPr>
        <sz val="10"/>
        <color theme="1"/>
        <rFont val="微軟正黑體"/>
        <family val="2"/>
        <charset val="136"/>
      </rPr>
      <t>PasteOptions="All"</t>
    </r>
    <r>
      <rPr>
        <sz val="11"/>
        <color theme="1"/>
        <rFont val="微軟正黑體"/>
        <family val="2"/>
        <charset val="136"/>
      </rPr>
      <t xml:space="preserve">，這會把 File A 的框線、底色等無關格式一併帶入 File B，導致報表破圖；且依賴再次執行 </t>
    </r>
    <r>
      <rPr>
        <sz val="10"/>
        <color theme="1"/>
        <rFont val="微軟正黑體"/>
        <family val="2"/>
        <charset val="136"/>
      </rPr>
      <t>FindFirstLastDataRowX</t>
    </r>
    <r>
      <rPr>
        <sz val="11"/>
        <color theme="1"/>
        <rFont val="微軟正黑體"/>
        <family val="2"/>
        <charset val="136"/>
      </rPr>
      <t xml:space="preserve"> 來尋找貼上後的最後一列，執行效能極差。</t>
    </r>
  </si>
  <si>
    <r>
      <t xml:space="preserve">跨檔案拷貝改為 </t>
    </r>
    <r>
      <rPr>
        <sz val="10"/>
        <color theme="1"/>
        <rFont val="微軟正黑體"/>
        <family val="2"/>
        <charset val="136"/>
      </rPr>
      <t>PasteOptions="Values"</t>
    </r>
    <r>
      <rPr>
        <sz val="11"/>
        <color theme="1"/>
        <rFont val="微軟正黑體"/>
        <family val="2"/>
        <charset val="136"/>
      </rPr>
      <t>（僅貼上值）。</t>
    </r>
  </si>
  <si>
    <r>
      <t>捨棄重新尋找最後一列的動作，改用數學直接推算：</t>
    </r>
    <r>
      <rPr>
        <sz val="10"/>
        <color theme="1"/>
        <rFont val="微軟正黑體"/>
        <family val="2"/>
        <charset val="136"/>
      </rPr>
      <t>NewLastRow_Data1 = LastRow_Data1 + (NewLastRowIndex - CopyStartRow_FileA + 1)</t>
    </r>
    <r>
      <rPr>
        <sz val="11"/>
        <color theme="1"/>
        <rFont val="微軟正黑體"/>
        <family val="2"/>
        <charset val="136"/>
      </rPr>
      <t>，大幅提升執行速度。</t>
    </r>
  </si>
  <si>
    <r>
      <t xml:space="preserve">針對 File B 自身的格式與公式（如 AJ、AL 欄或 C、D 欄），利用 </t>
    </r>
    <r>
      <rPr>
        <sz val="10"/>
        <color theme="1"/>
        <rFont val="微軟正黑體"/>
        <family val="2"/>
        <charset val="136"/>
      </rPr>
      <t>CopyPasteRangeX</t>
    </r>
    <r>
      <rPr>
        <sz val="11"/>
        <color theme="1"/>
        <rFont val="微軟正黑體"/>
        <family val="2"/>
        <charset val="136"/>
      </rPr>
      <t xml:space="preserve"> 從上一列往下套用 (</t>
    </r>
    <r>
      <rPr>
        <sz val="10"/>
        <color theme="1"/>
        <rFont val="微軟正黑體"/>
        <family val="2"/>
        <charset val="136"/>
      </rPr>
      <t>PasteOptions="All"</t>
    </r>
    <r>
      <rPr>
        <sz val="11"/>
        <color theme="1"/>
        <rFont val="微軟正黑體"/>
        <family val="2"/>
        <charset val="136"/>
      </rPr>
      <t>)，完美維持報表的格式延續性。</t>
    </r>
  </si>
  <si>
    <t>三、 UpdateFileC vs UpdateFileC_old (SHP向報告用資料)</t>
  </si>
  <si>
    <r>
      <t>此流程針對「Hourly 轉 Daily」的情境進行了</t>
    </r>
    <r>
      <rPr>
        <b/>
        <sz val="11"/>
        <color theme="1"/>
        <rFont val="微軟正黑體"/>
        <family val="2"/>
        <charset val="136"/>
      </rPr>
      <t>跨維度對齊邏輯的關鍵重構</t>
    </r>
    <r>
      <rPr>
        <sz val="11"/>
        <color theme="1"/>
        <rFont val="微軟正黑體"/>
        <family val="2"/>
        <charset val="136"/>
      </rPr>
      <t>，解決了舊版直接整塊複製導致資料錯位的嚴重 Bug。</t>
    </r>
  </si>
  <si>
    <t>1. 修正尋找資料列無法跳過大量空白列的問題</t>
  </si>
  <si>
    <r>
      <t>_old 版本：</t>
    </r>
    <r>
      <rPr>
        <sz val="11"/>
        <color theme="1"/>
        <rFont val="微軟正黑體"/>
        <family val="2"/>
        <charset val="136"/>
      </rPr>
      <t xml:space="preserve"> 所有 </t>
    </r>
    <r>
      <rPr>
        <sz val="10"/>
        <color theme="1"/>
        <rFont val="微軟正黑體"/>
        <family val="2"/>
        <charset val="136"/>
      </rPr>
      <t>FindFirstLastDataRowX</t>
    </r>
    <r>
      <rPr>
        <sz val="11"/>
        <color theme="1"/>
        <rFont val="微軟正黑體"/>
        <family val="2"/>
        <charset val="136"/>
      </rPr>
      <t xml:space="preserve"> 的屬性 </t>
    </r>
    <r>
      <rPr>
        <sz val="10"/>
        <color theme="1"/>
        <rFont val="微軟正黑體"/>
        <family val="2"/>
        <charset val="136"/>
      </rPr>
      <t>BlankRowsToSkip</t>
    </r>
    <r>
      <rPr>
        <sz val="11"/>
        <color theme="1"/>
        <rFont val="微軟正黑體"/>
        <family val="2"/>
        <charset val="136"/>
      </rPr>
      <t xml:space="preserve"> 皆預設為 </t>
    </r>
    <r>
      <rPr>
        <sz val="10"/>
        <color theme="1"/>
        <rFont val="微軟正黑體"/>
        <family val="2"/>
        <charset val="136"/>
      </rPr>
      <t>1</t>
    </r>
    <r>
      <rPr>
        <sz val="11"/>
        <color theme="1"/>
        <rFont val="微軟正黑體"/>
        <family val="2"/>
        <charset val="136"/>
      </rPr>
      <t>。只要報表中出現連續兩行空白，RPA 就會誤判已達檔案結尾。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</si>
  <si>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* 在尋找 SHP DATA 的 J 欄（日平均）時，改為 </t>
    </r>
    <r>
      <rPr>
        <sz val="10"/>
        <color theme="1"/>
        <rFont val="微軟正黑體"/>
        <family val="2"/>
        <charset val="136"/>
      </rPr>
      <t>BlankRowsToSkip="24"</t>
    </r>
    <r>
      <rPr>
        <sz val="11"/>
        <color theme="1"/>
        <rFont val="微軟正黑體"/>
        <family val="2"/>
        <charset val="136"/>
      </rPr>
      <t>（因為每 24 行才有一筆資料）。</t>
    </r>
  </si>
  <si>
    <r>
      <t xml:space="preserve">在 File C 尋找最後日期列時，改為 </t>
    </r>
    <r>
      <rPr>
        <sz val="10"/>
        <color theme="1"/>
        <rFont val="微軟正黑體"/>
        <family val="2"/>
        <charset val="136"/>
      </rPr>
      <t>BlankRowsToSkip="2000"</t>
    </r>
    <r>
      <rPr>
        <sz val="11"/>
        <color theme="1"/>
        <rFont val="微軟正黑體"/>
        <family val="2"/>
        <charset val="136"/>
      </rPr>
      <t>，確保能成功跨越使用者手動預留的大片空白區塊。</t>
    </r>
  </si>
  <si>
    <t>2. 新增最後列的下限防護</t>
  </si>
  <si>
    <r>
      <t>_old 版本：</t>
    </r>
    <r>
      <rPr>
        <sz val="11"/>
        <color theme="1"/>
        <rFont val="微軟正黑體"/>
        <family val="2"/>
        <charset val="136"/>
      </rPr>
      <t xml:space="preserve"> 取得 LastRow 後直接使用。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</si>
  <si>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針對 </t>
    </r>
    <r>
      <rPr>
        <sz val="10"/>
        <color theme="1"/>
        <rFont val="微軟正黑體"/>
        <family val="2"/>
        <charset val="136"/>
      </rPr>
      <t>LastRow_FileA_Daily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LastRow_FileC</t>
    </r>
    <r>
      <rPr>
        <sz val="11"/>
        <color theme="1"/>
        <rFont val="微軟正黑體"/>
        <family val="2"/>
        <charset val="136"/>
      </rPr>
      <t xml:space="preserve"> 均加入 </t>
    </r>
    <r>
      <rPr>
        <sz val="10"/>
        <color theme="1"/>
        <rFont val="微軟正黑體"/>
        <family val="2"/>
        <charset val="136"/>
      </rPr>
      <t>Math.Max(2, ...)</t>
    </r>
    <r>
      <rPr>
        <sz val="11"/>
        <color theme="1"/>
        <rFont val="微軟正黑體"/>
        <family val="2"/>
        <charset val="136"/>
      </rPr>
      <t xml:space="preserve"> 防護，避免覆蓋到第一列的表頭。</t>
    </r>
  </si>
  <si>
    <t>3. 全面重構「日平均資料」的貼上邏輯 (最重大的修復)</t>
  </si>
  <si>
    <r>
      <t>_old 版本：</t>
    </r>
    <r>
      <rPr>
        <sz val="11"/>
        <color theme="1"/>
        <rFont val="微軟正黑體"/>
        <family val="2"/>
        <charset val="136"/>
      </rPr>
      <t xml:space="preserve"> 舊版採用整塊範圍複製 (</t>
    </r>
    <r>
      <rPr>
        <sz val="10"/>
        <color theme="1"/>
        <rFont val="微軟正黑體"/>
        <family val="2"/>
        <charset val="136"/>
      </rPr>
      <t>CopyPasteRangeX</t>
    </r>
    <r>
      <rPr>
        <sz val="11"/>
        <color theme="1"/>
        <rFont val="微軟正黑體"/>
        <family val="2"/>
        <charset val="136"/>
      </rPr>
      <t>)。由於 File A 的資料是「每小時一筆」（日平均值每 24 行才出現一次），而 File C 是「每日一筆」，直接整塊貼上會把不需要的小時資料塞入 File C，導致資料維度與日期完全錯亂。</t>
    </r>
  </si>
  <si>
    <r>
      <t xml:space="preserve">引入 </t>
    </r>
    <r>
      <rPr>
        <sz val="10"/>
        <color theme="1"/>
        <rFont val="微軟正黑體"/>
        <family val="2"/>
        <charset val="136"/>
      </rPr>
      <t>DateDiff_Days</t>
    </r>
    <r>
      <rPr>
        <sz val="11"/>
        <color theme="1"/>
        <rFont val="微軟正黑體"/>
        <family val="2"/>
        <charset val="136"/>
      </rPr>
      <t xml:space="preserve"> 計算相差的總天數。</t>
    </r>
  </si>
  <si>
    <r>
      <t xml:space="preserve">引入 </t>
    </r>
    <r>
      <rPr>
        <sz val="10"/>
        <color theme="1"/>
        <rFont val="微軟正黑體"/>
        <family val="2"/>
        <charset val="136"/>
      </rPr>
      <t>For Each</t>
    </r>
    <r>
      <rPr>
        <sz val="11"/>
        <color theme="1"/>
        <rFont val="微軟正黑體"/>
        <family val="2"/>
        <charset val="136"/>
      </rPr>
      <t xml:space="preserve"> 迴圈，以天數為單位進行迭代。</t>
    </r>
  </si>
  <si>
    <r>
      <t xml:space="preserve">在迴圈內部，利用 </t>
    </r>
    <r>
      <rPr>
        <sz val="10"/>
        <color theme="1"/>
        <rFont val="微軟正黑體"/>
        <family val="2"/>
        <charset val="136"/>
      </rPr>
      <t>(DayIndex * 24)</t>
    </r>
    <r>
      <rPr>
        <sz val="11"/>
        <color theme="1"/>
        <rFont val="微軟正黑體"/>
        <family val="2"/>
        <charset val="136"/>
      </rPr>
      <t xml:space="preserve"> 的乘數邏輯，</t>
    </r>
    <r>
      <rPr>
        <b/>
        <sz val="11"/>
        <color theme="1"/>
        <rFont val="微軟正黑體"/>
        <family val="2"/>
        <charset val="136"/>
      </rPr>
      <t>精準地「每跳 24 行」去 File A 抓取該天的平均值，然後「每跳 1 行」循序貼入 File C 中</t>
    </r>
    <r>
      <rPr>
        <sz val="11"/>
        <color theme="1"/>
        <rFont val="微軟正黑體"/>
        <family val="2"/>
        <charset val="136"/>
      </rPr>
      <t>。徹底解決了 Hourly 對齊 Daily 的間距問題。</t>
    </r>
  </si>
  <si>
    <t>4. 獨立出格式套用區塊</t>
  </si>
  <si>
    <r>
      <t>_old 版本：</t>
    </r>
    <r>
      <rPr>
        <sz val="11"/>
        <color theme="1"/>
        <rFont val="微軟正黑體"/>
        <family val="2"/>
        <charset val="136"/>
      </rPr>
      <t xml:space="preserve"> 未處理 File C 內的格式延續問題。</t>
    </r>
  </si>
  <si>
    <r>
      <t>新版修正：</t>
    </r>
    <r>
      <rPr>
        <sz val="11"/>
        <color theme="1"/>
        <rFont val="微軟正黑體"/>
        <family val="2"/>
        <charset val="136"/>
      </rPr>
      <t xml:space="preserve"> 在進入 For Each 迴圈貼上每日數值之前，先執行一次整批格式的向下填滿 (</t>
    </r>
    <r>
      <rPr>
        <sz val="10"/>
        <color theme="1"/>
        <rFont val="微軟正黑體"/>
        <family val="2"/>
        <charset val="136"/>
      </rPr>
      <t>PasteOptions="All"</t>
    </r>
    <r>
      <rPr>
        <sz val="11"/>
        <color theme="1"/>
        <rFont val="微軟正黑體"/>
        <family val="2"/>
        <charset val="136"/>
      </rPr>
      <t xml:space="preserve">)，隨後才在迴圈中用 </t>
    </r>
    <r>
      <rPr>
        <sz val="10"/>
        <color theme="1"/>
        <rFont val="微軟正黑體"/>
        <family val="2"/>
        <charset val="136"/>
      </rPr>
      <t>PasteOptions="Values"</t>
    </r>
    <r>
      <rPr>
        <sz val="11"/>
        <color theme="1"/>
        <rFont val="微軟正黑體"/>
        <family val="2"/>
        <charset val="136"/>
      </rPr>
      <t xml:space="preserve"> 填入實際數值。此舉確保了無論更新多少天，報表的合併儲存格、框線及公式皆能正確保留。</t>
    </r>
  </si>
  <si>
    <t xml:space="preserve">包裝橫展開進度管理／
進度管理表初版作成、
ADT T/T _ ATR量測數據彙整暨分析、
</t>
    <phoneticPr fontId="2" type="noConversion"/>
  </si>
  <si>
    <t>年度起始日期</t>
    <phoneticPr fontId="102" type="noConversion"/>
  </si>
  <si>
    <t>{42}</t>
  </si>
  <si>
    <t>手動入力區_格式：yyyy/mm/dd</t>
    <phoneticPr fontId="102" type="noConversion"/>
  </si>
  <si>
    <t>_格式：0～1</t>
    <phoneticPr fontId="102" type="noConversion"/>
  </si>
  <si>
    <t>Excel函式區_請勿入力</t>
    <phoneticPr fontId="102" type="noConversion"/>
  </si>
  <si>
    <r>
      <t>實施狀況：Ο 實施完成、Δ 實施中、</t>
    </r>
    <r>
      <rPr>
        <b/>
        <sz val="11"/>
        <color theme="1"/>
        <rFont val="Microsoft JhengHei"/>
        <family val="2"/>
      </rPr>
      <t>╳</t>
    </r>
    <r>
      <rPr>
        <b/>
        <sz val="11"/>
        <color theme="1"/>
        <rFont val="微軟正黑體"/>
        <family val="2"/>
        <charset val="136"/>
      </rPr>
      <t xml:space="preserve"> 未實施／未達成、– 不須實施</t>
    </r>
    <phoneticPr fontId="2" type="noConversion"/>
  </si>
  <si>
    <t>優先度</t>
    <phoneticPr fontId="2" type="noConversion"/>
  </si>
  <si>
    <t>橫展開項目</t>
    <phoneticPr fontId="2" type="noConversion"/>
  </si>
  <si>
    <t>AI事項</t>
    <phoneticPr fontId="2" type="noConversion"/>
  </si>
  <si>
    <t>擔當者</t>
    <phoneticPr fontId="2" type="noConversion"/>
  </si>
  <si>
    <t>AI事項
計畫開始</t>
    <phoneticPr fontId="2" type="noConversion"/>
  </si>
  <si>
    <t>AI事項
計畫結束</t>
    <phoneticPr fontId="2" type="noConversion"/>
  </si>
  <si>
    <t>AI事項
實際結束</t>
    <phoneticPr fontId="2" type="noConversion"/>
  </si>
  <si>
    <t>完成百分比%</t>
    <phoneticPr fontId="102" type="noConversion"/>
  </si>
  <si>
    <t>入力
頻度</t>
    <phoneticPr fontId="2" type="noConversion"/>
  </si>
  <si>
    <t>年度
起始日期</t>
    <phoneticPr fontId="102" type="noConversion"/>
  </si>
  <si>
    <t>Days to Start</t>
  </si>
  <si>
    <t>完成日數</t>
    <phoneticPr fontId="2" type="noConversion"/>
  </si>
  <si>
    <t>未完日數</t>
    <phoneticPr fontId="2" type="noConversion"/>
  </si>
  <si>
    <t>延遲日數</t>
    <phoneticPr fontId="2" type="noConversion"/>
  </si>
  <si>
    <t>計畫
天數</t>
    <phoneticPr fontId="102" type="noConversion"/>
  </si>
  <si>
    <t>EF</t>
    <phoneticPr fontId="102" type="noConversion"/>
  </si>
  <si>
    <t>JF</t>
    <phoneticPr fontId="102" type="noConversion"/>
  </si>
  <si>
    <t>KF</t>
    <phoneticPr fontId="102" type="noConversion"/>
  </si>
  <si>
    <t>12月</t>
    <phoneticPr fontId="2" type="noConversion"/>
  </si>
  <si>
    <t>備註</t>
    <phoneticPr fontId="2" type="noConversion"/>
  </si>
  <si>
    <t>高</t>
  </si>
  <si>
    <t>横切刃先荷重、同調測定方法</t>
    <phoneticPr fontId="102" type="noConversion"/>
  </si>
  <si>
    <t>作業標準書準備→提出</t>
    <phoneticPr fontId="102" type="noConversion"/>
  </si>
  <si>
    <t>世文</t>
    <phoneticPr fontId="102" type="noConversion"/>
  </si>
  <si>
    <t>計畫表作成</t>
    <phoneticPr fontId="102" type="noConversion"/>
  </si>
  <si>
    <t>乙原</t>
    <phoneticPr fontId="102" type="noConversion"/>
  </si>
  <si>
    <t>縦切機刃先荷重測定方法</t>
    <phoneticPr fontId="102" type="noConversion"/>
  </si>
  <si>
    <t>計畫表做成</t>
    <phoneticPr fontId="102" type="noConversion"/>
  </si>
  <si>
    <t>富羿</t>
    <phoneticPr fontId="102" type="noConversion"/>
  </si>
  <si>
    <t>治具購入</t>
    <phoneticPr fontId="102" type="noConversion"/>
  </si>
  <si>
    <t>工程變更</t>
    <phoneticPr fontId="102" type="noConversion"/>
  </si>
  <si>
    <t>坤翰</t>
    <phoneticPr fontId="102" type="noConversion"/>
  </si>
  <si>
    <t>本線、Br H/Oストッパー安全対策</t>
    <phoneticPr fontId="102" type="noConversion"/>
  </si>
  <si>
    <t>設備技術現況進度確認</t>
    <phoneticPr fontId="102" type="noConversion"/>
  </si>
  <si>
    <t>安全教育的實施</t>
    <phoneticPr fontId="102" type="noConversion"/>
  </si>
  <si>
    <t>益維</t>
    <phoneticPr fontId="102" type="noConversion"/>
  </si>
  <si>
    <t>各窯作業標準書的做成</t>
    <phoneticPr fontId="102" type="noConversion"/>
  </si>
  <si>
    <t>最終完成期限確認</t>
    <phoneticPr fontId="102" type="noConversion"/>
  </si>
  <si>
    <t>明建</t>
    <phoneticPr fontId="102" type="noConversion"/>
  </si>
  <si>
    <t>中</t>
  </si>
  <si>
    <t>特殊ボルト経過観察</t>
    <phoneticPr fontId="102" type="noConversion"/>
  </si>
  <si>
    <t>未完成窯爐的確認</t>
    <phoneticPr fontId="102" type="noConversion"/>
  </si>
  <si>
    <t>維護管理的確認週期</t>
    <phoneticPr fontId="102" type="noConversion"/>
  </si>
  <si>
    <t>其他</t>
    <phoneticPr fontId="102" type="noConversion"/>
  </si>
  <si>
    <t>各窯設備異常情報共有</t>
    <phoneticPr fontId="102" type="noConversion"/>
  </si>
  <si>
    <t>縱切機下降作業標準共有(其他據點)</t>
    <phoneticPr fontId="102" type="noConversion"/>
  </si>
  <si>
    <t>橫展開管理表做成共有</t>
    <phoneticPr fontId="102" type="noConversion"/>
  </si>
  <si>
    <t>俊碩</t>
    <phoneticPr fontId="102" type="noConversion"/>
  </si>
  <si>
    <t>-</t>
  </si>
  <si>
    <t>–</t>
  </si>
  <si>
    <t>←在這個ROW之上點滑鼠左鍵→插入 整ROW</t>
    <phoneticPr fontId="2" type="noConversion"/>
  </si>
  <si>
    <t>[42]</t>
  </si>
  <si>
    <t>課題輔導
及流程開發</t>
    <phoneticPr fontId="2" type="noConversion"/>
  </si>
  <si>
    <r>
      <t xml:space="preserve">流程開發：
Exploratory Prototyping
</t>
    </r>
    <r>
      <rPr>
        <b/>
        <sz val="10"/>
        <rFont val="微軟正黑體"/>
        <family val="2"/>
        <charset val="136"/>
      </rPr>
      <t>探索性原型開發模式進行</t>
    </r>
    <phoneticPr fontId="2" type="noConversion"/>
  </si>
  <si>
    <r>
      <t xml:space="preserve">流程開發：
</t>
    </r>
    <r>
      <rPr>
        <b/>
        <sz val="10"/>
        <rFont val="微軟正黑體"/>
        <family val="2"/>
        <charset val="136"/>
      </rPr>
      <t xml:space="preserve">探索性原型開發模式進行
</t>
    </r>
    <r>
      <rPr>
        <sz val="10"/>
        <rFont val="微軟正黑體"/>
        <family val="2"/>
        <charset val="136"/>
      </rPr>
      <t>Virtual Hosting：
Ready for Testing。</t>
    </r>
    <phoneticPr fontId="2" type="noConversion"/>
  </si>
  <si>
    <t>Robot Host Testing：
Development Complete
→部署並排程自動執行。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</si>
</sst>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;@"/>
    <numFmt numFmtId="177" formatCode="[$-404]aaaa;@"/>
    <numFmt numFmtId="182" formatCode="0_ "/>
  </numFmts>
  <fonts count="11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Meiryo UI"/>
      <family val="2"/>
    </font>
    <font>
      <b/>
      <sz val="12"/>
      <color rgb="FFFFFFFF"/>
      <name val="Meiryo UI"/>
      <family val="2"/>
    </font>
    <font>
      <sz val="12"/>
      <color rgb="FF324650"/>
      <name val="Meiryo UI"/>
      <family val="2"/>
    </font>
    <font>
      <sz val="12"/>
      <name val="Meiryo UI"/>
      <family val="2"/>
      <charset val="128"/>
    </font>
    <font>
      <sz val="12"/>
      <color rgb="FF000000"/>
      <name val="Meiryo UI"/>
      <family val="2"/>
    </font>
    <font>
      <sz val="11"/>
      <color theme="1"/>
      <name val="Meiryo UI"/>
      <family val="2"/>
      <charset val="128"/>
    </font>
    <font>
      <sz val="12"/>
      <name val="Microsoft JhengHei"/>
      <family val="2"/>
    </font>
    <font>
      <sz val="12"/>
      <color theme="1"/>
      <name val="Meiryo UI"/>
      <family val="2"/>
    </font>
    <font>
      <sz val="12"/>
      <color rgb="FF324650"/>
      <name val="Meiryo UI"/>
      <family val="2"/>
      <charset val="128"/>
    </font>
    <font>
      <sz val="12"/>
      <color rgb="FFFF0000"/>
      <name val="Meiryo UI"/>
      <family val="2"/>
    </font>
    <font>
      <sz val="12"/>
      <color rgb="FF0000FF"/>
      <name val="Meiryo UI"/>
      <family val="2"/>
    </font>
    <font>
      <sz val="11"/>
      <color theme="1"/>
      <name val="Microsoft JhengHei"/>
      <family val="2"/>
    </font>
    <font>
      <sz val="11"/>
      <color theme="1"/>
      <name val="Meiryo UI"/>
      <family val="2"/>
    </font>
    <font>
      <b/>
      <sz val="13"/>
      <color theme="1"/>
      <name val="Meiryo UI"/>
      <family val="2"/>
      <charset val="128"/>
    </font>
    <font>
      <sz val="13"/>
      <color theme="1"/>
      <name val="Meiryo UI"/>
      <family val="2"/>
    </font>
    <font>
      <b/>
      <u/>
      <sz val="13"/>
      <color theme="1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color theme="1"/>
      <name val="Microsoft JhengHei"/>
      <family val="2"/>
    </font>
    <font>
      <b/>
      <u/>
      <sz val="13"/>
      <color theme="1"/>
      <name val="Meiryo UI"/>
      <family val="2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2"/>
      <charset val="128"/>
    </font>
    <font>
      <b/>
      <sz val="12"/>
      <color theme="1"/>
      <name val="Meiryo UI"/>
      <family val="2"/>
    </font>
    <font>
      <b/>
      <sz val="13"/>
      <color theme="1"/>
      <name val="Meiryo UI"/>
      <family val="2"/>
    </font>
    <font>
      <b/>
      <sz val="12"/>
      <color theme="1"/>
      <name val="Microsoft JhengHei"/>
      <family val="2"/>
    </font>
    <font>
      <b/>
      <u/>
      <sz val="12"/>
      <color theme="1"/>
      <name val="Meiryo UI"/>
      <family val="2"/>
      <charset val="128"/>
    </font>
    <font>
      <b/>
      <u/>
      <sz val="12"/>
      <color theme="1"/>
      <name val="Meiryo UI"/>
      <family val="2"/>
    </font>
    <font>
      <b/>
      <u/>
      <sz val="12"/>
      <color theme="1"/>
      <name val="Microsoft JhengHei"/>
      <family val="2"/>
    </font>
    <font>
      <sz val="11"/>
      <color theme="1"/>
      <name val="Segoe UI Symbol"/>
      <family val="2"/>
    </font>
    <font>
      <b/>
      <sz val="13"/>
      <color theme="1"/>
      <name val="Microsoft JhengHei"/>
      <family val="2"/>
    </font>
    <font>
      <sz val="11"/>
      <color theme="1"/>
      <name val="Microsoft JhengHei UI"/>
      <family val="2"/>
      <charset val="136"/>
    </font>
    <font>
      <sz val="11"/>
      <color theme="1"/>
      <name val="Meiryo UI"/>
      <family val="2"/>
      <charset val="136"/>
    </font>
    <font>
      <b/>
      <sz val="10"/>
      <color indexed="81"/>
      <name val="Meiryo UI"/>
      <family val="2"/>
    </font>
    <font>
      <b/>
      <u/>
      <sz val="12"/>
      <color theme="1"/>
      <name val="Microsoft JhengHei"/>
      <family val="2"/>
      <charset val="136"/>
    </font>
    <font>
      <sz val="11"/>
      <color theme="1"/>
      <name val="新細明體"/>
      <family val="3"/>
      <charset val="128"/>
      <scheme val="minor"/>
    </font>
    <font>
      <sz val="11"/>
      <color theme="1"/>
      <name val="新細明體"/>
      <family val="2"/>
      <charset val="128"/>
      <scheme val="minor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0"/>
      <color rgb="FF0000CC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14"/>
      <color rgb="FF0000CC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20"/>
      <color rgb="FF0000CC"/>
      <name val="Yu Gothic"/>
      <family val="2"/>
      <charset val="128"/>
    </font>
    <font>
      <sz val="16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u/>
      <sz val="12"/>
      <color theme="10"/>
      <name val="微軟正黑體"/>
      <family val="2"/>
      <charset val="136"/>
    </font>
    <font>
      <sz val="6"/>
      <name val="新細明體"/>
      <family val="3"/>
      <charset val="128"/>
      <scheme val="minor"/>
    </font>
    <font>
      <sz val="9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0"/>
      <color theme="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.5"/>
      <color rgb="FF000000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Times New Roman"/>
      <family val="1"/>
    </font>
    <font>
      <sz val="12"/>
      <color theme="1"/>
      <name val="Aptos"/>
      <family val="2"/>
    </font>
    <font>
      <b/>
      <sz val="11"/>
      <color rgb="FF000000"/>
      <name val="Meiryo UI"/>
      <family val="2"/>
      <charset val="128"/>
    </font>
    <font>
      <b/>
      <sz val="11"/>
      <color theme="1"/>
      <name val="Meiryo UI"/>
      <family val="2"/>
      <charset val="128"/>
    </font>
    <font>
      <sz val="11"/>
      <color rgb="FF000000"/>
      <name val="Meiryo UI"/>
      <family val="2"/>
      <charset val="128"/>
    </font>
    <font>
      <sz val="10"/>
      <color rgb="FF000000"/>
      <name val="Meiryo UI"/>
      <family val="2"/>
      <charset val="128"/>
    </font>
    <font>
      <sz val="11"/>
      <color rgb="FF000000"/>
      <name val="微軟正黑體"/>
      <family val="2"/>
      <charset val="136"/>
    </font>
    <font>
      <b/>
      <sz val="10"/>
      <color rgb="FF000000"/>
      <name val="Meiryo UI"/>
      <family val="2"/>
      <charset val="128"/>
    </font>
    <font>
      <b/>
      <sz val="24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3.5"/>
      <color theme="1"/>
      <name val="微軟正黑體"/>
      <family val="2"/>
      <charset val="136"/>
    </font>
    <font>
      <i/>
      <sz val="11"/>
      <color theme="1"/>
      <name val="微軟正黑體"/>
      <family val="2"/>
      <charset val="136"/>
    </font>
    <font>
      <i/>
      <sz val="10"/>
      <color theme="1"/>
      <name val="微軟正黑體"/>
      <family val="2"/>
      <charset val="136"/>
    </font>
    <font>
      <sz val="10"/>
      <color theme="1"/>
      <name val="Arial Unicode MS"/>
      <family val="2"/>
    </font>
    <font>
      <sz val="10"/>
      <color theme="1"/>
      <name val="細明體"/>
      <family val="3"/>
      <charset val="136"/>
    </font>
    <font>
      <sz val="10"/>
      <color theme="1"/>
      <name val="新細明體"/>
      <family val="2"/>
    </font>
    <font>
      <sz val="10.5"/>
      <color rgb="FF000000"/>
      <name val="Meiryo UI"/>
      <family val="2"/>
      <charset val="128"/>
    </font>
    <font>
      <b/>
      <sz val="10.5"/>
      <color rgb="FF000000"/>
      <name val="Meiryo UI"/>
      <family val="2"/>
      <charset val="128"/>
    </font>
    <font>
      <sz val="11"/>
      <color rgb="FF000000"/>
      <name val="新細明體"/>
      <family val="1"/>
      <charset val="136"/>
    </font>
    <font>
      <sz val="9"/>
      <color rgb="FF000000"/>
      <name val="Meiryo UI"/>
      <family val="2"/>
      <charset val="128"/>
    </font>
    <font>
      <sz val="9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b/>
      <sz val="11"/>
      <color rgb="FF0000FF"/>
      <name val="Meiryo UI"/>
      <family val="2"/>
      <charset val="128"/>
    </font>
    <font>
      <b/>
      <u/>
      <sz val="12"/>
      <color rgb="FF0000FF"/>
      <name val="Meiryo UI"/>
      <family val="2"/>
      <charset val="128"/>
    </font>
    <font>
      <sz val="11"/>
      <name val="ＭＳ Ｐゴシック"/>
      <family val="2"/>
      <charset val="128"/>
    </font>
    <font>
      <sz val="11"/>
      <name val="微軟正黑體"/>
      <family val="2"/>
      <charset val="136"/>
    </font>
    <font>
      <sz val="9"/>
      <name val="細明體"/>
      <family val="3"/>
      <charset val="136"/>
    </font>
    <font>
      <sz val="1"/>
      <color theme="0"/>
      <name val="微軟正黑體"/>
      <family val="2"/>
      <charset val="136"/>
    </font>
    <font>
      <b/>
      <sz val="11"/>
      <color rgb="FF0000FF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1"/>
      <color theme="1"/>
      <name val="Microsoft JhengHei"/>
      <family val="2"/>
    </font>
    <font>
      <b/>
      <sz val="12"/>
      <color theme="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</fonts>
  <fills count="32">
    <fill>
      <patternFill patternType="none"/>
    </fill>
    <fill>
      <patternFill patternType="gray125"/>
    </fill>
    <fill>
      <patternFill patternType="solid">
        <fgColor rgb="FF6081C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AD9FD2"/>
        <bgColor theme="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thin">
        <color theme="4" tint="0.39991454817346722"/>
      </bottom>
      <diagonal/>
    </border>
    <border>
      <left style="thin">
        <color rgb="FF4472C4"/>
      </left>
      <right/>
      <top style="thin">
        <color rgb="FF4472C4"/>
      </top>
      <bottom style="thin">
        <color theme="4" tint="0.39991454817346722"/>
      </bottom>
      <diagonal/>
    </border>
    <border>
      <left/>
      <right/>
      <top style="thin">
        <color rgb="FF4472C4"/>
      </top>
      <bottom style="thin">
        <color theme="4" tint="0.39991454817346722"/>
      </bottom>
      <diagonal/>
    </border>
    <border>
      <left/>
      <right style="dotted">
        <color rgb="FF4472C4"/>
      </right>
      <top style="thin">
        <color rgb="FF4472C4"/>
      </top>
      <bottom style="thin">
        <color theme="4" tint="0.39991454817346722"/>
      </bottom>
      <diagonal/>
    </border>
    <border>
      <left/>
      <right style="thin">
        <color rgb="FF4472C4"/>
      </right>
      <top style="thin">
        <color rgb="FF4472C4"/>
      </top>
      <bottom style="thin">
        <color theme="4" tint="0.39991454817346722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91454817346722"/>
      </bottom>
      <diagonal/>
    </border>
    <border>
      <left/>
      <right/>
      <top style="thin">
        <color theme="4" tint="0.39988402966399123"/>
      </top>
      <bottom style="thin">
        <color theme="4" tint="0.39991454817346722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9145481734672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399914548173467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79998168889431442"/>
      </right>
      <top style="thin">
        <color theme="4" tint="0.39991454817346722"/>
      </top>
      <bottom style="thin">
        <color theme="4" tint="0.39994506668294322"/>
      </bottom>
      <diagonal/>
    </border>
    <border>
      <left style="thin">
        <color theme="4" tint="0.79998168889431442"/>
      </left>
      <right style="thin">
        <color theme="4" tint="0.39991454817346722"/>
      </right>
      <top style="thin">
        <color theme="4" tint="0.399914548173467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88402966399123"/>
      </right>
      <top style="thin">
        <color theme="4" tint="0.39994506668294322"/>
      </top>
      <bottom/>
      <diagonal/>
    </border>
    <border>
      <left style="thin">
        <color theme="0" tint="-0.2499465926084170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88402966399123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 tint="-0.24994659260841701"/>
      </left>
      <right style="thin">
        <color theme="4" tint="0.399914548173467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1">
    <xf numFmtId="0" fontId="0" fillId="0" borderId="0"/>
    <xf numFmtId="0" fontId="36" fillId="0" borderId="0">
      <alignment vertical="center"/>
    </xf>
    <xf numFmtId="0" fontId="37" fillId="0" borderId="0">
      <alignment vertical="center"/>
    </xf>
    <xf numFmtId="0" fontId="38" fillId="0" borderId="0"/>
    <xf numFmtId="0" fontId="1" fillId="0" borderId="0">
      <alignment vertical="center"/>
    </xf>
    <xf numFmtId="0" fontId="38" fillId="0" borderId="0"/>
    <xf numFmtId="0" fontId="61" fillId="0" borderId="0" applyNumberFormat="0" applyFill="0" applyBorder="0" applyAlignment="0" applyProtection="0"/>
    <xf numFmtId="0" fontId="39" fillId="0" borderId="0"/>
    <xf numFmtId="0" fontId="67" fillId="0" borderId="0" applyNumberFormat="0" applyFill="0" applyBorder="0" applyAlignment="0" applyProtection="0">
      <alignment vertical="center"/>
    </xf>
    <xf numFmtId="0" fontId="100" fillId="0" borderId="0">
      <alignment vertical="center"/>
    </xf>
    <xf numFmtId="9" fontId="100" fillId="0" borderId="0" applyFont="0" applyFill="0" applyBorder="0" applyAlignment="0" applyProtection="0">
      <alignment vertical="center"/>
    </xf>
  </cellStyleXfs>
  <cellXfs count="596">
    <xf numFmtId="0" fontId="0" fillId="0" borderId="0" xfId="0"/>
    <xf numFmtId="0" fontId="8" fillId="0" borderId="0" xfId="0" applyFont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0" fillId="3" borderId="10" xfId="0" applyFill="1" applyBorder="1"/>
    <xf numFmtId="0" fontId="3" fillId="3" borderId="11" xfId="0" applyFont="1" applyFill="1" applyBorder="1" applyAlignment="1">
      <alignment horizontal="center" vertical="center" wrapText="1"/>
    </xf>
    <xf numFmtId="0" fontId="0" fillId="3" borderId="12" xfId="0" applyFill="1" applyBorder="1"/>
    <xf numFmtId="0" fontId="0" fillId="3" borderId="13" xfId="0" applyFill="1" applyBorder="1"/>
    <xf numFmtId="0" fontId="3" fillId="3" borderId="14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3" borderId="16" xfId="0" applyFill="1" applyBorder="1"/>
    <xf numFmtId="0" fontId="5" fillId="4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5" fillId="3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5" fillId="6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 applyAlignment="1">
      <alignment horizontal="left"/>
    </xf>
    <xf numFmtId="0" fontId="15" fillId="8" borderId="1" xfId="0" applyFont="1" applyFill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0" fillId="0" borderId="0" xfId="0" applyFont="1"/>
    <xf numFmtId="0" fontId="19" fillId="0" borderId="0" xfId="0" applyFont="1"/>
    <xf numFmtId="0" fontId="10" fillId="0" borderId="0" xfId="0" applyFont="1" applyAlignment="1"/>
    <xf numFmtId="0" fontId="10" fillId="0" borderId="1" xfId="0" applyFont="1" applyBorder="1"/>
    <xf numFmtId="0" fontId="23" fillId="0" borderId="0" xfId="0" applyFont="1"/>
    <xf numFmtId="0" fontId="8" fillId="0" borderId="0" xfId="0" applyFont="1" applyFill="1"/>
    <xf numFmtId="0" fontId="11" fillId="0" borderId="0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0" fontId="10" fillId="0" borderId="0" xfId="0" applyFont="1" applyBorder="1"/>
    <xf numFmtId="0" fontId="27" fillId="0" borderId="0" xfId="0" applyFont="1"/>
    <xf numFmtId="0" fontId="19" fillId="0" borderId="0" xfId="0" applyFont="1" applyBorder="1"/>
    <xf numFmtId="0" fontId="13" fillId="4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5" fillId="0" borderId="0" xfId="0" applyFont="1"/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15" fillId="0" borderId="1" xfId="0" applyFont="1" applyBorder="1"/>
    <xf numFmtId="0" fontId="8" fillId="0" borderId="1" xfId="0" applyFont="1" applyBorder="1" applyAlignment="1">
      <alignment horizontal="center"/>
    </xf>
    <xf numFmtId="0" fontId="15" fillId="0" borderId="1" xfId="0" applyFont="1" applyBorder="1"/>
    <xf numFmtId="0" fontId="8" fillId="0" borderId="1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24" fillId="0" borderId="0" xfId="0" applyFont="1"/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/>
    <xf numFmtId="0" fontId="8" fillId="6" borderId="1" xfId="0" applyFont="1" applyFill="1" applyBorder="1"/>
    <xf numFmtId="0" fontId="5" fillId="3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5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5" fillId="7" borderId="1" xfId="0" applyFont="1" applyFill="1" applyBorder="1" applyAlignment="1">
      <alignment horizontal="left"/>
    </xf>
    <xf numFmtId="0" fontId="28" fillId="0" borderId="0" xfId="0" applyFont="1"/>
    <xf numFmtId="0" fontId="19" fillId="0" borderId="1" xfId="0" applyFont="1" applyBorder="1"/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vertical="center" textRotation="255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left" vertical="center" wrapText="1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40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left" vertical="center" wrapText="1"/>
    </xf>
    <xf numFmtId="0" fontId="40" fillId="0" borderId="0" xfId="0" applyFont="1" applyBorder="1" applyAlignment="1">
      <alignment vertical="center"/>
    </xf>
    <xf numFmtId="0" fontId="40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0" fillId="0" borderId="0" xfId="0" applyFont="1" applyBorder="1" applyAlignment="1">
      <alignment horizontal="right" vertical="center"/>
    </xf>
    <xf numFmtId="0" fontId="44" fillId="0" borderId="0" xfId="3" applyFont="1" applyAlignment="1">
      <alignment vertical="center"/>
    </xf>
    <xf numFmtId="0" fontId="44" fillId="0" borderId="0" xfId="3" applyFont="1"/>
    <xf numFmtId="0" fontId="41" fillId="0" borderId="0" xfId="3" applyFont="1"/>
    <xf numFmtId="0" fontId="45" fillId="0" borderId="0" xfId="3" applyFont="1"/>
    <xf numFmtId="0" fontId="47" fillId="0" borderId="0" xfId="3" applyFont="1"/>
    <xf numFmtId="0" fontId="49" fillId="0" borderId="0" xfId="3" applyFont="1" applyAlignment="1">
      <alignment horizontal="left" vertical="center"/>
    </xf>
    <xf numFmtId="0" fontId="48" fillId="0" borderId="21" xfId="3" applyFont="1" applyBorder="1" applyAlignment="1">
      <alignment horizontal="center" wrapText="1"/>
    </xf>
    <xf numFmtId="0" fontId="48" fillId="0" borderId="0" xfId="3" applyFont="1" applyAlignment="1">
      <alignment horizontal="center"/>
    </xf>
    <xf numFmtId="0" fontId="50" fillId="0" borderId="0" xfId="3" applyFont="1" applyAlignment="1">
      <alignment horizontal="center"/>
    </xf>
    <xf numFmtId="0" fontId="41" fillId="0" borderId="2" xfId="3" applyFont="1" applyBorder="1" applyAlignment="1">
      <alignment horizontal="center" vertical="center"/>
    </xf>
    <xf numFmtId="0" fontId="41" fillId="0" borderId="4" xfId="3" applyFont="1" applyBorder="1" applyAlignment="1">
      <alignment horizontal="center" vertical="center"/>
    </xf>
    <xf numFmtId="176" fontId="41" fillId="0" borderId="1" xfId="3" applyNumberFormat="1" applyFont="1" applyBorder="1" applyAlignment="1">
      <alignment horizontal="center" vertical="center"/>
    </xf>
    <xf numFmtId="176" fontId="41" fillId="0" borderId="23" xfId="3" applyNumberFormat="1" applyFont="1" applyBorder="1" applyAlignment="1">
      <alignment horizontal="center" vertical="center"/>
    </xf>
    <xf numFmtId="176" fontId="51" fillId="0" borderId="1" xfId="3" applyNumberFormat="1" applyFont="1" applyBorder="1" applyAlignment="1">
      <alignment horizontal="center" vertical="center"/>
    </xf>
    <xf numFmtId="176" fontId="41" fillId="0" borderId="0" xfId="3" applyNumberFormat="1" applyFont="1" applyAlignment="1">
      <alignment horizontal="center" vertical="center"/>
    </xf>
    <xf numFmtId="0" fontId="52" fillId="0" borderId="0" xfId="3" applyFont="1" applyAlignment="1">
      <alignment horizontal="center" vertical="center" wrapText="1"/>
    </xf>
    <xf numFmtId="177" fontId="41" fillId="0" borderId="1" xfId="3" applyNumberFormat="1" applyFont="1" applyBorder="1" applyAlignment="1">
      <alignment horizontal="center" vertical="center"/>
    </xf>
    <xf numFmtId="177" fontId="41" fillId="0" borderId="23" xfId="3" applyNumberFormat="1" applyFont="1" applyBorder="1" applyAlignment="1">
      <alignment horizontal="center" vertical="center"/>
    </xf>
    <xf numFmtId="177" fontId="51" fillId="0" borderId="1" xfId="3" applyNumberFormat="1" applyFont="1" applyBorder="1" applyAlignment="1">
      <alignment horizontal="center" vertical="center"/>
    </xf>
    <xf numFmtId="177" fontId="41" fillId="0" borderId="0" xfId="3" applyNumberFormat="1" applyFont="1" applyAlignment="1">
      <alignment horizontal="center" vertical="center"/>
    </xf>
    <xf numFmtId="0" fontId="41" fillId="0" borderId="1" xfId="3" applyFont="1" applyBorder="1" applyAlignment="1">
      <alignment horizontal="center" vertical="center"/>
    </xf>
    <xf numFmtId="0" fontId="41" fillId="0" borderId="23" xfId="3" applyFont="1" applyBorder="1" applyAlignment="1">
      <alignment horizontal="center" vertical="center"/>
    </xf>
    <xf numFmtId="0" fontId="51" fillId="0" borderId="1" xfId="3" applyFont="1" applyBorder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41" fillId="0" borderId="1" xfId="3" applyFont="1" applyBorder="1" applyAlignment="1">
      <alignment horizontal="center" vertical="center" wrapText="1"/>
    </xf>
    <xf numFmtId="0" fontId="46" fillId="0" borderId="0" xfId="3" applyFont="1"/>
    <xf numFmtId="176" fontId="53" fillId="0" borderId="1" xfId="3" applyNumberFormat="1" applyFont="1" applyBorder="1" applyAlignment="1">
      <alignment horizontal="center" vertical="center"/>
    </xf>
    <xf numFmtId="177" fontId="53" fillId="0" borderId="1" xfId="3" applyNumberFormat="1" applyFont="1" applyBorder="1" applyAlignment="1">
      <alignment horizontal="center" vertical="center"/>
    </xf>
    <xf numFmtId="0" fontId="53" fillId="0" borderId="5" xfId="3" applyFont="1" applyBorder="1" applyAlignment="1">
      <alignment horizontal="center" vertical="center"/>
    </xf>
    <xf numFmtId="0" fontId="41" fillId="0" borderId="5" xfId="3" applyFont="1" applyBorder="1" applyAlignment="1">
      <alignment horizontal="center" vertical="center"/>
    </xf>
    <xf numFmtId="0" fontId="41" fillId="0" borderId="2" xfId="3" applyFont="1" applyBorder="1" applyAlignment="1">
      <alignment horizontal="center" vertical="center" wrapText="1"/>
    </xf>
    <xf numFmtId="0" fontId="41" fillId="0" borderId="2" xfId="3" applyFont="1" applyBorder="1" applyAlignment="1">
      <alignment horizontal="center" vertical="center"/>
    </xf>
    <xf numFmtId="0" fontId="53" fillId="5" borderId="1" xfId="3" applyFont="1" applyFill="1" applyBorder="1" applyAlignment="1">
      <alignment horizontal="center" vertical="center" wrapText="1"/>
    </xf>
    <xf numFmtId="0" fontId="53" fillId="5" borderId="1" xfId="4" applyFont="1" applyFill="1" applyBorder="1" applyAlignment="1">
      <alignment horizontal="center" vertical="center" wrapText="1"/>
    </xf>
    <xf numFmtId="0" fontId="54" fillId="5" borderId="1" xfId="3" applyFont="1" applyFill="1" applyBorder="1" applyAlignment="1">
      <alignment horizontal="center" vertical="center" wrapText="1"/>
    </xf>
    <xf numFmtId="0" fontId="41" fillId="4" borderId="1" xfId="3" applyFont="1" applyFill="1" applyBorder="1" applyAlignment="1">
      <alignment horizontal="center" vertical="center" wrapText="1"/>
    </xf>
    <xf numFmtId="0" fontId="41" fillId="4" borderId="1" xfId="4" applyFont="1" applyFill="1" applyBorder="1" applyAlignment="1">
      <alignment horizontal="center" vertical="center" wrapText="1"/>
    </xf>
    <xf numFmtId="0" fontId="54" fillId="4" borderId="1" xfId="3" applyFont="1" applyFill="1" applyBorder="1" applyAlignment="1">
      <alignment horizontal="center" vertical="center" wrapText="1"/>
    </xf>
    <xf numFmtId="0" fontId="41" fillId="10" borderId="1" xfId="3" applyFont="1" applyFill="1" applyBorder="1" applyAlignment="1">
      <alignment horizontal="center" vertical="center"/>
    </xf>
    <xf numFmtId="0" fontId="41" fillId="10" borderId="1" xfId="4" applyFont="1" applyFill="1" applyBorder="1" applyAlignment="1">
      <alignment horizontal="center" vertical="center" wrapText="1"/>
    </xf>
    <xf numFmtId="0" fontId="54" fillId="10" borderId="1" xfId="3" applyFont="1" applyFill="1" applyBorder="1" applyAlignment="1">
      <alignment horizontal="center" vertical="center" wrapText="1"/>
    </xf>
    <xf numFmtId="0" fontId="52" fillId="0" borderId="0" xfId="3" applyFont="1" applyAlignment="1">
      <alignment horizontal="center"/>
    </xf>
    <xf numFmtId="0" fontId="53" fillId="5" borderId="1" xfId="3" applyFont="1" applyFill="1" applyBorder="1" applyAlignment="1">
      <alignment horizontal="center" vertical="center"/>
    </xf>
    <xf numFmtId="0" fontId="41" fillId="4" borderId="1" xfId="3" applyFont="1" applyFill="1" applyBorder="1" applyAlignment="1">
      <alignment horizontal="center" vertical="center"/>
    </xf>
    <xf numFmtId="0" fontId="41" fillId="10" borderId="1" xfId="3" applyFont="1" applyFill="1" applyBorder="1" applyAlignment="1">
      <alignment horizontal="center" vertical="center" wrapText="1"/>
    </xf>
    <xf numFmtId="0" fontId="41" fillId="12" borderId="1" xfId="3" applyFont="1" applyFill="1" applyBorder="1" applyAlignment="1">
      <alignment horizontal="center" vertical="center" wrapText="1"/>
    </xf>
    <xf numFmtId="0" fontId="41" fillId="12" borderId="1" xfId="4" applyFont="1" applyFill="1" applyBorder="1" applyAlignment="1">
      <alignment horizontal="center" vertical="center" wrapText="1"/>
    </xf>
    <xf numFmtId="0" fontId="48" fillId="0" borderId="0" xfId="3" applyFont="1" applyBorder="1" applyAlignment="1">
      <alignment horizontal="center"/>
    </xf>
    <xf numFmtId="0" fontId="41" fillId="0" borderId="0" xfId="3" applyFont="1" applyBorder="1"/>
    <xf numFmtId="0" fontId="50" fillId="0" borderId="0" xfId="3" applyFont="1" applyBorder="1" applyAlignment="1">
      <alignment horizontal="center" vertical="center"/>
    </xf>
    <xf numFmtId="0" fontId="48" fillId="0" borderId="0" xfId="3" applyFont="1" applyBorder="1"/>
    <xf numFmtId="176" fontId="41" fillId="0" borderId="0" xfId="3" applyNumberFormat="1" applyFont="1" applyBorder="1" applyAlignment="1">
      <alignment horizontal="center" vertical="center"/>
    </xf>
    <xf numFmtId="177" fontId="41" fillId="0" borderId="0" xfId="3" applyNumberFormat="1" applyFont="1" applyBorder="1" applyAlignment="1">
      <alignment horizontal="center" vertical="center"/>
    </xf>
    <xf numFmtId="0" fontId="41" fillId="0" borderId="0" xfId="3" applyFont="1" applyBorder="1" applyAlignment="1">
      <alignment horizontal="center" vertical="center"/>
    </xf>
    <xf numFmtId="0" fontId="54" fillId="0" borderId="0" xfId="3" applyFont="1" applyBorder="1" applyAlignment="1">
      <alignment horizontal="center" vertical="center" wrapText="1"/>
    </xf>
    <xf numFmtId="0" fontId="41" fillId="0" borderId="0" xfId="3" applyFont="1" applyBorder="1" applyAlignment="1">
      <alignment horizontal="center" vertical="center" wrapText="1"/>
    </xf>
    <xf numFmtId="176" fontId="41" fillId="0" borderId="0" xfId="3" applyNumberFormat="1" applyFont="1" applyFill="1" applyBorder="1" applyAlignment="1">
      <alignment horizontal="center" vertical="center"/>
    </xf>
    <xf numFmtId="177" fontId="41" fillId="0" borderId="0" xfId="3" applyNumberFormat="1" applyFont="1" applyFill="1" applyBorder="1" applyAlignment="1">
      <alignment horizontal="center" vertical="center"/>
    </xf>
    <xf numFmtId="0" fontId="41" fillId="0" borderId="0" xfId="3" applyFont="1" applyFill="1" applyBorder="1" applyAlignment="1">
      <alignment horizontal="center" vertical="center"/>
    </xf>
    <xf numFmtId="0" fontId="54" fillId="0" borderId="0" xfId="3" applyFont="1" applyFill="1" applyBorder="1" applyAlignment="1">
      <alignment horizontal="center" vertical="center" wrapText="1"/>
    </xf>
    <xf numFmtId="0" fontId="41" fillId="0" borderId="0" xfId="3" applyFont="1" applyFill="1" applyBorder="1" applyAlignment="1">
      <alignment horizontal="center" vertical="center" wrapText="1"/>
    </xf>
    <xf numFmtId="0" fontId="41" fillId="0" borderId="0" xfId="4" applyFont="1" applyFill="1" applyBorder="1" applyAlignment="1">
      <alignment horizontal="center" vertical="center" wrapText="1"/>
    </xf>
    <xf numFmtId="0" fontId="41" fillId="0" borderId="0" xfId="3" applyFont="1" applyFill="1"/>
    <xf numFmtId="176" fontId="41" fillId="0" borderId="2" xfId="3" applyNumberFormat="1" applyFont="1" applyBorder="1" applyAlignment="1">
      <alignment horizontal="center" vertical="center"/>
    </xf>
    <xf numFmtId="177" fontId="41" fillId="0" borderId="2" xfId="3" applyNumberFormat="1" applyFont="1" applyBorder="1" applyAlignment="1">
      <alignment horizontal="center" vertical="center"/>
    </xf>
    <xf numFmtId="0" fontId="41" fillId="7" borderId="2" xfId="3" applyFont="1" applyFill="1" applyBorder="1" applyAlignment="1">
      <alignment horizontal="center" vertical="center" wrapText="1"/>
    </xf>
    <xf numFmtId="0" fontId="41" fillId="7" borderId="2" xfId="3" applyFont="1" applyFill="1" applyBorder="1" applyAlignment="1">
      <alignment horizontal="center" vertical="center"/>
    </xf>
    <xf numFmtId="0" fontId="48" fillId="0" borderId="18" xfId="3" applyFont="1" applyBorder="1" applyAlignment="1">
      <alignment horizontal="center"/>
    </xf>
    <xf numFmtId="0" fontId="41" fillId="0" borderId="18" xfId="3" applyFont="1" applyBorder="1"/>
    <xf numFmtId="176" fontId="41" fillId="0" borderId="25" xfId="3" applyNumberFormat="1" applyFont="1" applyBorder="1" applyAlignment="1">
      <alignment horizontal="center" vertical="center"/>
    </xf>
    <xf numFmtId="176" fontId="41" fillId="0" borderId="26" xfId="3" applyNumberFormat="1" applyFont="1" applyBorder="1" applyAlignment="1">
      <alignment horizontal="center" vertical="center"/>
    </xf>
    <xf numFmtId="176" fontId="41" fillId="0" borderId="27" xfId="3" applyNumberFormat="1" applyFont="1" applyBorder="1" applyAlignment="1">
      <alignment horizontal="center" vertical="center"/>
    </xf>
    <xf numFmtId="177" fontId="41" fillId="0" borderId="28" xfId="3" applyNumberFormat="1" applyFont="1" applyBorder="1" applyAlignment="1">
      <alignment horizontal="center" vertical="center"/>
    </xf>
    <xf numFmtId="177" fontId="41" fillId="0" borderId="29" xfId="3" applyNumberFormat="1" applyFont="1" applyBorder="1" applyAlignment="1">
      <alignment horizontal="center" vertical="center"/>
    </xf>
    <xf numFmtId="0" fontId="41" fillId="0" borderId="28" xfId="3" applyFont="1" applyBorder="1" applyAlignment="1">
      <alignment horizontal="center" vertical="center"/>
    </xf>
    <xf numFmtId="0" fontId="41" fillId="0" borderId="29" xfId="3" applyFont="1" applyBorder="1" applyAlignment="1">
      <alignment horizontal="center" vertical="center"/>
    </xf>
    <xf numFmtId="0" fontId="41" fillId="11" borderId="28" xfId="4" applyFont="1" applyFill="1" applyBorder="1" applyAlignment="1">
      <alignment horizontal="center" vertical="center" wrapText="1"/>
    </xf>
    <xf numFmtId="0" fontId="54" fillId="12" borderId="29" xfId="3" applyFont="1" applyFill="1" applyBorder="1" applyAlignment="1">
      <alignment horizontal="center" vertical="center" wrapText="1"/>
    </xf>
    <xf numFmtId="0" fontId="41" fillId="11" borderId="30" xfId="3" applyFont="1" applyFill="1" applyBorder="1" applyAlignment="1">
      <alignment horizontal="center" vertical="center" wrapText="1"/>
    </xf>
    <xf numFmtId="0" fontId="41" fillId="12" borderId="31" xfId="3" applyFont="1" applyFill="1" applyBorder="1" applyAlignment="1">
      <alignment horizontal="center" vertical="center"/>
    </xf>
    <xf numFmtId="0" fontId="54" fillId="12" borderId="32" xfId="3" applyFont="1" applyFill="1" applyBorder="1" applyAlignment="1">
      <alignment horizontal="center" vertical="center" wrapText="1"/>
    </xf>
    <xf numFmtId="0" fontId="41" fillId="0" borderId="0" xfId="3" applyFont="1" applyAlignment="1">
      <alignment vertical="center"/>
    </xf>
    <xf numFmtId="0" fontId="56" fillId="0" borderId="33" xfId="3" applyFont="1" applyBorder="1" applyAlignment="1">
      <alignment horizontal="center" vertical="center"/>
    </xf>
    <xf numFmtId="0" fontId="44" fillId="0" borderId="0" xfId="5" applyFont="1" applyAlignment="1">
      <alignment vertical="center"/>
    </xf>
    <xf numFmtId="0" fontId="44" fillId="0" borderId="0" xfId="5" applyFont="1"/>
    <xf numFmtId="0" fontId="41" fillId="0" borderId="0" xfId="5" applyFont="1"/>
    <xf numFmtId="0" fontId="45" fillId="0" borderId="0" xfId="5" applyFont="1"/>
    <xf numFmtId="0" fontId="47" fillId="0" borderId="0" xfId="5" applyFont="1"/>
    <xf numFmtId="0" fontId="49" fillId="0" borderId="0" xfId="5" applyFont="1" applyAlignment="1">
      <alignment horizontal="left" vertical="center"/>
    </xf>
    <xf numFmtId="0" fontId="48" fillId="0" borderId="21" xfId="5" applyFont="1" applyBorder="1" applyAlignment="1">
      <alignment wrapText="1"/>
    </xf>
    <xf numFmtId="0" fontId="48" fillId="0" borderId="0" xfId="5" applyFont="1" applyAlignment="1">
      <alignment horizontal="center"/>
    </xf>
    <xf numFmtId="0" fontId="50" fillId="0" borderId="0" xfId="5" applyFont="1" applyAlignment="1">
      <alignment horizontal="center"/>
    </xf>
    <xf numFmtId="0" fontId="41" fillId="0" borderId="2" xfId="5" applyFont="1" applyBorder="1" applyAlignment="1">
      <alignment horizontal="center" vertical="center"/>
    </xf>
    <xf numFmtId="0" fontId="41" fillId="0" borderId="4" xfId="5" applyFont="1" applyBorder="1" applyAlignment="1">
      <alignment horizontal="center" vertical="center"/>
    </xf>
    <xf numFmtId="176" fontId="41" fillId="0" borderId="1" xfId="5" applyNumberFormat="1" applyFont="1" applyBorder="1" applyAlignment="1">
      <alignment horizontal="center" vertical="center"/>
    </xf>
    <xf numFmtId="176" fontId="41" fillId="0" borderId="0" xfId="5" applyNumberFormat="1" applyFont="1" applyAlignment="1">
      <alignment horizontal="center" vertical="center"/>
    </xf>
    <xf numFmtId="0" fontId="52" fillId="0" borderId="0" xfId="5" applyFont="1" applyAlignment="1">
      <alignment horizontal="center" vertical="center" wrapText="1"/>
    </xf>
    <xf numFmtId="177" fontId="41" fillId="0" borderId="1" xfId="5" applyNumberFormat="1" applyFont="1" applyBorder="1" applyAlignment="1">
      <alignment horizontal="center" vertical="center"/>
    </xf>
    <xf numFmtId="177" fontId="51" fillId="0" borderId="0" xfId="5" applyNumberFormat="1" applyFont="1" applyAlignment="1">
      <alignment horizontal="center" vertical="center"/>
    </xf>
    <xf numFmtId="177" fontId="41" fillId="0" borderId="0" xfId="5" applyNumberFormat="1" applyFont="1" applyAlignment="1">
      <alignment horizontal="center" vertical="center"/>
    </xf>
    <xf numFmtId="0" fontId="41" fillId="0" borderId="1" xfId="5" applyFont="1" applyBorder="1" applyAlignment="1">
      <alignment horizontal="center" vertical="center"/>
    </xf>
    <xf numFmtId="0" fontId="51" fillId="0" borderId="0" xfId="5" applyFont="1" applyAlignment="1">
      <alignment horizontal="center" vertical="center"/>
    </xf>
    <xf numFmtId="0" fontId="41" fillId="0" borderId="0" xfId="5" applyFont="1" applyAlignment="1">
      <alignment horizontal="center" vertical="center"/>
    </xf>
    <xf numFmtId="0" fontId="52" fillId="0" borderId="0" xfId="5" applyFont="1" applyAlignment="1">
      <alignment horizontal="center"/>
    </xf>
    <xf numFmtId="0" fontId="41" fillId="0" borderId="1" xfId="5" applyFont="1" applyBorder="1" applyAlignment="1">
      <alignment horizontal="center" vertical="center" wrapText="1"/>
    </xf>
    <xf numFmtId="0" fontId="56" fillId="0" borderId="0" xfId="5" applyFont="1"/>
    <xf numFmtId="176" fontId="53" fillId="0" borderId="1" xfId="5" applyNumberFormat="1" applyFont="1" applyBorder="1" applyAlignment="1">
      <alignment horizontal="center" vertical="center"/>
    </xf>
    <xf numFmtId="177" fontId="53" fillId="0" borderId="1" xfId="5" applyNumberFormat="1" applyFont="1" applyBorder="1" applyAlignment="1">
      <alignment horizontal="center" vertical="center"/>
    </xf>
    <xf numFmtId="0" fontId="53" fillId="0" borderId="1" xfId="5" applyFont="1" applyBorder="1" applyAlignment="1">
      <alignment horizontal="center" vertical="center"/>
    </xf>
    <xf numFmtId="0" fontId="53" fillId="5" borderId="1" xfId="5" applyFont="1" applyFill="1" applyBorder="1" applyAlignment="1">
      <alignment horizontal="center" vertical="center" wrapText="1"/>
    </xf>
    <xf numFmtId="0" fontId="53" fillId="4" borderId="1" xfId="5" applyFont="1" applyFill="1" applyBorder="1" applyAlignment="1">
      <alignment horizontal="center" vertical="center" wrapText="1"/>
    </xf>
    <xf numFmtId="0" fontId="53" fillId="10" borderId="1" xfId="5" applyFont="1" applyFill="1" applyBorder="1" applyAlignment="1">
      <alignment horizontal="center" vertical="center" wrapText="1"/>
    </xf>
    <xf numFmtId="0" fontId="53" fillId="10" borderId="1" xfId="4" applyFont="1" applyFill="1" applyBorder="1" applyAlignment="1">
      <alignment horizontal="center" vertical="center" wrapText="1"/>
    </xf>
    <xf numFmtId="0" fontId="54" fillId="12" borderId="1" xfId="5" applyFont="1" applyFill="1" applyBorder="1" applyAlignment="1">
      <alignment horizontal="center" vertical="center" wrapText="1"/>
    </xf>
    <xf numFmtId="0" fontId="53" fillId="5" borderId="1" xfId="5" applyFont="1" applyFill="1" applyBorder="1" applyAlignment="1">
      <alignment horizontal="center" vertical="center"/>
    </xf>
    <xf numFmtId="0" fontId="53" fillId="10" borderId="1" xfId="5" applyFont="1" applyFill="1" applyBorder="1" applyAlignment="1">
      <alignment horizontal="center" vertical="center"/>
    </xf>
    <xf numFmtId="0" fontId="41" fillId="12" borderId="1" xfId="5" applyFont="1" applyFill="1" applyBorder="1" applyAlignment="1">
      <alignment horizontal="center" vertical="center"/>
    </xf>
    <xf numFmtId="0" fontId="58" fillId="5" borderId="1" xfId="5" applyFont="1" applyFill="1" applyBorder="1" applyAlignment="1">
      <alignment horizontal="center" vertical="center"/>
    </xf>
    <xf numFmtId="0" fontId="41" fillId="0" borderId="3" xfId="5" applyFont="1" applyBorder="1" applyAlignment="1">
      <alignment horizontal="center" vertical="center"/>
    </xf>
    <xf numFmtId="0" fontId="41" fillId="0" borderId="2" xfId="5" applyFont="1" applyBorder="1" applyAlignment="1">
      <alignment horizontal="center" vertical="center" wrapText="1"/>
    </xf>
    <xf numFmtId="0" fontId="41" fillId="0" borderId="2" xfId="5" applyFont="1" applyBorder="1" applyAlignment="1">
      <alignment horizontal="center" vertical="center"/>
    </xf>
    <xf numFmtId="0" fontId="54" fillId="0" borderId="1" xfId="5" applyFont="1" applyBorder="1" applyAlignment="1">
      <alignment horizontal="center" vertical="center" wrapText="1"/>
    </xf>
    <xf numFmtId="0" fontId="53" fillId="0" borderId="1" xfId="5" applyFont="1" applyBorder="1" applyAlignment="1">
      <alignment horizontal="center" vertical="center" wrapText="1"/>
    </xf>
    <xf numFmtId="0" fontId="53" fillId="0" borderId="1" xfId="4" applyFont="1" applyBorder="1" applyAlignment="1">
      <alignment horizontal="center" vertical="center" wrapText="1"/>
    </xf>
    <xf numFmtId="0" fontId="41" fillId="0" borderId="5" xfId="5" applyFont="1" applyBorder="1" applyAlignment="1">
      <alignment horizontal="center" vertical="center" wrapText="1"/>
    </xf>
    <xf numFmtId="0" fontId="41" fillId="0" borderId="7" xfId="5" applyFont="1" applyBorder="1" applyAlignment="1">
      <alignment horizontal="center" vertical="center" wrapText="1"/>
    </xf>
    <xf numFmtId="0" fontId="41" fillId="0" borderId="5" xfId="5" applyFont="1" applyBorder="1" applyAlignment="1">
      <alignment horizontal="center" vertical="center" wrapText="1"/>
    </xf>
    <xf numFmtId="0" fontId="53" fillId="5" borderId="2" xfId="5" applyFont="1" applyFill="1" applyBorder="1" applyAlignment="1">
      <alignment horizontal="center" vertical="center" wrapText="1"/>
    </xf>
    <xf numFmtId="0" fontId="53" fillId="4" borderId="3" xfId="5" applyFont="1" applyFill="1" applyBorder="1" applyAlignment="1">
      <alignment horizontal="center" vertical="center" wrapText="1"/>
    </xf>
    <xf numFmtId="0" fontId="53" fillId="10" borderId="3" xfId="5" applyFont="1" applyFill="1" applyBorder="1" applyAlignment="1">
      <alignment horizontal="center" vertical="center" wrapText="1"/>
    </xf>
    <xf numFmtId="0" fontId="41" fillId="12" borderId="3" xfId="4" applyFont="1" applyFill="1" applyBorder="1" applyAlignment="1">
      <alignment horizontal="center" vertical="center" wrapText="1"/>
    </xf>
    <xf numFmtId="0" fontId="53" fillId="5" borderId="3" xfId="5" applyFont="1" applyFill="1" applyBorder="1" applyAlignment="1">
      <alignment horizontal="center" vertical="center" wrapText="1"/>
    </xf>
    <xf numFmtId="0" fontId="53" fillId="0" borderId="5" xfId="5" applyFont="1" applyBorder="1" applyAlignment="1">
      <alignment horizontal="center" vertical="center"/>
    </xf>
    <xf numFmtId="0" fontId="41" fillId="0" borderId="5" xfId="5" applyFont="1" applyBorder="1" applyAlignment="1">
      <alignment horizontal="center" vertical="center"/>
    </xf>
    <xf numFmtId="0" fontId="53" fillId="5" borderId="7" xfId="5" applyFont="1" applyFill="1" applyBorder="1" applyAlignment="1">
      <alignment horizontal="center" vertical="center"/>
    </xf>
    <xf numFmtId="0" fontId="53" fillId="4" borderId="7" xfId="5" applyFont="1" applyFill="1" applyBorder="1" applyAlignment="1">
      <alignment horizontal="center" vertical="center" wrapText="1"/>
    </xf>
    <xf numFmtId="0" fontId="53" fillId="10" borderId="7" xfId="5" applyFont="1" applyFill="1" applyBorder="1" applyAlignment="1">
      <alignment horizontal="center" vertical="center"/>
    </xf>
    <xf numFmtId="0" fontId="54" fillId="12" borderId="7" xfId="5" applyFont="1" applyFill="1" applyBorder="1" applyAlignment="1">
      <alignment horizontal="center" vertical="center" wrapText="1"/>
    </xf>
    <xf numFmtId="0" fontId="59" fillId="5" borderId="24" xfId="4" applyFont="1" applyFill="1" applyBorder="1" applyAlignment="1">
      <alignment horizontal="center" vertical="center" wrapText="1"/>
    </xf>
    <xf numFmtId="0" fontId="59" fillId="4" borderId="24" xfId="5" applyFont="1" applyFill="1" applyBorder="1" applyAlignment="1">
      <alignment horizontal="center" vertical="center" wrapText="1"/>
    </xf>
    <xf numFmtId="0" fontId="59" fillId="10" borderId="24" xfId="4" applyFont="1" applyFill="1" applyBorder="1" applyAlignment="1">
      <alignment horizontal="center" vertical="center" wrapText="1"/>
    </xf>
    <xf numFmtId="0" fontId="60" fillId="12" borderId="24" xfId="5" applyFont="1" applyFill="1" applyBorder="1" applyAlignment="1">
      <alignment horizontal="center" vertical="center" wrapText="1"/>
    </xf>
    <xf numFmtId="0" fontId="41" fillId="13" borderId="0" xfId="3" applyFont="1" applyFill="1" applyAlignment="1">
      <alignment vertical="center"/>
    </xf>
    <xf numFmtId="0" fontId="47" fillId="13" borderId="0" xfId="3" applyFont="1" applyFill="1" applyAlignment="1">
      <alignment vertical="center"/>
    </xf>
    <xf numFmtId="0" fontId="52" fillId="13" borderId="1" xfId="3" applyFont="1" applyFill="1" applyBorder="1" applyAlignment="1">
      <alignment horizontal="center" vertical="center"/>
    </xf>
    <xf numFmtId="0" fontId="52" fillId="13" borderId="1" xfId="3" applyFont="1" applyFill="1" applyBorder="1" applyAlignment="1">
      <alignment horizontal="center" vertical="center" wrapText="1"/>
    </xf>
    <xf numFmtId="0" fontId="54" fillId="13" borderId="1" xfId="3" applyFont="1" applyFill="1" applyBorder="1" applyAlignment="1">
      <alignment horizontal="center" vertical="center"/>
    </xf>
    <xf numFmtId="0" fontId="41" fillId="13" borderId="1" xfId="3" applyFont="1" applyFill="1" applyBorder="1" applyAlignment="1">
      <alignment horizontal="center" vertical="center"/>
    </xf>
    <xf numFmtId="0" fontId="41" fillId="13" borderId="1" xfId="3" applyFont="1" applyFill="1" applyBorder="1" applyAlignment="1">
      <alignment horizontal="center" vertical="center" wrapText="1"/>
    </xf>
    <xf numFmtId="0" fontId="41" fillId="13" borderId="1" xfId="3" applyFont="1" applyFill="1" applyBorder="1" applyAlignment="1">
      <alignment horizontal="left" vertical="center" wrapText="1"/>
    </xf>
    <xf numFmtId="0" fontId="54" fillId="13" borderId="1" xfId="3" applyFont="1" applyFill="1" applyBorder="1" applyAlignment="1">
      <alignment horizontal="left" vertical="center"/>
    </xf>
    <xf numFmtId="0" fontId="41" fillId="13" borderId="1" xfId="3" applyFont="1" applyFill="1" applyBorder="1" applyAlignment="1">
      <alignment vertical="center"/>
    </xf>
    <xf numFmtId="0" fontId="41" fillId="13" borderId="1" xfId="3" applyFont="1" applyFill="1" applyBorder="1" applyAlignment="1">
      <alignment vertical="center" wrapText="1"/>
    </xf>
    <xf numFmtId="0" fontId="41" fillId="13" borderId="0" xfId="3" applyFont="1" applyFill="1" applyAlignment="1">
      <alignment horizontal="right" vertical="center"/>
    </xf>
    <xf numFmtId="0" fontId="62" fillId="13" borderId="0" xfId="6" applyFont="1" applyFill="1" applyAlignment="1">
      <alignment vertical="center"/>
    </xf>
    <xf numFmtId="0" fontId="41" fillId="14" borderId="0" xfId="3" applyFont="1" applyFill="1" applyAlignment="1">
      <alignment vertical="center"/>
    </xf>
    <xf numFmtId="0" fontId="41" fillId="15" borderId="0" xfId="3" applyFont="1" applyFill="1" applyAlignment="1">
      <alignment horizontal="right" vertical="center"/>
    </xf>
    <xf numFmtId="0" fontId="41" fillId="14" borderId="0" xfId="3" applyFont="1" applyFill="1" applyAlignment="1">
      <alignment horizontal="right" vertical="center"/>
    </xf>
    <xf numFmtId="0" fontId="41" fillId="16" borderId="0" xfId="3" applyFont="1" applyFill="1" applyAlignment="1">
      <alignment vertical="center"/>
    </xf>
    <xf numFmtId="0" fontId="62" fillId="16" borderId="0" xfId="6" applyFont="1" applyFill="1" applyAlignment="1">
      <alignment vertical="center"/>
    </xf>
    <xf numFmtId="0" fontId="41" fillId="16" borderId="0" xfId="3" applyFont="1" applyFill="1" applyAlignment="1">
      <alignment horizontal="right" vertical="center"/>
    </xf>
    <xf numFmtId="0" fontId="41" fillId="13" borderId="1" xfId="3" applyFont="1" applyFill="1" applyBorder="1" applyAlignment="1">
      <alignment horizontal="left" vertical="center"/>
    </xf>
    <xf numFmtId="0" fontId="54" fillId="13" borderId="1" xfId="3" applyFont="1" applyFill="1" applyBorder="1" applyAlignment="1">
      <alignment horizontal="center" vertical="center" wrapText="1"/>
    </xf>
    <xf numFmtId="0" fontId="54" fillId="13" borderId="7" xfId="3" applyFont="1" applyFill="1" applyBorder="1" applyAlignment="1">
      <alignment horizontal="center" vertical="center"/>
    </xf>
    <xf numFmtId="0" fontId="54" fillId="13" borderId="5" xfId="3" applyFont="1" applyFill="1" applyBorder="1" applyAlignment="1">
      <alignment horizontal="center" vertical="center"/>
    </xf>
    <xf numFmtId="0" fontId="41" fillId="17" borderId="0" xfId="3" applyFont="1" applyFill="1" applyAlignment="1">
      <alignment horizontal="right" vertical="center"/>
    </xf>
    <xf numFmtId="0" fontId="41" fillId="17" borderId="0" xfId="3" applyFont="1" applyFill="1" applyAlignment="1">
      <alignment vertical="center"/>
    </xf>
    <xf numFmtId="0" fontId="43" fillId="17" borderId="1" xfId="0" applyFont="1" applyFill="1" applyBorder="1" applyAlignment="1">
      <alignment vertical="center"/>
    </xf>
    <xf numFmtId="0" fontId="40" fillId="0" borderId="0" xfId="7" applyFont="1"/>
    <xf numFmtId="0" fontId="64" fillId="0" borderId="0" xfId="7" applyFont="1"/>
    <xf numFmtId="0" fontId="65" fillId="0" borderId="0" xfId="7" applyFont="1"/>
    <xf numFmtId="0" fontId="64" fillId="0" borderId="34" xfId="4" applyFont="1" applyBorder="1" applyAlignment="1">
      <alignment vertical="center" wrapText="1"/>
    </xf>
    <xf numFmtId="0" fontId="65" fillId="0" borderId="35" xfId="4" applyFont="1" applyBorder="1" applyAlignment="1">
      <alignment horizontal="center" vertical="center" wrapText="1"/>
    </xf>
    <xf numFmtId="0" fontId="64" fillId="0" borderId="35" xfId="4" applyFont="1" applyBorder="1" applyAlignment="1">
      <alignment vertical="center" wrapText="1"/>
    </xf>
    <xf numFmtId="0" fontId="64" fillId="0" borderId="36" xfId="4" applyFont="1" applyBorder="1" applyAlignment="1">
      <alignment vertical="center" wrapText="1"/>
    </xf>
    <xf numFmtId="0" fontId="65" fillId="0" borderId="37" xfId="4" applyFont="1" applyBorder="1" applyAlignment="1">
      <alignment horizontal="center" vertical="center" wrapText="1"/>
    </xf>
    <xf numFmtId="0" fontId="64" fillId="0" borderId="37" xfId="4" applyFont="1" applyBorder="1" applyAlignment="1">
      <alignment vertical="center" wrapText="1"/>
    </xf>
    <xf numFmtId="0" fontId="64" fillId="0" borderId="37" xfId="4" applyFont="1" applyBorder="1" applyAlignment="1">
      <alignment horizontal="center" vertical="center" wrapText="1"/>
    </xf>
    <xf numFmtId="0" fontId="65" fillId="0" borderId="38" xfId="4" applyFont="1" applyBorder="1" applyAlignment="1">
      <alignment horizontal="center" vertical="center" wrapText="1"/>
    </xf>
    <xf numFmtId="0" fontId="43" fillId="12" borderId="1" xfId="7" applyFont="1" applyFill="1" applyBorder="1" applyAlignment="1">
      <alignment horizontal="center" vertical="center"/>
    </xf>
    <xf numFmtId="0" fontId="43" fillId="12" borderId="1" xfId="4" applyFont="1" applyFill="1" applyBorder="1" applyAlignment="1">
      <alignment horizontal="center" vertical="center" wrapText="1"/>
    </xf>
    <xf numFmtId="0" fontId="43" fillId="12" borderId="1" xfId="8" applyFont="1" applyFill="1" applyBorder="1" applyAlignment="1">
      <alignment horizontal="center" vertical="center"/>
    </xf>
    <xf numFmtId="0" fontId="43" fillId="12" borderId="1" xfId="4" applyFont="1" applyFill="1" applyBorder="1" applyAlignment="1">
      <alignment horizontal="center" vertical="center"/>
    </xf>
    <xf numFmtId="0" fontId="43" fillId="5" borderId="1" xfId="7" applyFont="1" applyFill="1" applyBorder="1" applyAlignment="1">
      <alignment horizontal="center" vertical="center"/>
    </xf>
    <xf numFmtId="0" fontId="43" fillId="5" borderId="1" xfId="4" applyFont="1" applyFill="1" applyBorder="1" applyAlignment="1">
      <alignment horizontal="center" vertical="center" wrapText="1"/>
    </xf>
    <xf numFmtId="0" fontId="68" fillId="18" borderId="1" xfId="7" applyFont="1" applyFill="1" applyBorder="1" applyAlignment="1">
      <alignment horizontal="center" vertical="center"/>
    </xf>
    <xf numFmtId="0" fontId="69" fillId="0" borderId="0" xfId="7" applyFont="1"/>
    <xf numFmtId="0" fontId="43" fillId="0" borderId="0" xfId="7" applyFont="1"/>
    <xf numFmtId="0" fontId="40" fillId="0" borderId="1" xfId="7" applyFont="1" applyBorder="1" applyAlignment="1">
      <alignment vertical="center"/>
    </xf>
    <xf numFmtId="0" fontId="40" fillId="0" borderId="1" xfId="7" applyFont="1" applyBorder="1" applyAlignment="1">
      <alignment horizontal="center" vertical="center"/>
    </xf>
    <xf numFmtId="0" fontId="70" fillId="0" borderId="1" xfId="7" applyFont="1" applyBorder="1" applyAlignment="1">
      <alignment horizontal="right" vertical="center"/>
    </xf>
    <xf numFmtId="0" fontId="40" fillId="0" borderId="1" xfId="7" applyFont="1" applyBorder="1"/>
    <xf numFmtId="0" fontId="71" fillId="18" borderId="39" xfId="4" applyFont="1" applyFill="1" applyBorder="1" applyAlignment="1">
      <alignment horizontal="center" vertical="center" wrapText="1"/>
    </xf>
    <xf numFmtId="0" fontId="71" fillId="18" borderId="40" xfId="4" applyFont="1" applyFill="1" applyBorder="1" applyAlignment="1">
      <alignment horizontal="center" vertical="center" wrapText="1"/>
    </xf>
    <xf numFmtId="0" fontId="71" fillId="18" borderId="41" xfId="4" applyFont="1" applyFill="1" applyBorder="1" applyAlignment="1">
      <alignment horizontal="center" vertical="center" wrapText="1"/>
    </xf>
    <xf numFmtId="0" fontId="40" fillId="13" borderId="0" xfId="7" applyFont="1" applyFill="1"/>
    <xf numFmtId="0" fontId="71" fillId="18" borderId="1" xfId="7" applyFont="1" applyFill="1" applyBorder="1" applyAlignment="1">
      <alignment horizontal="center" vertical="center"/>
    </xf>
    <xf numFmtId="0" fontId="72" fillId="0" borderId="0" xfId="7" applyFont="1" applyAlignment="1">
      <alignment horizontal="right"/>
    </xf>
    <xf numFmtId="0" fontId="40" fillId="0" borderId="0" xfId="7" applyFont="1" applyAlignment="1">
      <alignment horizontal="center"/>
    </xf>
    <xf numFmtId="0" fontId="47" fillId="0" borderId="0" xfId="7" applyFont="1" applyAlignment="1">
      <alignment horizontal="center"/>
    </xf>
    <xf numFmtId="0" fontId="43" fillId="5" borderId="4" xfId="7" applyFont="1" applyFill="1" applyBorder="1" applyAlignment="1">
      <alignment horizontal="center" vertical="center"/>
    </xf>
    <xf numFmtId="0" fontId="43" fillId="5" borderId="5" xfId="4" applyFont="1" applyFill="1" applyBorder="1" applyAlignment="1">
      <alignment horizontal="center" vertical="center" wrapText="1"/>
    </xf>
    <xf numFmtId="0" fontId="43" fillId="5" borderId="5" xfId="7" applyFont="1" applyFill="1" applyBorder="1" applyAlignment="1">
      <alignment horizontal="center" vertical="center"/>
    </xf>
    <xf numFmtId="0" fontId="43" fillId="5" borderId="7" xfId="4" applyFont="1" applyFill="1" applyBorder="1" applyAlignment="1">
      <alignment horizontal="center" vertical="center" wrapText="1"/>
    </xf>
    <xf numFmtId="0" fontId="43" fillId="5" borderId="7" xfId="7" applyFont="1" applyFill="1" applyBorder="1" applyAlignment="1">
      <alignment horizontal="center" vertical="center"/>
    </xf>
    <xf numFmtId="0" fontId="41" fillId="5" borderId="42" xfId="4" applyFont="1" applyFill="1" applyBorder="1" applyAlignment="1">
      <alignment horizontal="center" vertical="center" wrapText="1"/>
    </xf>
    <xf numFmtId="0" fontId="55" fillId="5" borderId="43" xfId="4" applyFont="1" applyFill="1" applyBorder="1" applyAlignment="1">
      <alignment horizontal="center" vertical="center" wrapText="1"/>
    </xf>
    <xf numFmtId="0" fontId="55" fillId="5" borderId="44" xfId="7" applyFont="1" applyFill="1" applyBorder="1" applyAlignment="1">
      <alignment horizontal="center" vertical="center"/>
    </xf>
    <xf numFmtId="0" fontId="77" fillId="0" borderId="36" xfId="0" applyFont="1" applyBorder="1" applyAlignment="1">
      <alignment horizontal="center" vertical="center" wrapText="1"/>
    </xf>
    <xf numFmtId="0" fontId="77" fillId="0" borderId="34" xfId="0" applyFont="1" applyBorder="1" applyAlignment="1">
      <alignment horizontal="center" vertical="center" wrapText="1"/>
    </xf>
    <xf numFmtId="0" fontId="75" fillId="0" borderId="0" xfId="0" applyFont="1" applyAlignment="1">
      <alignment vertical="center" wrapText="1"/>
    </xf>
    <xf numFmtId="0" fontId="74" fillId="0" borderId="0" xfId="0" applyFont="1"/>
    <xf numFmtId="0" fontId="76" fillId="19" borderId="40" xfId="0" applyFont="1" applyFill="1" applyBorder="1" applyAlignment="1">
      <alignment horizontal="center" vertical="center"/>
    </xf>
    <xf numFmtId="0" fontId="76" fillId="19" borderId="45" xfId="0" applyFont="1" applyFill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5" fillId="0" borderId="48" xfId="0" applyFont="1" applyBorder="1" applyAlignment="1">
      <alignment vertical="center" wrapText="1"/>
    </xf>
    <xf numFmtId="0" fontId="78" fillId="20" borderId="38" xfId="0" applyFont="1" applyFill="1" applyBorder="1" applyAlignment="1">
      <alignment horizontal="center" vertical="center"/>
    </xf>
    <xf numFmtId="0" fontId="78" fillId="20" borderId="37" xfId="0" applyFont="1" applyFill="1" applyBorder="1" applyAlignment="1">
      <alignment horizontal="center" vertical="center"/>
    </xf>
    <xf numFmtId="0" fontId="78" fillId="20" borderId="49" xfId="0" applyFont="1" applyFill="1" applyBorder="1" applyAlignment="1">
      <alignment horizontal="center" vertical="center"/>
    </xf>
    <xf numFmtId="0" fontId="78" fillId="21" borderId="50" xfId="0" applyFont="1" applyFill="1" applyBorder="1" applyAlignment="1">
      <alignment horizontal="center" vertical="center"/>
    </xf>
    <xf numFmtId="0" fontId="78" fillId="21" borderId="37" xfId="0" applyFont="1" applyFill="1" applyBorder="1" applyAlignment="1">
      <alignment horizontal="center" vertical="center"/>
    </xf>
    <xf numFmtId="0" fontId="78" fillId="21" borderId="49" xfId="0" applyFont="1" applyFill="1" applyBorder="1" applyAlignment="1">
      <alignment horizontal="center" vertical="center"/>
    </xf>
    <xf numFmtId="0" fontId="78" fillId="20" borderId="50" xfId="0" applyFont="1" applyFill="1" applyBorder="1" applyAlignment="1">
      <alignment horizontal="center" vertical="center"/>
    </xf>
    <xf numFmtId="0" fontId="76" fillId="0" borderId="48" xfId="0" applyFont="1" applyFill="1" applyBorder="1" applyAlignment="1">
      <alignment vertical="center"/>
    </xf>
    <xf numFmtId="0" fontId="77" fillId="0" borderId="38" xfId="0" applyFont="1" applyBorder="1" applyAlignment="1">
      <alignment horizontal="center" vertical="center"/>
    </xf>
    <xf numFmtId="0" fontId="77" fillId="0" borderId="35" xfId="0" applyFont="1" applyBorder="1" applyAlignment="1">
      <alignment horizontal="center" vertical="center"/>
    </xf>
    <xf numFmtId="0" fontId="78" fillId="0" borderId="35" xfId="0" applyFont="1" applyBorder="1" applyAlignment="1">
      <alignment vertical="center"/>
    </xf>
    <xf numFmtId="0" fontId="79" fillId="13" borderId="36" xfId="0" applyFont="1" applyFill="1" applyBorder="1" applyAlignment="1">
      <alignment vertical="center" wrapText="1"/>
    </xf>
    <xf numFmtId="0" fontId="0" fillId="13" borderId="46" xfId="0" applyFill="1" applyBorder="1" applyAlignment="1">
      <alignment vertical="center" wrapText="1"/>
    </xf>
    <xf numFmtId="0" fontId="81" fillId="10" borderId="36" xfId="0" applyFont="1" applyFill="1" applyBorder="1" applyAlignment="1">
      <alignment vertical="center" wrapText="1"/>
    </xf>
    <xf numFmtId="0" fontId="82" fillId="0" borderId="0" xfId="0" applyFont="1" applyAlignment="1">
      <alignment vertical="center"/>
    </xf>
    <xf numFmtId="0" fontId="40" fillId="0" borderId="0" xfId="0" applyFont="1"/>
    <xf numFmtId="0" fontId="69" fillId="0" borderId="0" xfId="0" applyFont="1"/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40" fillId="0" borderId="0" xfId="0" applyFont="1" applyAlignment="1">
      <alignment horizontal="left" vertical="center" indent="1"/>
    </xf>
    <xf numFmtId="0" fontId="73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1"/>
    </xf>
    <xf numFmtId="0" fontId="85" fillId="0" borderId="0" xfId="0" applyFont="1"/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left"/>
    </xf>
    <xf numFmtId="0" fontId="8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87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left" vertical="center" indent="2"/>
    </xf>
    <xf numFmtId="0" fontId="69" fillId="0" borderId="0" xfId="0" applyFont="1" applyAlignment="1">
      <alignment horizontal="left" vertical="center" indent="2"/>
    </xf>
    <xf numFmtId="0" fontId="40" fillId="0" borderId="0" xfId="0" applyFont="1" applyAlignment="1">
      <alignment horizontal="left" vertical="center" indent="3"/>
    </xf>
    <xf numFmtId="0" fontId="69" fillId="0" borderId="0" xfId="0" applyFont="1" applyAlignment="1">
      <alignment horizontal="left" vertical="center" indent="3"/>
    </xf>
    <xf numFmtId="0" fontId="43" fillId="0" borderId="0" xfId="0" applyFont="1" applyAlignment="1">
      <alignment horizontal="left" vertical="center" indent="3"/>
    </xf>
    <xf numFmtId="0" fontId="43" fillId="0" borderId="0" xfId="0" applyFont="1" applyAlignment="1">
      <alignment horizontal="left" vertical="center" indent="2"/>
    </xf>
    <xf numFmtId="0" fontId="55" fillId="0" borderId="0" xfId="0" applyFont="1" applyAlignment="1">
      <alignment vertical="center"/>
    </xf>
    <xf numFmtId="0" fontId="73" fillId="0" borderId="0" xfId="0" applyFont="1" applyAlignment="1">
      <alignment horizontal="left" vertical="center" indent="3"/>
    </xf>
    <xf numFmtId="0" fontId="73" fillId="0" borderId="0" xfId="0" applyFont="1" applyAlignment="1">
      <alignment horizontal="left" vertical="center" indent="2"/>
    </xf>
    <xf numFmtId="0" fontId="40" fillId="0" borderId="0" xfId="0" applyFont="1" applyAlignment="1">
      <alignment horizontal="left" vertical="center" indent="4"/>
    </xf>
    <xf numFmtId="0" fontId="43" fillId="0" borderId="0" xfId="0" applyFont="1" applyAlignment="1">
      <alignment horizontal="left" vertical="center" indent="4"/>
    </xf>
    <xf numFmtId="0" fontId="40" fillId="0" borderId="0" xfId="0" applyFont="1" applyAlignment="1">
      <alignment horizontal="left" vertical="center" indent="5"/>
    </xf>
    <xf numFmtId="0" fontId="43" fillId="0" borderId="0" xfId="0" applyFont="1" applyAlignment="1">
      <alignment horizontal="left" vertical="center" indent="5"/>
    </xf>
    <xf numFmtId="0" fontId="73" fillId="0" borderId="0" xfId="0" applyFont="1" applyAlignment="1">
      <alignment horizontal="left" vertical="center" indent="5"/>
    </xf>
    <xf numFmtId="0" fontId="69" fillId="0" borderId="0" xfId="0" applyFont="1" applyAlignment="1">
      <alignment horizontal="left" vertical="center" indent="4"/>
    </xf>
    <xf numFmtId="0" fontId="40" fillId="0" borderId="0" xfId="0" applyFont="1" applyAlignment="1">
      <alignment horizontal="left" vertical="center" indent="6"/>
    </xf>
    <xf numFmtId="0" fontId="69" fillId="0" borderId="0" xfId="0" applyFont="1" applyAlignment="1">
      <alignment horizontal="left" vertical="center" indent="6"/>
    </xf>
    <xf numFmtId="0" fontId="85" fillId="0" borderId="0" xfId="0" applyFont="1" applyAlignment="1">
      <alignment horizontal="left" vertical="center" indent="1"/>
    </xf>
    <xf numFmtId="0" fontId="85" fillId="0" borderId="0" xfId="0" applyFont="1" applyAlignment="1">
      <alignment horizontal="left" vertical="center" indent="3"/>
    </xf>
    <xf numFmtId="0" fontId="85" fillId="0" borderId="0" xfId="0" applyFont="1" applyAlignment="1">
      <alignment horizontal="left" vertical="center" indent="4"/>
    </xf>
    <xf numFmtId="0" fontId="73" fillId="0" borderId="0" xfId="0" applyFont="1" applyAlignment="1">
      <alignment horizontal="left" vertical="center" indent="4"/>
    </xf>
    <xf numFmtId="0" fontId="69" fillId="0" borderId="0" xfId="0" applyFont="1" applyAlignment="1">
      <alignment horizontal="left" vertical="center" indent="5"/>
    </xf>
    <xf numFmtId="0" fontId="73" fillId="0" borderId="0" xfId="0" applyFont="1" applyAlignment="1">
      <alignment horizontal="left" vertical="center" indent="6"/>
    </xf>
    <xf numFmtId="0" fontId="40" fillId="0" borderId="0" xfId="0" applyFont="1" applyAlignment="1">
      <alignment horizontal="left" vertical="center" indent="7"/>
    </xf>
    <xf numFmtId="0" fontId="69" fillId="0" borderId="0" xfId="0" applyFont="1" applyAlignment="1">
      <alignment horizontal="left" vertical="center" indent="7"/>
    </xf>
    <xf numFmtId="0" fontId="40" fillId="0" borderId="0" xfId="0" applyFont="1" applyAlignment="1">
      <alignment horizontal="left" vertical="center" indent="8"/>
    </xf>
    <xf numFmtId="0" fontId="85" fillId="0" borderId="0" xfId="0" applyFont="1" applyAlignment="1">
      <alignment horizontal="left" vertical="center" indent="8"/>
    </xf>
    <xf numFmtId="0" fontId="85" fillId="0" borderId="0" xfId="0" applyFont="1" applyAlignment="1">
      <alignment horizontal="left" vertical="center" indent="7"/>
    </xf>
    <xf numFmtId="0" fontId="84" fillId="17" borderId="0" xfId="0" applyFont="1" applyFill="1" applyAlignment="1">
      <alignment vertical="center"/>
    </xf>
    <xf numFmtId="0" fontId="0" fillId="17" borderId="0" xfId="0" applyFill="1"/>
    <xf numFmtId="0" fontId="40" fillId="17" borderId="0" xfId="0" applyFont="1" applyFill="1"/>
    <xf numFmtId="0" fontId="69" fillId="17" borderId="0" xfId="0" applyFont="1" applyFill="1"/>
    <xf numFmtId="0" fontId="40" fillId="17" borderId="0" xfId="0" applyFont="1" applyFill="1" applyAlignment="1">
      <alignment horizontal="left" vertical="center" indent="1"/>
    </xf>
    <xf numFmtId="0" fontId="69" fillId="17" borderId="0" xfId="0" applyFont="1" applyFill="1" applyAlignment="1">
      <alignment horizontal="left" vertical="center" indent="1"/>
    </xf>
    <xf numFmtId="0" fontId="40" fillId="17" borderId="0" xfId="0" applyFont="1" applyFill="1" applyAlignment="1">
      <alignment horizontal="left" vertical="center" indent="2"/>
    </xf>
    <xf numFmtId="0" fontId="69" fillId="17" borderId="0" xfId="0" applyFont="1" applyFill="1" applyAlignment="1">
      <alignment horizontal="left" vertical="center" indent="2"/>
    </xf>
    <xf numFmtId="0" fontId="40" fillId="17" borderId="0" xfId="0" applyFont="1" applyFill="1" applyAlignment="1">
      <alignment horizontal="left" vertical="center" indent="3"/>
    </xf>
    <xf numFmtId="0" fontId="69" fillId="17" borderId="0" xfId="0" applyFont="1" applyFill="1" applyAlignment="1">
      <alignment horizontal="left" vertical="center" indent="3"/>
    </xf>
    <xf numFmtId="0" fontId="40" fillId="17" borderId="0" xfId="0" applyFont="1" applyFill="1" applyAlignment="1">
      <alignment horizontal="left" vertical="center" indent="4"/>
    </xf>
    <xf numFmtId="0" fontId="73" fillId="17" borderId="0" xfId="0" applyFont="1" applyFill="1" applyAlignment="1">
      <alignment horizontal="left" vertical="center" indent="4"/>
    </xf>
    <xf numFmtId="0" fontId="40" fillId="17" borderId="0" xfId="0" applyFont="1" applyFill="1" applyAlignment="1">
      <alignment horizontal="left" vertical="center" indent="5"/>
    </xf>
    <xf numFmtId="0" fontId="69" fillId="17" borderId="0" xfId="0" applyFont="1" applyFill="1" applyAlignment="1">
      <alignment horizontal="left" vertical="center" indent="5"/>
    </xf>
    <xf numFmtId="0" fontId="73" fillId="17" borderId="0" xfId="0" applyFont="1" applyFill="1" applyAlignment="1">
      <alignment horizontal="left" vertical="center" indent="2"/>
    </xf>
    <xf numFmtId="0" fontId="43" fillId="17" borderId="0" xfId="0" applyFont="1" applyFill="1" applyAlignment="1">
      <alignment horizontal="left" vertical="center" indent="4"/>
    </xf>
    <xf numFmtId="0" fontId="43" fillId="17" borderId="0" xfId="0" applyFont="1" applyFill="1" applyAlignment="1">
      <alignment horizontal="left" vertical="center" indent="5"/>
    </xf>
    <xf numFmtId="0" fontId="43" fillId="17" borderId="58" xfId="0" applyFont="1" applyFill="1" applyBorder="1" applyAlignment="1">
      <alignment vertical="center"/>
    </xf>
    <xf numFmtId="0" fontId="42" fillId="0" borderId="56" xfId="0" applyFont="1" applyFill="1" applyBorder="1" applyAlignment="1">
      <alignment horizontal="center" vertical="center"/>
    </xf>
    <xf numFmtId="0" fontId="43" fillId="0" borderId="56" xfId="0" applyFont="1" applyBorder="1" applyAlignment="1">
      <alignment vertical="center" wrapText="1"/>
    </xf>
    <xf numFmtId="0" fontId="43" fillId="0" borderId="56" xfId="0" applyFont="1" applyBorder="1" applyAlignment="1">
      <alignment vertical="center"/>
    </xf>
    <xf numFmtId="0" fontId="43" fillId="17" borderId="56" xfId="0" applyFont="1" applyFill="1" applyBorder="1" applyAlignment="1">
      <alignment vertical="center"/>
    </xf>
    <xf numFmtId="0" fontId="43" fillId="17" borderId="59" xfId="0" applyFont="1" applyFill="1" applyBorder="1" applyAlignment="1">
      <alignment vertical="center"/>
    </xf>
    <xf numFmtId="0" fontId="90" fillId="0" borderId="0" xfId="0" applyFont="1" applyAlignment="1">
      <alignment vertical="center"/>
    </xf>
    <xf numFmtId="0" fontId="91" fillId="0" borderId="0" xfId="0" applyFont="1"/>
    <xf numFmtId="0" fontId="77" fillId="0" borderId="41" xfId="0" applyFont="1" applyBorder="1" applyAlignment="1">
      <alignment horizontal="center" vertical="center" wrapText="1"/>
    </xf>
    <xf numFmtId="0" fontId="77" fillId="0" borderId="39" xfId="0" applyFont="1" applyBorder="1" applyAlignment="1">
      <alignment horizontal="center" vertical="center" wrapText="1"/>
    </xf>
    <xf numFmtId="0" fontId="78" fillId="0" borderId="39" xfId="0" applyFont="1" applyBorder="1" applyAlignment="1">
      <alignment horizontal="center" vertical="center"/>
    </xf>
    <xf numFmtId="0" fontId="78" fillId="22" borderId="35" xfId="0" applyFont="1" applyFill="1" applyBorder="1" applyAlignment="1">
      <alignment horizontal="center" vertical="center"/>
    </xf>
    <xf numFmtId="0" fontId="78" fillId="23" borderId="34" xfId="0" applyFont="1" applyFill="1" applyBorder="1" applyAlignment="1">
      <alignment horizontal="center" vertical="center"/>
    </xf>
    <xf numFmtId="0" fontId="78" fillId="0" borderId="38" xfId="0" applyFont="1" applyBorder="1" applyAlignment="1">
      <alignment horizontal="center" vertical="center"/>
    </xf>
    <xf numFmtId="0" fontId="78" fillId="0" borderId="37" xfId="0" applyFont="1" applyBorder="1" applyAlignment="1">
      <alignment horizontal="center" vertical="center"/>
    </xf>
    <xf numFmtId="0" fontId="78" fillId="0" borderId="49" xfId="0" applyFont="1" applyBorder="1" applyAlignment="1">
      <alignment horizontal="center" vertical="center"/>
    </xf>
    <xf numFmtId="0" fontId="78" fillId="0" borderId="47" xfId="0" applyFont="1" applyBorder="1" applyAlignment="1">
      <alignment horizontal="center" vertical="center"/>
    </xf>
    <xf numFmtId="0" fontId="78" fillId="0" borderId="34" xfId="0" applyFont="1" applyBorder="1" applyAlignment="1">
      <alignment horizontal="center" vertical="center"/>
    </xf>
    <xf numFmtId="0" fontId="78" fillId="24" borderId="34" xfId="0" applyFont="1" applyFill="1" applyBorder="1" applyAlignment="1">
      <alignment horizontal="center" vertical="center"/>
    </xf>
    <xf numFmtId="0" fontId="78" fillId="0" borderId="46" xfId="0" applyFont="1" applyBorder="1" applyAlignment="1">
      <alignment vertical="center" wrapText="1"/>
    </xf>
    <xf numFmtId="0" fontId="78" fillId="0" borderId="35" xfId="0" applyFont="1" applyBorder="1" applyAlignment="1">
      <alignment horizontal="center" vertical="center"/>
    </xf>
    <xf numFmtId="0" fontId="77" fillId="0" borderId="38" xfId="0" applyFont="1" applyBorder="1" applyAlignment="1">
      <alignment horizontal="center" vertical="center" wrapText="1"/>
    </xf>
    <xf numFmtId="0" fontId="77" fillId="0" borderId="35" xfId="0" applyFont="1" applyBorder="1" applyAlignment="1">
      <alignment horizontal="center" vertical="center" wrapText="1"/>
    </xf>
    <xf numFmtId="0" fontId="78" fillId="0" borderId="38" xfId="0" applyFont="1" applyBorder="1" applyAlignment="1">
      <alignment horizontal="center" vertical="center" wrapText="1"/>
    </xf>
    <xf numFmtId="0" fontId="78" fillId="0" borderId="35" xfId="0" applyFont="1" applyBorder="1" applyAlignment="1">
      <alignment horizontal="center" vertical="center" wrapText="1"/>
    </xf>
    <xf numFmtId="0" fontId="76" fillId="25" borderId="35" xfId="0" applyFont="1" applyFill="1" applyBorder="1" applyAlignment="1">
      <alignment horizontal="center" vertical="center"/>
    </xf>
    <xf numFmtId="0" fontId="76" fillId="25" borderId="34" xfId="0" applyFont="1" applyFill="1" applyBorder="1" applyAlignment="1">
      <alignment horizontal="center" vertical="center"/>
    </xf>
    <xf numFmtId="0" fontId="76" fillId="25" borderId="46" xfId="0" applyFont="1" applyFill="1" applyBorder="1" applyAlignment="1">
      <alignment vertical="center" wrapText="1"/>
    </xf>
    <xf numFmtId="0" fontId="78" fillId="25" borderId="35" xfId="0" applyFont="1" applyFill="1" applyBorder="1" applyAlignment="1">
      <alignment horizontal="center" vertical="center"/>
    </xf>
    <xf numFmtId="0" fontId="78" fillId="25" borderId="34" xfId="0" applyFont="1" applyFill="1" applyBorder="1" applyAlignment="1">
      <alignment horizontal="center" vertical="center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left" vertical="center" indent="2"/>
    </xf>
    <xf numFmtId="0" fontId="95" fillId="0" borderId="0" xfId="0" applyFont="1" applyAlignment="1">
      <alignment vertical="center"/>
    </xf>
    <xf numFmtId="0" fontId="96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0" fontId="60" fillId="26" borderId="39" xfId="0" applyFont="1" applyFill="1" applyBorder="1" applyAlignment="1">
      <alignment horizontal="center" vertical="center"/>
    </xf>
    <xf numFmtId="0" fontId="95" fillId="26" borderId="39" xfId="0" applyFont="1" applyFill="1" applyBorder="1" applyAlignment="1">
      <alignment horizontal="center" vertical="center"/>
    </xf>
    <xf numFmtId="0" fontId="95" fillId="26" borderId="36" xfId="0" applyFont="1" applyFill="1" applyBorder="1" applyAlignment="1">
      <alignment horizontal="center" vertical="center" wrapText="1"/>
    </xf>
    <xf numFmtId="0" fontId="0" fillId="26" borderId="36" xfId="0" applyFill="1" applyBorder="1" applyAlignment="1">
      <alignment vertical="center" wrapText="1"/>
    </xf>
    <xf numFmtId="0" fontId="0" fillId="26" borderId="34" xfId="0" applyFill="1" applyBorder="1" applyAlignment="1">
      <alignment vertical="center" wrapText="1"/>
    </xf>
    <xf numFmtId="0" fontId="97" fillId="26" borderId="36" xfId="0" applyFont="1" applyFill="1" applyBorder="1" applyAlignment="1">
      <alignment vertical="center" wrapText="1"/>
    </xf>
    <xf numFmtId="0" fontId="95" fillId="26" borderId="36" xfId="0" applyFont="1" applyFill="1" applyBorder="1" applyAlignment="1">
      <alignment vertical="center" wrapText="1"/>
    </xf>
    <xf numFmtId="0" fontId="95" fillId="26" borderId="34" xfId="0" applyFont="1" applyFill="1" applyBorder="1" applyAlignment="1">
      <alignment vertical="center" wrapText="1"/>
    </xf>
    <xf numFmtId="0" fontId="96" fillId="22" borderId="36" xfId="0" applyFont="1" applyFill="1" applyBorder="1" applyAlignment="1">
      <alignment horizontal="center" vertical="center"/>
    </xf>
    <xf numFmtId="0" fontId="0" fillId="22" borderId="36" xfId="0" applyFill="1" applyBorder="1" applyAlignment="1">
      <alignment vertical="center"/>
    </xf>
    <xf numFmtId="0" fontId="0" fillId="22" borderId="34" xfId="0" applyFill="1" applyBorder="1" applyAlignment="1">
      <alignment vertical="center"/>
    </xf>
    <xf numFmtId="0" fontId="96" fillId="22" borderId="36" xfId="0" applyFont="1" applyFill="1" applyBorder="1" applyAlignment="1">
      <alignment vertical="center" wrapText="1"/>
    </xf>
    <xf numFmtId="0" fontId="0" fillId="22" borderId="36" xfId="0" applyFill="1" applyBorder="1" applyAlignment="1">
      <alignment vertical="center" wrapText="1"/>
    </xf>
    <xf numFmtId="0" fontId="0" fillId="22" borderId="34" xfId="0" applyFill="1" applyBorder="1" applyAlignment="1">
      <alignment vertical="center" wrapText="1"/>
    </xf>
    <xf numFmtId="0" fontId="96" fillId="0" borderId="36" xfId="0" applyFont="1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96" fillId="0" borderId="34" xfId="0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60" fillId="26" borderId="38" xfId="0" applyFont="1" applyFill="1" applyBorder="1" applyAlignment="1">
      <alignment horizontal="center" vertical="center"/>
    </xf>
    <xf numFmtId="0" fontId="60" fillId="26" borderId="37" xfId="0" applyFont="1" applyFill="1" applyBorder="1" applyAlignment="1">
      <alignment horizontal="center" vertical="center"/>
    </xf>
    <xf numFmtId="0" fontId="60" fillId="26" borderId="49" xfId="0" applyFont="1" applyFill="1" applyBorder="1" applyAlignment="1">
      <alignment horizontal="center" vertical="center"/>
    </xf>
    <xf numFmtId="0" fontId="96" fillId="22" borderId="37" xfId="0" applyFont="1" applyFill="1" applyBorder="1" applyAlignment="1">
      <alignment horizontal="center" vertical="center" wrapText="1"/>
    </xf>
    <xf numFmtId="0" fontId="96" fillId="22" borderId="50" xfId="0" applyFont="1" applyFill="1" applyBorder="1" applyAlignment="1">
      <alignment horizontal="center" vertical="center" wrapText="1"/>
    </xf>
    <xf numFmtId="0" fontId="96" fillId="22" borderId="35" xfId="0" applyFont="1" applyFill="1" applyBorder="1" applyAlignment="1">
      <alignment horizontal="center" vertical="center" wrapText="1"/>
    </xf>
    <xf numFmtId="0" fontId="96" fillId="0" borderId="38" xfId="0" applyFont="1" applyBorder="1" applyAlignment="1">
      <alignment vertical="center" wrapText="1"/>
    </xf>
    <xf numFmtId="0" fontId="96" fillId="0" borderId="37" xfId="0" applyFont="1" applyBorder="1" applyAlignment="1">
      <alignment vertical="center" wrapText="1"/>
    </xf>
    <xf numFmtId="0" fontId="96" fillId="0" borderId="35" xfId="0" applyFont="1" applyBorder="1" applyAlignment="1">
      <alignment vertical="center" wrapText="1"/>
    </xf>
    <xf numFmtId="0" fontId="95" fillId="22" borderId="38" xfId="0" applyFont="1" applyFill="1" applyBorder="1" applyAlignment="1">
      <alignment vertical="center" wrapText="1"/>
    </xf>
    <xf numFmtId="0" fontId="95" fillId="22" borderId="37" xfId="0" applyFont="1" applyFill="1" applyBorder="1" applyAlignment="1">
      <alignment vertical="center" wrapText="1"/>
    </xf>
    <xf numFmtId="0" fontId="95" fillId="22" borderId="35" xfId="0" applyFont="1" applyFill="1" applyBorder="1" applyAlignment="1">
      <alignment vertical="center" wrapText="1"/>
    </xf>
    <xf numFmtId="0" fontId="98" fillId="0" borderId="0" xfId="0" applyFont="1" applyAlignment="1">
      <alignment horizontal="left" vertical="center"/>
    </xf>
    <xf numFmtId="0" fontId="99" fillId="0" borderId="0" xfId="6" applyFont="1"/>
    <xf numFmtId="0" fontId="69" fillId="0" borderId="0" xfId="0" applyFont="1" applyAlignment="1">
      <alignment horizontal="right" vertical="center"/>
    </xf>
    <xf numFmtId="0" fontId="47" fillId="0" borderId="61" xfId="0" applyFont="1" applyBorder="1" applyAlignment="1">
      <alignment horizontal="center" vertical="center"/>
    </xf>
    <xf numFmtId="0" fontId="42" fillId="0" borderId="4" xfId="0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2" fillId="0" borderId="4" xfId="0" applyFont="1" applyFill="1" applyBorder="1" applyAlignment="1">
      <alignment horizontal="left" vertical="center" wrapText="1"/>
    </xf>
    <xf numFmtId="0" fontId="42" fillId="0" borderId="65" xfId="0" applyFont="1" applyFill="1" applyBorder="1" applyAlignment="1">
      <alignment horizontal="center" vertical="center"/>
    </xf>
    <xf numFmtId="0" fontId="55" fillId="0" borderId="64" xfId="0" applyFont="1" applyBorder="1" applyAlignment="1">
      <alignment horizontal="right" vertical="center"/>
    </xf>
    <xf numFmtId="0" fontId="47" fillId="0" borderId="63" xfId="0" applyFont="1" applyBorder="1" applyAlignment="1">
      <alignment horizontal="center" vertical="center"/>
    </xf>
    <xf numFmtId="0" fontId="47" fillId="0" borderId="62" xfId="0" applyFont="1" applyBorder="1" applyAlignment="1">
      <alignment horizontal="center" vertical="center"/>
    </xf>
    <xf numFmtId="0" fontId="47" fillId="17" borderId="62" xfId="0" applyFont="1" applyFill="1" applyBorder="1" applyAlignment="1">
      <alignment horizontal="center" vertical="center"/>
    </xf>
    <xf numFmtId="0" fontId="47" fillId="17" borderId="64" xfId="0" applyFont="1" applyFill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1" fillId="0" borderId="58" xfId="0" applyFont="1" applyBorder="1" applyAlignment="1">
      <alignment horizontal="right" vertical="center"/>
    </xf>
    <xf numFmtId="0" fontId="41" fillId="0" borderId="54" xfId="0" applyFont="1" applyBorder="1" applyAlignment="1">
      <alignment horizontal="right" vertical="center"/>
    </xf>
    <xf numFmtId="0" fontId="41" fillId="0" borderId="53" xfId="0" applyFont="1" applyBorder="1" applyAlignment="1">
      <alignment horizontal="right" vertical="center"/>
    </xf>
    <xf numFmtId="0" fontId="41" fillId="0" borderId="55" xfId="0" applyFont="1" applyBorder="1" applyAlignment="1">
      <alignment horizontal="right" vertical="center"/>
    </xf>
    <xf numFmtId="0" fontId="41" fillId="0" borderId="56" xfId="0" applyFont="1" applyBorder="1" applyAlignment="1">
      <alignment vertical="center"/>
    </xf>
    <xf numFmtId="0" fontId="41" fillId="0" borderId="59" xfId="0" applyFont="1" applyBorder="1" applyAlignment="1">
      <alignment horizontal="right" vertical="center"/>
    </xf>
    <xf numFmtId="0" fontId="47" fillId="0" borderId="0" xfId="0" applyFont="1" applyAlignment="1">
      <alignment vertical="center"/>
    </xf>
    <xf numFmtId="0" fontId="41" fillId="0" borderId="66" xfId="0" applyFont="1" applyBorder="1" applyAlignment="1">
      <alignment horizontal="right"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7" xfId="0" applyFont="1" applyBorder="1" applyAlignment="1">
      <alignment horizontal="right" vertical="center"/>
    </xf>
    <xf numFmtId="9" fontId="42" fillId="0" borderId="19" xfId="0" applyNumberFormat="1" applyFont="1" applyBorder="1" applyAlignment="1">
      <alignment horizontal="center" vertical="center"/>
    </xf>
    <xf numFmtId="9" fontId="42" fillId="0" borderId="5" xfId="0" applyNumberFormat="1" applyFont="1" applyBorder="1" applyAlignment="1">
      <alignment horizontal="center" vertical="center"/>
    </xf>
    <xf numFmtId="0" fontId="68" fillId="27" borderId="5" xfId="0" applyFont="1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43" fillId="17" borderId="5" xfId="0" applyFont="1" applyFill="1" applyBorder="1" applyAlignment="1">
      <alignment vertical="center"/>
    </xf>
    <xf numFmtId="0" fontId="43" fillId="17" borderId="67" xfId="0" applyFont="1" applyFill="1" applyBorder="1" applyAlignment="1">
      <alignment vertical="center"/>
    </xf>
    <xf numFmtId="0" fontId="41" fillId="0" borderId="68" xfId="0" applyFont="1" applyBorder="1" applyAlignment="1">
      <alignment horizontal="right" vertical="center" wrapText="1"/>
    </xf>
    <xf numFmtId="0" fontId="41" fillId="0" borderId="57" xfId="0" applyFont="1" applyBorder="1" applyAlignment="1">
      <alignment horizontal="right" vertical="center"/>
    </xf>
    <xf numFmtId="0" fontId="42" fillId="0" borderId="60" xfId="0" applyFont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3" fillId="0" borderId="52" xfId="0" applyFont="1" applyBorder="1" applyAlignment="1">
      <alignment vertical="center"/>
    </xf>
    <xf numFmtId="0" fontId="43" fillId="17" borderId="52" xfId="0" applyFont="1" applyFill="1" applyBorder="1" applyAlignment="1">
      <alignment vertical="center"/>
    </xf>
    <xf numFmtId="0" fontId="43" fillId="17" borderId="57" xfId="0" applyFont="1" applyFill="1" applyBorder="1" applyAlignment="1">
      <alignment vertical="center"/>
    </xf>
    <xf numFmtId="0" fontId="41" fillId="0" borderId="69" xfId="0" applyFont="1" applyBorder="1" applyAlignment="1">
      <alignment horizontal="right" vertical="center"/>
    </xf>
    <xf numFmtId="9" fontId="42" fillId="0" borderId="65" xfId="0" applyNumberFormat="1" applyFont="1" applyBorder="1" applyAlignment="1">
      <alignment horizontal="center" vertical="center"/>
    </xf>
    <xf numFmtId="9" fontId="42" fillId="0" borderId="56" xfId="0" applyNumberFormat="1" applyFont="1" applyBorder="1" applyAlignment="1">
      <alignment horizontal="center" vertical="center"/>
    </xf>
    <xf numFmtId="0" fontId="42" fillId="0" borderId="56" xfId="0" applyFont="1" applyBorder="1" applyAlignment="1">
      <alignment horizontal="center" vertical="center"/>
    </xf>
    <xf numFmtId="0" fontId="73" fillId="0" borderId="56" xfId="0" applyFont="1" applyFill="1" applyBorder="1" applyAlignment="1">
      <alignment horizontal="center" vertical="center"/>
    </xf>
    <xf numFmtId="0" fontId="41" fillId="0" borderId="71" xfId="0" applyFont="1" applyBorder="1" applyAlignment="1">
      <alignment horizontal="right" vertical="center"/>
    </xf>
    <xf numFmtId="0" fontId="42" fillId="0" borderId="73" xfId="0" applyFont="1" applyBorder="1" applyAlignment="1">
      <alignment horizontal="left" vertical="center" wrapText="1"/>
    </xf>
    <xf numFmtId="0" fontId="43" fillId="0" borderId="73" xfId="0" applyFont="1" applyBorder="1" applyAlignment="1">
      <alignment vertical="center"/>
    </xf>
    <xf numFmtId="0" fontId="43" fillId="17" borderId="73" xfId="0" applyFont="1" applyFill="1" applyBorder="1" applyAlignment="1">
      <alignment vertical="center"/>
    </xf>
    <xf numFmtId="0" fontId="43" fillId="17" borderId="71" xfId="0" applyFont="1" applyFill="1" applyBorder="1" applyAlignment="1">
      <alignment vertical="center"/>
    </xf>
    <xf numFmtId="0" fontId="55" fillId="0" borderId="51" xfId="0" applyFont="1" applyBorder="1" applyAlignment="1">
      <alignment horizontal="center" vertical="center"/>
    </xf>
    <xf numFmtId="0" fontId="55" fillId="0" borderId="53" xfId="0" applyFont="1" applyBorder="1" applyAlignment="1">
      <alignment horizontal="center" vertical="center"/>
    </xf>
    <xf numFmtId="0" fontId="55" fillId="0" borderId="70" xfId="0" applyFont="1" applyBorder="1" applyAlignment="1">
      <alignment horizontal="center" vertical="center" wrapText="1"/>
    </xf>
    <xf numFmtId="0" fontId="55" fillId="0" borderId="55" xfId="0" applyFont="1" applyBorder="1" applyAlignment="1">
      <alignment horizontal="center" vertical="center"/>
    </xf>
    <xf numFmtId="0" fontId="0" fillId="28" borderId="0" xfId="0" applyFill="1"/>
    <xf numFmtId="0" fontId="101" fillId="13" borderId="0" xfId="9" applyFont="1" applyFill="1">
      <alignment vertical="center"/>
    </xf>
    <xf numFmtId="0" fontId="101" fillId="13" borderId="0" xfId="9" applyFont="1" applyFill="1" applyAlignment="1">
      <alignment horizontal="center" vertical="center"/>
    </xf>
    <xf numFmtId="0" fontId="101" fillId="0" borderId="0" xfId="9" applyFont="1">
      <alignment vertical="center"/>
    </xf>
    <xf numFmtId="0" fontId="47" fillId="13" borderId="0" xfId="9" applyFont="1" applyFill="1" applyAlignment="1">
      <alignment horizontal="right" vertical="center"/>
    </xf>
    <xf numFmtId="14" fontId="55" fillId="13" borderId="74" xfId="9" applyNumberFormat="1" applyFont="1" applyFill="1" applyBorder="1" applyAlignment="1">
      <alignment horizontal="center" vertical="center"/>
    </xf>
    <xf numFmtId="14" fontId="55" fillId="13" borderId="75" xfId="9" applyNumberFormat="1" applyFont="1" applyFill="1" applyBorder="1">
      <alignment vertical="center"/>
    </xf>
    <xf numFmtId="0" fontId="103" fillId="13" borderId="0" xfId="9" applyFont="1" applyFill="1">
      <alignment vertical="center"/>
    </xf>
    <xf numFmtId="0" fontId="69" fillId="13" borderId="0" xfId="9" applyFont="1" applyFill="1" applyAlignment="1">
      <alignment horizontal="right" vertical="center"/>
    </xf>
    <xf numFmtId="14" fontId="101" fillId="13" borderId="76" xfId="9" applyNumberFormat="1" applyFont="1" applyFill="1" applyBorder="1" applyAlignment="1">
      <alignment horizontal="center" vertical="center"/>
    </xf>
    <xf numFmtId="14" fontId="104" fillId="13" borderId="77" xfId="9" applyNumberFormat="1" applyFont="1" applyFill="1" applyBorder="1" applyAlignment="1">
      <alignment horizontal="center" vertical="center"/>
    </xf>
    <xf numFmtId="14" fontId="104" fillId="13" borderId="78" xfId="9" applyNumberFormat="1" applyFont="1" applyFill="1" applyBorder="1" applyAlignment="1">
      <alignment horizontal="center" vertical="center"/>
    </xf>
    <xf numFmtId="14" fontId="104" fillId="13" borderId="79" xfId="9" applyNumberFormat="1" applyFont="1" applyFill="1" applyBorder="1" applyAlignment="1">
      <alignment horizontal="center" vertical="center"/>
    </xf>
    <xf numFmtId="14" fontId="104" fillId="13" borderId="80" xfId="9" applyNumberFormat="1" applyFont="1" applyFill="1" applyBorder="1" applyAlignment="1">
      <alignment horizontal="center" vertical="center"/>
    </xf>
    <xf numFmtId="0" fontId="105" fillId="17" borderId="81" xfId="9" applyFont="1" applyFill="1" applyBorder="1" applyAlignment="1">
      <alignment horizontal="center" vertical="center"/>
    </xf>
    <xf numFmtId="0" fontId="101" fillId="17" borderId="82" xfId="9" applyFont="1" applyFill="1" applyBorder="1" applyAlignment="1">
      <alignment horizontal="center" vertical="center"/>
    </xf>
    <xf numFmtId="0" fontId="101" fillId="17" borderId="83" xfId="9" applyFont="1" applyFill="1" applyBorder="1" applyAlignment="1">
      <alignment horizontal="center" vertical="center"/>
    </xf>
    <xf numFmtId="0" fontId="69" fillId="13" borderId="0" xfId="9" applyFont="1" applyFill="1" applyAlignment="1">
      <alignment horizontal="left" vertical="center"/>
    </xf>
    <xf numFmtId="0" fontId="107" fillId="29" borderId="84" xfId="9" applyFont="1" applyFill="1" applyBorder="1" applyAlignment="1">
      <alignment horizontal="center" vertical="center" wrapText="1"/>
    </xf>
    <xf numFmtId="0" fontId="107" fillId="30" borderId="85" xfId="9" applyFont="1" applyFill="1" applyBorder="1" applyAlignment="1">
      <alignment horizontal="center" vertical="center" wrapText="1"/>
    </xf>
    <xf numFmtId="0" fontId="107" fillId="30" borderId="84" xfId="9" applyFont="1" applyFill="1" applyBorder="1" applyAlignment="1">
      <alignment horizontal="center" vertical="center" wrapText="1"/>
    </xf>
    <xf numFmtId="0" fontId="108" fillId="30" borderId="84" xfId="9" applyFont="1" applyFill="1" applyBorder="1" applyAlignment="1">
      <alignment horizontal="center" vertical="center" wrapText="1"/>
    </xf>
    <xf numFmtId="0" fontId="108" fillId="30" borderId="86" xfId="9" applyFont="1" applyFill="1" applyBorder="1" applyAlignment="1">
      <alignment horizontal="center" vertical="center" wrapText="1"/>
    </xf>
    <xf numFmtId="0" fontId="107" fillId="31" borderId="87" xfId="9" applyFont="1" applyFill="1" applyBorder="1" applyAlignment="1">
      <alignment horizontal="center" vertical="center" wrapText="1"/>
    </xf>
    <xf numFmtId="0" fontId="41" fillId="13" borderId="88" xfId="9" applyFont="1" applyFill="1" applyBorder="1" applyAlignment="1">
      <alignment horizontal="center" vertical="center" wrapText="1"/>
    </xf>
    <xf numFmtId="0" fontId="69" fillId="13" borderId="89" xfId="9" applyFont="1" applyFill="1" applyBorder="1" applyAlignment="1">
      <alignment horizontal="left" vertical="center" wrapText="1"/>
    </xf>
    <xf numFmtId="0" fontId="43" fillId="13" borderId="88" xfId="9" applyFont="1" applyFill="1" applyBorder="1" applyAlignment="1">
      <alignment horizontal="left" vertical="center"/>
    </xf>
    <xf numFmtId="0" fontId="101" fillId="13" borderId="90" xfId="9" applyFont="1" applyFill="1" applyBorder="1" applyAlignment="1">
      <alignment horizontal="center" vertical="center"/>
    </xf>
    <xf numFmtId="14" fontId="101" fillId="13" borderId="88" xfId="9" applyNumberFormat="1" applyFont="1" applyFill="1" applyBorder="1" applyAlignment="1">
      <alignment horizontal="center" vertical="center"/>
    </xf>
    <xf numFmtId="9" fontId="101" fillId="13" borderId="88" xfId="10" applyFont="1" applyFill="1" applyBorder="1" applyAlignment="1">
      <alignment horizontal="center" vertical="center"/>
    </xf>
    <xf numFmtId="14" fontId="101" fillId="17" borderId="88" xfId="9" applyNumberFormat="1" applyFont="1" applyFill="1" applyBorder="1" applyAlignment="1">
      <alignment horizontal="center" vertical="center"/>
    </xf>
    <xf numFmtId="0" fontId="101" fillId="17" borderId="88" xfId="9" applyFont="1" applyFill="1" applyBorder="1" applyAlignment="1">
      <alignment horizontal="center" vertical="center"/>
    </xf>
    <xf numFmtId="182" fontId="101" fillId="17" borderId="88" xfId="9" applyNumberFormat="1" applyFont="1" applyFill="1" applyBorder="1" applyAlignment="1">
      <alignment horizontal="center" vertical="center"/>
    </xf>
    <xf numFmtId="0" fontId="101" fillId="17" borderId="91" xfId="9" applyFont="1" applyFill="1" applyBorder="1" applyAlignment="1">
      <alignment horizontal="center" vertical="center"/>
    </xf>
    <xf numFmtId="0" fontId="101" fillId="13" borderId="92" xfId="9" applyFont="1" applyFill="1" applyBorder="1" applyAlignment="1">
      <alignment horizontal="center" vertical="center"/>
    </xf>
    <xf numFmtId="0" fontId="101" fillId="13" borderId="88" xfId="9" applyFont="1" applyFill="1" applyBorder="1" applyAlignment="1">
      <alignment horizontal="center" vertical="center"/>
    </xf>
    <xf numFmtId="0" fontId="109" fillId="13" borderId="90" xfId="9" applyFont="1" applyFill="1" applyBorder="1" applyAlignment="1">
      <alignment horizontal="left" vertical="center"/>
    </xf>
    <xf numFmtId="0" fontId="69" fillId="17" borderId="88" xfId="9" applyFont="1" applyFill="1" applyBorder="1" applyAlignment="1">
      <alignment horizontal="left" vertical="center"/>
    </xf>
    <xf numFmtId="0" fontId="101" fillId="17" borderId="89" xfId="9" applyFont="1" applyFill="1" applyBorder="1" applyAlignment="1">
      <alignment horizontal="left" vertical="center" wrapText="1"/>
    </xf>
    <xf numFmtId="0" fontId="101" fillId="17" borderId="88" xfId="9" applyFont="1" applyFill="1" applyBorder="1" applyAlignment="1">
      <alignment horizontal="left" vertical="center"/>
    </xf>
    <xf numFmtId="0" fontId="101" fillId="17" borderId="90" xfId="9" applyFont="1" applyFill="1" applyBorder="1" applyAlignment="1">
      <alignment horizontal="center" vertical="center"/>
    </xf>
    <xf numFmtId="9" fontId="101" fillId="17" borderId="88" xfId="10" applyFont="1" applyFill="1" applyBorder="1" applyAlignment="1">
      <alignment horizontal="center" vertical="center"/>
    </xf>
    <xf numFmtId="0" fontId="101" fillId="17" borderId="92" xfId="9" applyFont="1" applyFill="1" applyBorder="1" applyAlignment="1">
      <alignment horizontal="center" vertical="center"/>
    </xf>
    <xf numFmtId="0" fontId="42" fillId="17" borderId="90" xfId="9" applyFont="1" applyFill="1" applyBorder="1" applyAlignment="1">
      <alignment horizontal="center" vertical="center"/>
    </xf>
    <xf numFmtId="0" fontId="101" fillId="0" borderId="0" xfId="9" applyFont="1" applyAlignment="1">
      <alignment horizontal="center" vertical="center"/>
    </xf>
    <xf numFmtId="0" fontId="101" fillId="0" borderId="72" xfId="0" applyFont="1" applyBorder="1" applyAlignment="1">
      <alignment horizontal="left" vertical="center" wrapText="1"/>
    </xf>
    <xf numFmtId="0" fontId="101" fillId="0" borderId="73" xfId="0" applyFont="1" applyBorder="1" applyAlignment="1">
      <alignment horizontal="left" vertical="center" wrapText="1"/>
    </xf>
  </cellXfs>
  <cellStyles count="11">
    <cellStyle name="一般" xfId="0" builtinId="0"/>
    <cellStyle name="一般 2" xfId="3" xr:uid="{7FBCD9E9-05C7-431F-B7B7-2473F7EDCC17}"/>
    <cellStyle name="一般 2 2" xfId="4" xr:uid="{BFF506BD-0E0D-4145-B700-20475394D016}"/>
    <cellStyle name="一般 2 3" xfId="5" xr:uid="{791C20BD-C102-4869-9C30-E9F66A6C37A7}"/>
    <cellStyle name="一般 2 4" xfId="7" xr:uid="{A83E84A1-32BE-4C6C-8077-102FA667B173}"/>
    <cellStyle name="一般 3" xfId="9" xr:uid="{DA575866-1689-4B2C-861F-499B5A5ECD57}"/>
    <cellStyle name="百分比 2" xfId="10" xr:uid="{C91F3762-130F-401B-A9E6-165F6FA48A99}"/>
    <cellStyle name="超連結" xfId="6" builtinId="8"/>
    <cellStyle name="超連結 2" xfId="8" xr:uid="{6DF81F1A-5DA9-4D7F-8B6A-A54E78EA50E0}"/>
    <cellStyle name="標準 2" xfId="1" xr:uid="{1B6EB327-2330-4775-9A62-850177B26D05}"/>
    <cellStyle name="標準 3" xfId="2" xr:uid="{D3B271F2-247A-4D26-A40C-CD349382F6DC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99FFCC"/>
      <color rgb="FF66FFFF"/>
      <color rgb="FF33CC33"/>
      <color rgb="FFFF66FF"/>
      <color rgb="FFFF9966"/>
      <color rgb="FFFFCCCC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>
                <a:solidFill>
                  <a:srgbClr val="0000FF"/>
                </a:solidFill>
              </a:defRPr>
            </a:pPr>
            <a:r>
              <a:rPr lang="en-US">
                <a:solidFill>
                  <a:srgbClr val="0000FF"/>
                </a:solidFill>
              </a:rPr>
              <a:t>2026</a:t>
            </a:r>
            <a:r>
              <a:rPr lang="zh-TW">
                <a:solidFill>
                  <a:srgbClr val="0000FF"/>
                </a:solidFill>
              </a:rPr>
              <a:t>年度</a:t>
            </a:r>
            <a:r>
              <a:rPr lang="en-US">
                <a:solidFill>
                  <a:srgbClr val="0000FF"/>
                </a:solidFill>
              </a:rPr>
              <a:t>ADT_COLD_</a:t>
            </a:r>
            <a:r>
              <a:rPr lang="zh-TW">
                <a:solidFill>
                  <a:srgbClr val="0000FF"/>
                </a:solidFill>
              </a:rPr>
              <a:t>設備橫展開</a:t>
            </a:r>
            <a:r>
              <a:rPr lang="zh-TW" altLang="en-US">
                <a:solidFill>
                  <a:srgbClr val="0000FF"/>
                </a:solidFill>
              </a:rPr>
              <a:t>日程進度</a:t>
            </a:r>
            <a:endParaRPr lang="en-US" altLang="zh-TW">
              <a:solidFill>
                <a:srgbClr val="0000FF"/>
              </a:solidFill>
            </a:endParaRPr>
          </a:p>
        </c:rich>
      </c:tx>
      <c:layout>
        <c:manualLayout>
          <c:xMode val="edge"/>
          <c:yMode val="edge"/>
          <c:x val="7.9631101158226722E-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145360252750443"/>
          <c:y val="0.14239248386634754"/>
          <c:w val="0.8184011172915312"/>
          <c:h val="0.8469693567784842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ADT_COLD_設備横展開AI進度管理_ver.0!$K$4</c:f>
              <c:strCache>
                <c:ptCount val="1"/>
                <c:pt idx="0">
                  <c:v>年度
起始日期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ADT_COLD_設備横展開AI進度管理_ver.0!$C$5:$D$19</c:f>
              <c:multiLvlStrCache>
                <c:ptCount val="14"/>
                <c:lvl>
                  <c:pt idx="0">
                    <c:v>作業標準書準備→提出</c:v>
                  </c:pt>
                  <c:pt idx="1">
                    <c:v>計畫表作成</c:v>
                  </c:pt>
                  <c:pt idx="2">
                    <c:v>計畫表做成</c:v>
                  </c:pt>
                  <c:pt idx="3">
                    <c:v>治具購入</c:v>
                  </c:pt>
                  <c:pt idx="4">
                    <c:v>工程變更</c:v>
                  </c:pt>
                  <c:pt idx="5">
                    <c:v>設備技術現況進度確認</c:v>
                  </c:pt>
                  <c:pt idx="6">
                    <c:v>安全教育的實施</c:v>
                  </c:pt>
                  <c:pt idx="7">
                    <c:v>各窯作業標準書的做成</c:v>
                  </c:pt>
                  <c:pt idx="8">
                    <c:v>最終完成期限確認</c:v>
                  </c:pt>
                  <c:pt idx="9">
                    <c:v>未完成窯爐的確認</c:v>
                  </c:pt>
                  <c:pt idx="10">
                    <c:v>維護管理的確認週期</c:v>
                  </c:pt>
                  <c:pt idx="11">
                    <c:v>各窯設備異常情報共有</c:v>
                  </c:pt>
                  <c:pt idx="12">
                    <c:v>縱切機下降作業標準共有(其他據點)</c:v>
                  </c:pt>
                  <c:pt idx="13">
                    <c:v>橫展開管理表做成共有</c:v>
                  </c:pt>
                </c:lvl>
                <c:lvl>
                  <c:pt idx="0">
                    <c:v>横切刃先荷重、同調測定方法</c:v>
                  </c:pt>
                  <c:pt idx="2">
                    <c:v>縦切機刃先荷重測定方法</c:v>
                  </c:pt>
                  <c:pt idx="5">
                    <c:v>本線、Br H/Oストッパー安全対策</c:v>
                  </c:pt>
                  <c:pt idx="9">
                    <c:v>特殊ボルト経過観察</c:v>
                  </c:pt>
                  <c:pt idx="11">
                    <c:v>其他</c:v>
                  </c:pt>
                </c:lvl>
              </c:multiLvlStrCache>
            </c:multiLvlStrRef>
          </c:cat>
          <c:val>
            <c:numRef>
              <c:f>ADT_COLD_設備横展開AI進度管理_ver.0!$K$5:$K$19</c:f>
              <c:numCache>
                <c:formatCode>m/d/yyyy</c:formatCode>
                <c:ptCount val="15"/>
                <c:pt idx="0">
                  <c:v>46023</c:v>
                </c:pt>
                <c:pt idx="1">
                  <c:v>46023</c:v>
                </c:pt>
                <c:pt idx="2">
                  <c:v>46023</c:v>
                </c:pt>
                <c:pt idx="3">
                  <c:v>46023</c:v>
                </c:pt>
                <c:pt idx="4">
                  <c:v>46023</c:v>
                </c:pt>
                <c:pt idx="5">
                  <c:v>46023</c:v>
                </c:pt>
                <c:pt idx="6">
                  <c:v>46023</c:v>
                </c:pt>
                <c:pt idx="7">
                  <c:v>46023</c:v>
                </c:pt>
                <c:pt idx="8">
                  <c:v>46023</c:v>
                </c:pt>
                <c:pt idx="9">
                  <c:v>46023</c:v>
                </c:pt>
                <c:pt idx="10">
                  <c:v>46023</c:v>
                </c:pt>
                <c:pt idx="11">
                  <c:v>46023</c:v>
                </c:pt>
                <c:pt idx="12">
                  <c:v>46023</c:v>
                </c:pt>
                <c:pt idx="13">
                  <c:v>46023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D-4296-A43A-3BD11107E2B7}"/>
            </c:ext>
          </c:extLst>
        </c:ser>
        <c:ser>
          <c:idx val="1"/>
          <c:order val="1"/>
          <c:tx>
            <c:strRef>
              <c:f>ADT_COLD_設備横展開AI進度管理_ver.0!$L$4</c:f>
              <c:strCache>
                <c:ptCount val="1"/>
                <c:pt idx="0">
                  <c:v>Days to Start</c:v>
                </c:pt>
              </c:strCache>
            </c:strRef>
          </c:tx>
          <c:spPr>
            <a:noFill/>
            <a:ln>
              <a:solidFill>
                <a:sysClr val="window" lastClr="FFFFFF">
                  <a:lumMod val="75000"/>
                  <a:alpha val="90000"/>
                </a:sysClr>
              </a:solidFill>
              <a:prstDash val="sysDot"/>
            </a:ln>
            <a:effectLst/>
          </c:spPr>
          <c:invertIfNegative val="0"/>
          <c:cat>
            <c:multiLvlStrRef>
              <c:f>ADT_COLD_設備横展開AI進度管理_ver.0!$C$5:$D$19</c:f>
              <c:multiLvlStrCache>
                <c:ptCount val="14"/>
                <c:lvl>
                  <c:pt idx="0">
                    <c:v>作業標準書準備→提出</c:v>
                  </c:pt>
                  <c:pt idx="1">
                    <c:v>計畫表作成</c:v>
                  </c:pt>
                  <c:pt idx="2">
                    <c:v>計畫表做成</c:v>
                  </c:pt>
                  <c:pt idx="3">
                    <c:v>治具購入</c:v>
                  </c:pt>
                  <c:pt idx="4">
                    <c:v>工程變更</c:v>
                  </c:pt>
                  <c:pt idx="5">
                    <c:v>設備技術現況進度確認</c:v>
                  </c:pt>
                  <c:pt idx="6">
                    <c:v>安全教育的實施</c:v>
                  </c:pt>
                  <c:pt idx="7">
                    <c:v>各窯作業標準書的做成</c:v>
                  </c:pt>
                  <c:pt idx="8">
                    <c:v>最終完成期限確認</c:v>
                  </c:pt>
                  <c:pt idx="9">
                    <c:v>未完成窯爐的確認</c:v>
                  </c:pt>
                  <c:pt idx="10">
                    <c:v>維護管理的確認週期</c:v>
                  </c:pt>
                  <c:pt idx="11">
                    <c:v>各窯設備異常情報共有</c:v>
                  </c:pt>
                  <c:pt idx="12">
                    <c:v>縱切機下降作業標準共有(其他據點)</c:v>
                  </c:pt>
                  <c:pt idx="13">
                    <c:v>橫展開管理表做成共有</c:v>
                  </c:pt>
                </c:lvl>
                <c:lvl>
                  <c:pt idx="0">
                    <c:v>横切刃先荷重、同調測定方法</c:v>
                  </c:pt>
                  <c:pt idx="2">
                    <c:v>縦切機刃先荷重測定方法</c:v>
                  </c:pt>
                  <c:pt idx="5">
                    <c:v>本線、Br H/Oストッパー安全対策</c:v>
                  </c:pt>
                  <c:pt idx="9">
                    <c:v>特殊ボルト経過観察</c:v>
                  </c:pt>
                  <c:pt idx="11">
                    <c:v>其他</c:v>
                  </c:pt>
                </c:lvl>
              </c:multiLvlStrCache>
            </c:multiLvlStrRef>
          </c:cat>
          <c:val>
            <c:numRef>
              <c:f>ADT_COLD_設備横展開AI進度管理_ver.0!$L$5:$L$19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D-4296-A43A-3BD11107E2B7}"/>
            </c:ext>
          </c:extLst>
        </c:ser>
        <c:ser>
          <c:idx val="2"/>
          <c:order val="2"/>
          <c:tx>
            <c:strRef>
              <c:f>ADT_COLD_設備横展開AI進度管理_ver.0!$M$4</c:f>
              <c:strCache>
                <c:ptCount val="1"/>
                <c:pt idx="0">
                  <c:v>完成日數</c:v>
                </c:pt>
              </c:strCache>
            </c:strRef>
          </c:tx>
          <c:spPr>
            <a:solidFill>
              <a:srgbClr val="00CC00"/>
            </a:solidFill>
            <a:ln>
              <a:solidFill>
                <a:srgbClr val="FFC000">
                  <a:alpha val="85000"/>
                </a:srgbClr>
              </a:solidFill>
              <a:prstDash val="sysDash"/>
            </a:ln>
            <a:effectLst/>
          </c:spPr>
          <c:invertIfNegative val="0"/>
          <c:cat>
            <c:multiLvlStrRef>
              <c:f>ADT_COLD_設備横展開AI進度管理_ver.0!$C$5:$D$19</c:f>
              <c:multiLvlStrCache>
                <c:ptCount val="14"/>
                <c:lvl>
                  <c:pt idx="0">
                    <c:v>作業標準書準備→提出</c:v>
                  </c:pt>
                  <c:pt idx="1">
                    <c:v>計畫表作成</c:v>
                  </c:pt>
                  <c:pt idx="2">
                    <c:v>計畫表做成</c:v>
                  </c:pt>
                  <c:pt idx="3">
                    <c:v>治具購入</c:v>
                  </c:pt>
                  <c:pt idx="4">
                    <c:v>工程變更</c:v>
                  </c:pt>
                  <c:pt idx="5">
                    <c:v>設備技術現況進度確認</c:v>
                  </c:pt>
                  <c:pt idx="6">
                    <c:v>安全教育的實施</c:v>
                  </c:pt>
                  <c:pt idx="7">
                    <c:v>各窯作業標準書的做成</c:v>
                  </c:pt>
                  <c:pt idx="8">
                    <c:v>最終完成期限確認</c:v>
                  </c:pt>
                  <c:pt idx="9">
                    <c:v>未完成窯爐的確認</c:v>
                  </c:pt>
                  <c:pt idx="10">
                    <c:v>維護管理的確認週期</c:v>
                  </c:pt>
                  <c:pt idx="11">
                    <c:v>各窯設備異常情報共有</c:v>
                  </c:pt>
                  <c:pt idx="12">
                    <c:v>縱切機下降作業標準共有(其他據點)</c:v>
                  </c:pt>
                  <c:pt idx="13">
                    <c:v>橫展開管理表做成共有</c:v>
                  </c:pt>
                </c:lvl>
                <c:lvl>
                  <c:pt idx="0">
                    <c:v>横切刃先荷重、同調測定方法</c:v>
                  </c:pt>
                  <c:pt idx="2">
                    <c:v>縦切機刃先荷重測定方法</c:v>
                  </c:pt>
                  <c:pt idx="5">
                    <c:v>本線、Br H/Oストッパー安全対策</c:v>
                  </c:pt>
                  <c:pt idx="9">
                    <c:v>特殊ボルト経過観察</c:v>
                  </c:pt>
                  <c:pt idx="11">
                    <c:v>其他</c:v>
                  </c:pt>
                </c:lvl>
              </c:multiLvlStrCache>
            </c:multiLvlStrRef>
          </c:cat>
          <c:val>
            <c:numRef>
              <c:f>ADT_COLD_設備横展開AI進度管理_ver.0!$M$5:$M$19</c:f>
              <c:numCache>
                <c:formatCode>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D-4296-A43A-3BD11107E2B7}"/>
            </c:ext>
          </c:extLst>
        </c:ser>
        <c:ser>
          <c:idx val="3"/>
          <c:order val="3"/>
          <c:tx>
            <c:strRef>
              <c:f>ADT_COLD_設備横展開AI進度管理_ver.0!$N$4</c:f>
              <c:strCache>
                <c:ptCount val="1"/>
                <c:pt idx="0">
                  <c:v>未完日數</c:v>
                </c:pt>
              </c:strCache>
            </c:strRef>
          </c:tx>
          <c:spPr>
            <a:solidFill>
              <a:srgbClr val="0070C0">
                <a:alpha val="85000"/>
              </a:srgbClr>
            </a:solidFill>
            <a:ln>
              <a:solidFill>
                <a:srgbClr val="FF0000">
                  <a:alpha val="75000"/>
                </a:srgbClr>
              </a:solidFill>
              <a:prstDash val="sysDash"/>
            </a:ln>
            <a:effectLst/>
          </c:spPr>
          <c:invertIfNegative val="0"/>
          <c:cat>
            <c:multiLvlStrRef>
              <c:f>ADT_COLD_設備横展開AI進度管理_ver.0!$C$5:$D$19</c:f>
              <c:multiLvlStrCache>
                <c:ptCount val="14"/>
                <c:lvl>
                  <c:pt idx="0">
                    <c:v>作業標準書準備→提出</c:v>
                  </c:pt>
                  <c:pt idx="1">
                    <c:v>計畫表作成</c:v>
                  </c:pt>
                  <c:pt idx="2">
                    <c:v>計畫表做成</c:v>
                  </c:pt>
                  <c:pt idx="3">
                    <c:v>治具購入</c:v>
                  </c:pt>
                  <c:pt idx="4">
                    <c:v>工程變更</c:v>
                  </c:pt>
                  <c:pt idx="5">
                    <c:v>設備技術現況進度確認</c:v>
                  </c:pt>
                  <c:pt idx="6">
                    <c:v>安全教育的實施</c:v>
                  </c:pt>
                  <c:pt idx="7">
                    <c:v>各窯作業標準書的做成</c:v>
                  </c:pt>
                  <c:pt idx="8">
                    <c:v>最終完成期限確認</c:v>
                  </c:pt>
                  <c:pt idx="9">
                    <c:v>未完成窯爐的確認</c:v>
                  </c:pt>
                  <c:pt idx="10">
                    <c:v>維護管理的確認週期</c:v>
                  </c:pt>
                  <c:pt idx="11">
                    <c:v>各窯設備異常情報共有</c:v>
                  </c:pt>
                  <c:pt idx="12">
                    <c:v>縱切機下降作業標準共有(其他據點)</c:v>
                  </c:pt>
                  <c:pt idx="13">
                    <c:v>橫展開管理表做成共有</c:v>
                  </c:pt>
                </c:lvl>
                <c:lvl>
                  <c:pt idx="0">
                    <c:v>横切刃先荷重、同調測定方法</c:v>
                  </c:pt>
                  <c:pt idx="2">
                    <c:v>縦切機刃先荷重測定方法</c:v>
                  </c:pt>
                  <c:pt idx="5">
                    <c:v>本線、Br H/Oストッパー安全対策</c:v>
                  </c:pt>
                  <c:pt idx="9">
                    <c:v>特殊ボルト経過観察</c:v>
                  </c:pt>
                  <c:pt idx="11">
                    <c:v>其他</c:v>
                  </c:pt>
                </c:lvl>
              </c:multiLvlStrCache>
            </c:multiLvlStrRef>
          </c:cat>
          <c:val>
            <c:numRef>
              <c:f>ADT_COLD_設備横展開AI進度管理_ver.0!$N$5:$N$19</c:f>
              <c:numCache>
                <c:formatCode>0_ </c:formatCode>
                <c:ptCount val="15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D-4296-A43A-3BD11107E2B7}"/>
            </c:ext>
          </c:extLst>
        </c:ser>
        <c:ser>
          <c:idx val="4"/>
          <c:order val="4"/>
          <c:tx>
            <c:strRef>
              <c:f>ADT_COLD_設備横展開AI進度管理_ver.0!$O$4</c:f>
              <c:strCache>
                <c:ptCount val="1"/>
                <c:pt idx="0">
                  <c:v>延遲日數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ADT_COLD_設備横展開AI進度管理_ver.0!$C$5:$D$19</c:f>
              <c:multiLvlStrCache>
                <c:ptCount val="14"/>
                <c:lvl>
                  <c:pt idx="0">
                    <c:v>作業標準書準備→提出</c:v>
                  </c:pt>
                  <c:pt idx="1">
                    <c:v>計畫表作成</c:v>
                  </c:pt>
                  <c:pt idx="2">
                    <c:v>計畫表做成</c:v>
                  </c:pt>
                  <c:pt idx="3">
                    <c:v>治具購入</c:v>
                  </c:pt>
                  <c:pt idx="4">
                    <c:v>工程變更</c:v>
                  </c:pt>
                  <c:pt idx="5">
                    <c:v>設備技術現況進度確認</c:v>
                  </c:pt>
                  <c:pt idx="6">
                    <c:v>安全教育的實施</c:v>
                  </c:pt>
                  <c:pt idx="7">
                    <c:v>各窯作業標準書的做成</c:v>
                  </c:pt>
                  <c:pt idx="8">
                    <c:v>最終完成期限確認</c:v>
                  </c:pt>
                  <c:pt idx="9">
                    <c:v>未完成窯爐的確認</c:v>
                  </c:pt>
                  <c:pt idx="10">
                    <c:v>維護管理的確認週期</c:v>
                  </c:pt>
                  <c:pt idx="11">
                    <c:v>各窯設備異常情報共有</c:v>
                  </c:pt>
                  <c:pt idx="12">
                    <c:v>縱切機下降作業標準共有(其他據點)</c:v>
                  </c:pt>
                  <c:pt idx="13">
                    <c:v>橫展開管理表做成共有</c:v>
                  </c:pt>
                </c:lvl>
                <c:lvl>
                  <c:pt idx="0">
                    <c:v>横切刃先荷重、同調測定方法</c:v>
                  </c:pt>
                  <c:pt idx="2">
                    <c:v>縦切機刃先荷重測定方法</c:v>
                  </c:pt>
                  <c:pt idx="5">
                    <c:v>本線、Br H/Oストッパー安全対策</c:v>
                  </c:pt>
                  <c:pt idx="9">
                    <c:v>特殊ボルト経過観察</c:v>
                  </c:pt>
                  <c:pt idx="11">
                    <c:v>其他</c:v>
                  </c:pt>
                </c:lvl>
              </c:multiLvlStrCache>
            </c:multiLvlStrRef>
          </c:cat>
          <c:val>
            <c:numRef>
              <c:f>ADT_COLD_設備横展開AI進度管理_ver.0!$O$5:$O$19</c:f>
              <c:numCache>
                <c:formatCode>General</c:formatCode>
                <c:ptCount val="15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6D-4296-A43A-3BD11107E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26849792"/>
        <c:axId val="126851328"/>
      </c:barChart>
      <c:catAx>
        <c:axId val="126849792"/>
        <c:scaling>
          <c:orientation val="maxMin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prstDash val="dash"/>
            <a:round/>
          </a:ln>
          <a:effectLst/>
        </c:spPr>
        <c:txPr>
          <a:bodyPr rot="0" vert="horz"/>
          <a:lstStyle/>
          <a:p>
            <a:pPr>
              <a:defRPr sz="1050" b="1">
                <a:solidFill>
                  <a:schemeClr val="tx1"/>
                </a:solidFill>
              </a:defRPr>
            </a:pPr>
            <a:endParaRPr lang="zh-TW"/>
          </a:p>
        </c:txPr>
        <c:crossAx val="12685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851328"/>
        <c:scaling>
          <c:orientation val="minMax"/>
          <c:max val="46387"/>
          <c:min val="460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1400" b="1"/>
            </a:pPr>
            <a:endParaRPr lang="zh-TW"/>
          </a:p>
        </c:txPr>
        <c:crossAx val="126849792"/>
        <c:crosses val="autoZero"/>
        <c:crossBetween val="between"/>
        <c:majorUnit val="28"/>
        <c:minorUnit val="14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vert="horz"/>
          <a:lstStyle/>
          <a:p>
            <a:pPr>
              <a:defRPr sz="1600" b="1">
                <a:ln>
                  <a:noFill/>
                </a:ln>
                <a:solidFill>
                  <a:schemeClr val="tx1"/>
                </a:solidFill>
              </a:defRPr>
            </a:pPr>
            <a:endParaRPr lang="zh-TW"/>
          </a:p>
        </c:txPr>
      </c:legendEntry>
      <c:legendEntry>
        <c:idx val="3"/>
        <c:txPr>
          <a:bodyPr rot="0" vert="horz"/>
          <a:lstStyle/>
          <a:p>
            <a:pPr>
              <a:defRPr sz="1600" b="1">
                <a:ln>
                  <a:noFill/>
                </a:ln>
                <a:solidFill>
                  <a:schemeClr val="tx1"/>
                </a:solidFill>
              </a:defRPr>
            </a:pPr>
            <a:endParaRPr lang="zh-TW"/>
          </a:p>
        </c:txPr>
      </c:legendEntry>
      <c:legendEntry>
        <c:idx val="4"/>
        <c:txPr>
          <a:bodyPr rot="0" vert="horz"/>
          <a:lstStyle/>
          <a:p>
            <a:pPr>
              <a:defRPr sz="1600" b="1">
                <a:ln>
                  <a:noFill/>
                </a:ln>
                <a:solidFill>
                  <a:schemeClr val="tx1"/>
                </a:solidFill>
              </a:defRPr>
            </a:pPr>
            <a:endParaRPr lang="zh-TW"/>
          </a:p>
        </c:txPr>
      </c:legendEntry>
      <c:layout>
        <c:manualLayout>
          <c:xMode val="edge"/>
          <c:yMode val="edge"/>
          <c:x val="0.78113191452722086"/>
          <c:y val="0"/>
          <c:w val="0.21738971418403497"/>
          <c:h val="8.2286470660904137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600" b="1">
              <a:ln>
                <a:solidFill>
                  <a:schemeClr val="tx1">
                    <a:lumMod val="15000"/>
                    <a:lumOff val="85000"/>
                  </a:schemeClr>
                </a:solidFill>
              </a:ln>
              <a:solidFill>
                <a:schemeClr val="tx1"/>
              </a:solidFill>
            </a:defRPr>
          </a:pPr>
          <a:endParaRPr lang="zh-TW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>
                <a:solidFill>
                  <a:srgbClr val="6804CC"/>
                </a:solidFill>
              </a:defRPr>
            </a:pPr>
            <a:r>
              <a:rPr lang="en-US" altLang="zh-TW">
                <a:solidFill>
                  <a:srgbClr val="6804CC"/>
                </a:solidFill>
              </a:rPr>
              <a:t>2026</a:t>
            </a:r>
            <a:r>
              <a:rPr lang="zh-TW" altLang="en-US">
                <a:solidFill>
                  <a:srgbClr val="6804CC"/>
                </a:solidFill>
              </a:rPr>
              <a:t>年度</a:t>
            </a:r>
            <a:r>
              <a:rPr lang="en-US">
                <a:solidFill>
                  <a:srgbClr val="6804CC"/>
                </a:solidFill>
              </a:rPr>
              <a:t>ADT_COLD_</a:t>
            </a:r>
            <a:r>
              <a:rPr lang="zh-TW" altLang="en-US">
                <a:solidFill>
                  <a:srgbClr val="6804CC"/>
                </a:solidFill>
              </a:rPr>
              <a:t>設備橫展開項目完成度</a:t>
            </a:r>
          </a:p>
        </c:rich>
      </c:tx>
      <c:layout>
        <c:manualLayout>
          <c:xMode val="edge"/>
          <c:yMode val="edge"/>
          <c:x val="7.9631101158226776E-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145360252750443"/>
          <c:y val="0.18474120734908156"/>
          <c:w val="0.81840111729153142"/>
          <c:h val="0.804620539453845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ADT_COLD_設備横展開AI進度管理_ver.0!$I$4</c:f>
              <c:strCache>
                <c:ptCount val="1"/>
                <c:pt idx="0">
                  <c:v>完成百分比%</c:v>
                </c:pt>
              </c:strCache>
            </c:strRef>
          </c:tx>
          <c:spPr>
            <a:gradFill flip="none" rotWithShape="1">
              <a:gsLst>
                <a:gs pos="0">
                  <a:srgbClr val="0000CC">
                    <a:alpha val="74000"/>
                  </a:srgbClr>
                </a:gs>
                <a:gs pos="39999">
                  <a:srgbClr val="0066FF">
                    <a:alpha val="75000"/>
                  </a:srgbClr>
                </a:gs>
                <a:gs pos="70000">
                  <a:srgbClr val="00B0F0">
                    <a:alpha val="75000"/>
                  </a:srgbClr>
                </a:gs>
                <a:gs pos="100000">
                  <a:srgbClr val="4EEBFC">
                    <a:alpha val="75000"/>
                  </a:srgbClr>
                </a:gs>
              </a:gsLst>
              <a:lin ang="0" scaled="1"/>
              <a:tileRect/>
            </a:gradFill>
          </c:spPr>
          <c:invertIfNegative val="0"/>
          <c:cat>
            <c:multiLvlStrRef>
              <c:f>ADT_COLD_設備横展開AI進度管理_ver.0!$C$5:$D$19</c:f>
              <c:multiLvlStrCache>
                <c:ptCount val="14"/>
                <c:lvl>
                  <c:pt idx="0">
                    <c:v>作業標準書準備→提出</c:v>
                  </c:pt>
                  <c:pt idx="1">
                    <c:v>計畫表作成</c:v>
                  </c:pt>
                  <c:pt idx="2">
                    <c:v>計畫表做成</c:v>
                  </c:pt>
                  <c:pt idx="3">
                    <c:v>治具購入</c:v>
                  </c:pt>
                  <c:pt idx="4">
                    <c:v>工程變更</c:v>
                  </c:pt>
                  <c:pt idx="5">
                    <c:v>設備技術現況進度確認</c:v>
                  </c:pt>
                  <c:pt idx="6">
                    <c:v>安全教育的實施</c:v>
                  </c:pt>
                  <c:pt idx="7">
                    <c:v>各窯作業標準書的做成</c:v>
                  </c:pt>
                  <c:pt idx="8">
                    <c:v>最終完成期限確認</c:v>
                  </c:pt>
                  <c:pt idx="9">
                    <c:v>未完成窯爐的確認</c:v>
                  </c:pt>
                  <c:pt idx="10">
                    <c:v>維護管理的確認週期</c:v>
                  </c:pt>
                  <c:pt idx="11">
                    <c:v>各窯設備異常情報共有</c:v>
                  </c:pt>
                  <c:pt idx="12">
                    <c:v>縱切機下降作業標準共有(其他據點)</c:v>
                  </c:pt>
                  <c:pt idx="13">
                    <c:v>橫展開管理表做成共有</c:v>
                  </c:pt>
                </c:lvl>
                <c:lvl>
                  <c:pt idx="0">
                    <c:v>横切刃先荷重、同調測定方法</c:v>
                  </c:pt>
                  <c:pt idx="2">
                    <c:v>縦切機刃先荷重測定方法</c:v>
                  </c:pt>
                  <c:pt idx="5">
                    <c:v>本線、Br H/Oストッパー安全対策</c:v>
                  </c:pt>
                  <c:pt idx="9">
                    <c:v>特殊ボルト経過観察</c:v>
                  </c:pt>
                  <c:pt idx="11">
                    <c:v>其他</c:v>
                  </c:pt>
                </c:lvl>
              </c:multiLvlStrCache>
            </c:multiLvlStrRef>
          </c:cat>
          <c:val>
            <c:numRef>
              <c:f>ADT_COLD_設備横展開AI進度管理_ver.0!$I$5:$I$19</c:f>
              <c:numCache>
                <c:formatCode>0%</c:formatCode>
                <c:ptCount val="15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9-4401-847C-10755A211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26789504"/>
        <c:axId val="126791040"/>
      </c:barChart>
      <c:catAx>
        <c:axId val="12678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TW"/>
          </a:p>
        </c:txPr>
        <c:crossAx val="126791040"/>
        <c:crosses val="autoZero"/>
        <c:auto val="1"/>
        <c:lblAlgn val="ctr"/>
        <c:lblOffset val="100"/>
        <c:tickLblSkip val="1"/>
        <c:noMultiLvlLbl val="0"/>
      </c:catAx>
      <c:valAx>
        <c:axId val="126791040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TW"/>
          </a:p>
        </c:txPr>
        <c:crossAx val="126789504"/>
        <c:crosses val="autoZero"/>
        <c:crossBetween val="between"/>
        <c:majorUnit val="0.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t"/>
      <c:legendEntry>
        <c:idx val="0"/>
        <c:txPr>
          <a:bodyPr rot="0" vert="horz"/>
          <a:lstStyle/>
          <a:p>
            <a:pPr>
              <a:defRPr sz="1600" b="1"/>
            </a:pPr>
            <a:endParaRPr lang="zh-TW"/>
          </a:p>
        </c:txPr>
      </c:legendEntry>
      <c:layout>
        <c:manualLayout>
          <c:xMode val="edge"/>
          <c:yMode val="edge"/>
          <c:x val="0.89873625345339025"/>
          <c:y val="1.4620067046872318E-3"/>
          <c:w val="0.10110395470605517"/>
          <c:h val="8.2436309734301286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vert="horz"/>
        <a:lstStyle/>
        <a:p>
          <a:pPr>
            <a:defRPr sz="1600" b="1"/>
          </a:pPr>
          <a:endParaRPr lang="zh-TW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16</xdr:row>
      <xdr:rowOff>88900</xdr:rowOff>
    </xdr:from>
    <xdr:to>
      <xdr:col>7</xdr:col>
      <xdr:colOff>368300</xdr:colOff>
      <xdr:row>18</xdr:row>
      <xdr:rowOff>158750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59EDFC94-1271-CBBC-77E0-550488E4DD3E}"/>
            </a:ext>
          </a:extLst>
        </xdr:cNvPr>
        <xdr:cNvSpPr/>
      </xdr:nvSpPr>
      <xdr:spPr>
        <a:xfrm>
          <a:off x="4419600" y="3327400"/>
          <a:ext cx="742950" cy="4381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46</xdr:row>
      <xdr:rowOff>0</xdr:rowOff>
    </xdr:from>
    <xdr:to>
      <xdr:col>3</xdr:col>
      <xdr:colOff>361950</xdr:colOff>
      <xdr:row>50</xdr:row>
      <xdr:rowOff>0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07A14FA3-A276-8907-29CA-5050CDF65C3B}"/>
            </a:ext>
          </a:extLst>
        </xdr:cNvPr>
        <xdr:cNvCxnSpPr/>
      </xdr:nvCxnSpPr>
      <xdr:spPr>
        <a:xfrm flipV="1">
          <a:off x="2311400" y="2019300"/>
          <a:ext cx="0" cy="812800"/>
        </a:xfrm>
        <a:prstGeom prst="straightConnector1">
          <a:avLst/>
        </a:prstGeom>
        <a:ln w="28575">
          <a:solidFill>
            <a:srgbClr val="FF9966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704850</xdr:colOff>
      <xdr:row>44</xdr:row>
      <xdr:rowOff>101600</xdr:rowOff>
    </xdr:from>
    <xdr:to>
      <xdr:col>3</xdr:col>
      <xdr:colOff>139700</xdr:colOff>
      <xdr:row>45</xdr:row>
      <xdr:rowOff>139700</xdr:rowOff>
    </xdr:to>
    <xdr:grpSp>
      <xdr:nvGrpSpPr>
        <xdr:cNvPr id="23" name="群組 22">
          <a:extLst>
            <a:ext uri="{FF2B5EF4-FFF2-40B4-BE49-F238E27FC236}">
              <a16:creationId xmlns:a16="http://schemas.microsoft.com/office/drawing/2014/main" id="{D1F368BE-A763-0E64-EBA9-CC5ABBED7EB3}"/>
            </a:ext>
          </a:extLst>
        </xdr:cNvPr>
        <xdr:cNvGrpSpPr/>
      </xdr:nvGrpSpPr>
      <xdr:grpSpPr>
        <a:xfrm>
          <a:off x="1971675" y="9359900"/>
          <a:ext cx="215900" cy="247650"/>
          <a:chOff x="9982200" y="996950"/>
          <a:chExt cx="241300" cy="330200"/>
        </a:xfrm>
      </xdr:grpSpPr>
      <xdr:cxnSp macro="">
        <xdr:nvCxnSpPr>
          <xdr:cNvPr id="12" name="直線單箭頭接點 11">
            <a:extLst>
              <a:ext uri="{FF2B5EF4-FFF2-40B4-BE49-F238E27FC236}">
                <a16:creationId xmlns:a16="http://schemas.microsoft.com/office/drawing/2014/main" id="{5578FCB9-5647-E8C5-0517-03D2A2BE5419}"/>
              </a:ext>
            </a:extLst>
          </xdr:cNvPr>
          <xdr:cNvCxnSpPr/>
        </xdr:nvCxnSpPr>
        <xdr:spPr>
          <a:xfrm>
            <a:off x="9982200" y="996950"/>
            <a:ext cx="241300" cy="0"/>
          </a:xfrm>
          <a:prstGeom prst="straightConnector1">
            <a:avLst/>
          </a:prstGeom>
          <a:ln w="28575">
            <a:solidFill>
              <a:srgbClr val="FF9966"/>
            </a:solidFill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7" name="直線接點 16">
            <a:extLst>
              <a:ext uri="{FF2B5EF4-FFF2-40B4-BE49-F238E27FC236}">
                <a16:creationId xmlns:a16="http://schemas.microsoft.com/office/drawing/2014/main" id="{62BA482C-CB7B-CD16-EC97-3392E64053E1}"/>
              </a:ext>
            </a:extLst>
          </xdr:cNvPr>
          <xdr:cNvCxnSpPr/>
        </xdr:nvCxnSpPr>
        <xdr:spPr>
          <a:xfrm>
            <a:off x="9994900" y="996950"/>
            <a:ext cx="0" cy="330200"/>
          </a:xfrm>
          <a:prstGeom prst="line">
            <a:avLst/>
          </a:prstGeom>
          <a:ln w="28575">
            <a:solidFill>
              <a:srgbClr val="FF9966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8" name="直線接點 17">
            <a:extLst>
              <a:ext uri="{FF2B5EF4-FFF2-40B4-BE49-F238E27FC236}">
                <a16:creationId xmlns:a16="http://schemas.microsoft.com/office/drawing/2014/main" id="{DAEF775F-1762-8645-9951-C429F74FEBB1}"/>
              </a:ext>
            </a:extLst>
          </xdr:cNvPr>
          <xdr:cNvCxnSpPr/>
        </xdr:nvCxnSpPr>
        <xdr:spPr>
          <a:xfrm flipH="1">
            <a:off x="9982200" y="1320800"/>
            <a:ext cx="215900" cy="0"/>
          </a:xfrm>
          <a:prstGeom prst="line">
            <a:avLst/>
          </a:prstGeom>
          <a:ln w="28575">
            <a:solidFill>
              <a:srgbClr val="FF9966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628650</xdr:colOff>
      <xdr:row>44</xdr:row>
      <xdr:rowOff>107950</xdr:rowOff>
    </xdr:from>
    <xdr:to>
      <xdr:col>5</xdr:col>
      <xdr:colOff>44450</xdr:colOff>
      <xdr:row>50</xdr:row>
      <xdr:rowOff>76200</xdr:rowOff>
    </xdr:to>
    <xdr:cxnSp macro="">
      <xdr:nvCxnSpPr>
        <xdr:cNvPr id="24" name="直線單箭頭接點 23">
          <a:extLst>
            <a:ext uri="{FF2B5EF4-FFF2-40B4-BE49-F238E27FC236}">
              <a16:creationId xmlns:a16="http://schemas.microsoft.com/office/drawing/2014/main" id="{F20850D9-2B59-46FE-D38D-5AFF3E3804D3}"/>
            </a:ext>
          </a:extLst>
        </xdr:cNvPr>
        <xdr:cNvCxnSpPr/>
      </xdr:nvCxnSpPr>
      <xdr:spPr>
        <a:xfrm>
          <a:off x="2578100" y="1720850"/>
          <a:ext cx="901700" cy="1187450"/>
        </a:xfrm>
        <a:prstGeom prst="straightConnector1">
          <a:avLst/>
        </a:prstGeom>
        <a:ln w="28575">
          <a:solidFill>
            <a:srgbClr val="FF9966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44</xdr:row>
      <xdr:rowOff>95250</xdr:rowOff>
    </xdr:from>
    <xdr:to>
      <xdr:col>5</xdr:col>
      <xdr:colOff>152400</xdr:colOff>
      <xdr:row>50</xdr:row>
      <xdr:rowOff>146050</xdr:rowOff>
    </xdr:to>
    <xdr:grpSp>
      <xdr:nvGrpSpPr>
        <xdr:cNvPr id="32" name="群組 31">
          <a:extLst>
            <a:ext uri="{FF2B5EF4-FFF2-40B4-BE49-F238E27FC236}">
              <a16:creationId xmlns:a16="http://schemas.microsoft.com/office/drawing/2014/main" id="{7F5EE84F-1879-1D09-2F68-8C5F13A6B09F}"/>
            </a:ext>
          </a:extLst>
        </xdr:cNvPr>
        <xdr:cNvGrpSpPr/>
      </xdr:nvGrpSpPr>
      <xdr:grpSpPr>
        <a:xfrm>
          <a:off x="3616325" y="9353550"/>
          <a:ext cx="146050" cy="1308100"/>
          <a:chOff x="9982200" y="996950"/>
          <a:chExt cx="241300" cy="330200"/>
        </a:xfrm>
      </xdr:grpSpPr>
      <xdr:cxnSp macro="">
        <xdr:nvCxnSpPr>
          <xdr:cNvPr id="33" name="直線單箭頭接點 32">
            <a:extLst>
              <a:ext uri="{FF2B5EF4-FFF2-40B4-BE49-F238E27FC236}">
                <a16:creationId xmlns:a16="http://schemas.microsoft.com/office/drawing/2014/main" id="{094C3F44-FC9F-1C4D-4E2C-2DB7A60FA9A5}"/>
              </a:ext>
            </a:extLst>
          </xdr:cNvPr>
          <xdr:cNvCxnSpPr/>
        </xdr:nvCxnSpPr>
        <xdr:spPr>
          <a:xfrm>
            <a:off x="9982200" y="996950"/>
            <a:ext cx="241300" cy="0"/>
          </a:xfrm>
          <a:prstGeom prst="straightConnector1">
            <a:avLst/>
          </a:prstGeom>
          <a:ln w="28575">
            <a:solidFill>
              <a:srgbClr val="0000FF"/>
            </a:solidFill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4" name="直線接點 33">
            <a:extLst>
              <a:ext uri="{FF2B5EF4-FFF2-40B4-BE49-F238E27FC236}">
                <a16:creationId xmlns:a16="http://schemas.microsoft.com/office/drawing/2014/main" id="{7009B2EF-65EC-A711-3DEC-480393A3A50D}"/>
              </a:ext>
            </a:extLst>
          </xdr:cNvPr>
          <xdr:cNvCxnSpPr/>
        </xdr:nvCxnSpPr>
        <xdr:spPr>
          <a:xfrm>
            <a:off x="9994900" y="996950"/>
            <a:ext cx="0" cy="3302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5" name="直線接點 34">
            <a:extLst>
              <a:ext uri="{FF2B5EF4-FFF2-40B4-BE49-F238E27FC236}">
                <a16:creationId xmlns:a16="http://schemas.microsoft.com/office/drawing/2014/main" id="{642916DD-2070-F401-3D12-10D1CBE2EB57}"/>
              </a:ext>
            </a:extLst>
          </xdr:cNvPr>
          <xdr:cNvCxnSpPr/>
        </xdr:nvCxnSpPr>
        <xdr:spPr>
          <a:xfrm flipH="1">
            <a:off x="9982200" y="1320800"/>
            <a:ext cx="215900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654050</xdr:colOff>
      <xdr:row>44</xdr:row>
      <xdr:rowOff>120650</xdr:rowOff>
    </xdr:from>
    <xdr:to>
      <xdr:col>7</xdr:col>
      <xdr:colOff>69850</xdr:colOff>
      <xdr:row>50</xdr:row>
      <xdr:rowOff>88900</xdr:rowOff>
    </xdr:to>
    <xdr:cxnSp macro="">
      <xdr:nvCxnSpPr>
        <xdr:cNvPr id="36" name="直線單箭頭接點 35">
          <a:extLst>
            <a:ext uri="{FF2B5EF4-FFF2-40B4-BE49-F238E27FC236}">
              <a16:creationId xmlns:a16="http://schemas.microsoft.com/office/drawing/2014/main" id="{E4147772-B990-6359-488B-8A21AFEB377C}"/>
            </a:ext>
          </a:extLst>
        </xdr:cNvPr>
        <xdr:cNvCxnSpPr/>
      </xdr:nvCxnSpPr>
      <xdr:spPr>
        <a:xfrm>
          <a:off x="4089400" y="1733550"/>
          <a:ext cx="901700" cy="1187450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44</xdr:row>
      <xdr:rowOff>101600</xdr:rowOff>
    </xdr:from>
    <xdr:to>
      <xdr:col>7</xdr:col>
      <xdr:colOff>146050</xdr:colOff>
      <xdr:row>50</xdr:row>
      <xdr:rowOff>152400</xdr:rowOff>
    </xdr:to>
    <xdr:grpSp>
      <xdr:nvGrpSpPr>
        <xdr:cNvPr id="37" name="群組 36">
          <a:extLst>
            <a:ext uri="{FF2B5EF4-FFF2-40B4-BE49-F238E27FC236}">
              <a16:creationId xmlns:a16="http://schemas.microsoft.com/office/drawing/2014/main" id="{20A94B08-DAE0-106E-4BA0-43542F3E81AF}"/>
            </a:ext>
          </a:extLst>
        </xdr:cNvPr>
        <xdr:cNvGrpSpPr/>
      </xdr:nvGrpSpPr>
      <xdr:grpSpPr>
        <a:xfrm>
          <a:off x="5172075" y="9359900"/>
          <a:ext cx="146050" cy="1308100"/>
          <a:chOff x="9982200" y="996950"/>
          <a:chExt cx="241300" cy="330200"/>
        </a:xfrm>
      </xdr:grpSpPr>
      <xdr:cxnSp macro="">
        <xdr:nvCxnSpPr>
          <xdr:cNvPr id="38" name="直線單箭頭接點 37">
            <a:extLst>
              <a:ext uri="{FF2B5EF4-FFF2-40B4-BE49-F238E27FC236}">
                <a16:creationId xmlns:a16="http://schemas.microsoft.com/office/drawing/2014/main" id="{C5CAEB1A-03EC-B76C-BE2E-6654B4675470}"/>
              </a:ext>
            </a:extLst>
          </xdr:cNvPr>
          <xdr:cNvCxnSpPr/>
        </xdr:nvCxnSpPr>
        <xdr:spPr>
          <a:xfrm>
            <a:off x="9982200" y="996950"/>
            <a:ext cx="241300" cy="0"/>
          </a:xfrm>
          <a:prstGeom prst="straightConnector1">
            <a:avLst/>
          </a:prstGeom>
          <a:ln w="28575">
            <a:solidFill>
              <a:srgbClr val="33CC33"/>
            </a:solidFill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9" name="直線接點 38">
            <a:extLst>
              <a:ext uri="{FF2B5EF4-FFF2-40B4-BE49-F238E27FC236}">
                <a16:creationId xmlns:a16="http://schemas.microsoft.com/office/drawing/2014/main" id="{A2272818-448C-35A1-49F9-C86EFCE6F4A0}"/>
              </a:ext>
            </a:extLst>
          </xdr:cNvPr>
          <xdr:cNvCxnSpPr/>
        </xdr:nvCxnSpPr>
        <xdr:spPr>
          <a:xfrm>
            <a:off x="9994900" y="996950"/>
            <a:ext cx="0" cy="330200"/>
          </a:xfrm>
          <a:prstGeom prst="line">
            <a:avLst/>
          </a:prstGeom>
          <a:ln w="28575">
            <a:solidFill>
              <a:srgbClr val="33CC33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0" name="直線接點 39">
            <a:extLst>
              <a:ext uri="{FF2B5EF4-FFF2-40B4-BE49-F238E27FC236}">
                <a16:creationId xmlns:a16="http://schemas.microsoft.com/office/drawing/2014/main" id="{3F3C0D6A-FC77-3CD3-ED88-E5B640FAC44E}"/>
              </a:ext>
            </a:extLst>
          </xdr:cNvPr>
          <xdr:cNvCxnSpPr/>
        </xdr:nvCxnSpPr>
        <xdr:spPr>
          <a:xfrm flipH="1">
            <a:off x="9982200" y="1320800"/>
            <a:ext cx="215900" cy="0"/>
          </a:xfrm>
          <a:prstGeom prst="line">
            <a:avLst/>
          </a:prstGeom>
          <a:ln w="28575">
            <a:solidFill>
              <a:srgbClr val="33CC33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419100</xdr:colOff>
      <xdr:row>47</xdr:row>
      <xdr:rowOff>95250</xdr:rowOff>
    </xdr:from>
    <xdr:to>
      <xdr:col>3</xdr:col>
      <xdr:colOff>501650</xdr:colOff>
      <xdr:row>48</xdr:row>
      <xdr:rowOff>196850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B199034B-B827-B703-C72A-085A06078091}"/>
            </a:ext>
          </a:extLst>
        </xdr:cNvPr>
        <xdr:cNvSpPr/>
      </xdr:nvSpPr>
      <xdr:spPr>
        <a:xfrm>
          <a:off x="1625600" y="9690100"/>
          <a:ext cx="8255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200" b="1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STEP①</a:t>
          </a:r>
          <a:endParaRPr lang="zh-TW" altLang="en-US" sz="1200" b="1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685800</xdr:colOff>
      <xdr:row>51</xdr:row>
      <xdr:rowOff>69850</xdr:rowOff>
    </xdr:from>
    <xdr:to>
      <xdr:col>7</xdr:col>
      <xdr:colOff>457200</xdr:colOff>
      <xdr:row>53</xdr:row>
      <xdr:rowOff>127000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9400BAE0-FD2E-4098-BF50-114FFCB2B46C}"/>
            </a:ext>
          </a:extLst>
        </xdr:cNvPr>
        <xdr:cNvSpPr/>
      </xdr:nvSpPr>
      <xdr:spPr>
        <a:xfrm>
          <a:off x="4864100" y="5994400"/>
          <a:ext cx="514350" cy="4254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0</xdr:colOff>
      <xdr:row>47</xdr:row>
      <xdr:rowOff>120650</xdr:rowOff>
    </xdr:from>
    <xdr:to>
      <xdr:col>6</xdr:col>
      <xdr:colOff>82550</xdr:colOff>
      <xdr:row>49</xdr:row>
      <xdr:rowOff>19050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692F5BE-71DF-45D0-B0F7-CA65EA222CD9}"/>
            </a:ext>
          </a:extLst>
        </xdr:cNvPr>
        <xdr:cNvSpPr/>
      </xdr:nvSpPr>
      <xdr:spPr>
        <a:xfrm>
          <a:off x="3435350" y="9715500"/>
          <a:ext cx="8255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200" b="1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STEP</a:t>
          </a:r>
          <a:r>
            <a:rPr lang="ja-JP" altLang="en-US" sz="1200" b="1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②</a:t>
          </a:r>
          <a:endParaRPr lang="zh-TW" altLang="en-US" sz="1200" b="1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730250</xdr:colOff>
      <xdr:row>47</xdr:row>
      <xdr:rowOff>120650</xdr:rowOff>
    </xdr:from>
    <xdr:to>
      <xdr:col>8</xdr:col>
      <xdr:colOff>69850</xdr:colOff>
      <xdr:row>49</xdr:row>
      <xdr:rowOff>19050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CBF6EFC-9A27-1A34-E146-18F4995EEC1A}"/>
            </a:ext>
          </a:extLst>
        </xdr:cNvPr>
        <xdr:cNvSpPr/>
      </xdr:nvSpPr>
      <xdr:spPr>
        <a:xfrm>
          <a:off x="4908550" y="9715500"/>
          <a:ext cx="8255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200" b="1">
              <a:solidFill>
                <a:srgbClr val="33CC33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STEP</a:t>
          </a:r>
          <a:r>
            <a:rPr lang="ja-JP" altLang="en-US" sz="1200" b="1">
              <a:solidFill>
                <a:srgbClr val="33CC33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③</a:t>
          </a:r>
          <a:endParaRPr lang="zh-TW" altLang="en-US" sz="1200" b="1">
            <a:solidFill>
              <a:srgbClr val="33CC33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46</xdr:row>
      <xdr:rowOff>0</xdr:rowOff>
    </xdr:from>
    <xdr:to>
      <xdr:col>3</xdr:col>
      <xdr:colOff>361950</xdr:colOff>
      <xdr:row>50</xdr:row>
      <xdr:rowOff>0</xdr:rowOff>
    </xdr:to>
    <xdr:cxnSp macro="">
      <xdr:nvCxnSpPr>
        <xdr:cNvPr id="2" name="直線單箭頭接點 1">
          <a:extLst>
            <a:ext uri="{FF2B5EF4-FFF2-40B4-BE49-F238E27FC236}">
              <a16:creationId xmlns:a16="http://schemas.microsoft.com/office/drawing/2014/main" id="{A882B611-0328-483F-A159-F3409B963530}"/>
            </a:ext>
          </a:extLst>
        </xdr:cNvPr>
        <xdr:cNvCxnSpPr/>
      </xdr:nvCxnSpPr>
      <xdr:spPr>
        <a:xfrm flipV="1">
          <a:off x="2311400" y="9391650"/>
          <a:ext cx="0" cy="812800"/>
        </a:xfrm>
        <a:prstGeom prst="straightConnector1">
          <a:avLst/>
        </a:prstGeom>
        <a:ln w="28575">
          <a:solidFill>
            <a:srgbClr val="FF9966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704850</xdr:colOff>
      <xdr:row>44</xdr:row>
      <xdr:rowOff>101600</xdr:rowOff>
    </xdr:from>
    <xdr:to>
      <xdr:col>3</xdr:col>
      <xdr:colOff>139700</xdr:colOff>
      <xdr:row>45</xdr:row>
      <xdr:rowOff>139700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734D7A32-DDEF-457E-A4B1-0B7E2E95DD35}"/>
            </a:ext>
          </a:extLst>
        </xdr:cNvPr>
        <xdr:cNvGrpSpPr/>
      </xdr:nvGrpSpPr>
      <xdr:grpSpPr>
        <a:xfrm>
          <a:off x="1971675" y="9359900"/>
          <a:ext cx="215900" cy="247650"/>
          <a:chOff x="9982200" y="996950"/>
          <a:chExt cx="241300" cy="330200"/>
        </a:xfrm>
      </xdr:grpSpPr>
      <xdr:cxnSp macro="">
        <xdr:nvCxnSpPr>
          <xdr:cNvPr id="4" name="直線單箭頭接點 3">
            <a:extLst>
              <a:ext uri="{FF2B5EF4-FFF2-40B4-BE49-F238E27FC236}">
                <a16:creationId xmlns:a16="http://schemas.microsoft.com/office/drawing/2014/main" id="{E58D14E9-0EAE-7E87-6B2C-AAB3848B6E58}"/>
              </a:ext>
            </a:extLst>
          </xdr:cNvPr>
          <xdr:cNvCxnSpPr/>
        </xdr:nvCxnSpPr>
        <xdr:spPr>
          <a:xfrm>
            <a:off x="9982200" y="996950"/>
            <a:ext cx="241300" cy="0"/>
          </a:xfrm>
          <a:prstGeom prst="straightConnector1">
            <a:avLst/>
          </a:prstGeom>
          <a:ln w="28575">
            <a:solidFill>
              <a:srgbClr val="FF9966"/>
            </a:solidFill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" name="直線接點 4">
            <a:extLst>
              <a:ext uri="{FF2B5EF4-FFF2-40B4-BE49-F238E27FC236}">
                <a16:creationId xmlns:a16="http://schemas.microsoft.com/office/drawing/2014/main" id="{7608AFAC-BB81-0626-1B14-E3A05045AB00}"/>
              </a:ext>
            </a:extLst>
          </xdr:cNvPr>
          <xdr:cNvCxnSpPr/>
        </xdr:nvCxnSpPr>
        <xdr:spPr>
          <a:xfrm>
            <a:off x="9994900" y="996950"/>
            <a:ext cx="0" cy="330200"/>
          </a:xfrm>
          <a:prstGeom prst="line">
            <a:avLst/>
          </a:prstGeom>
          <a:ln w="28575">
            <a:solidFill>
              <a:srgbClr val="FF9966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直線接點 5">
            <a:extLst>
              <a:ext uri="{FF2B5EF4-FFF2-40B4-BE49-F238E27FC236}">
                <a16:creationId xmlns:a16="http://schemas.microsoft.com/office/drawing/2014/main" id="{D0CE1989-A69E-0863-23A4-9100F7738F88}"/>
              </a:ext>
            </a:extLst>
          </xdr:cNvPr>
          <xdr:cNvCxnSpPr/>
        </xdr:nvCxnSpPr>
        <xdr:spPr>
          <a:xfrm flipH="1">
            <a:off x="9982200" y="1320800"/>
            <a:ext cx="215900" cy="0"/>
          </a:xfrm>
          <a:prstGeom prst="line">
            <a:avLst/>
          </a:prstGeom>
          <a:ln w="28575">
            <a:solidFill>
              <a:srgbClr val="FF9966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628650</xdr:colOff>
      <xdr:row>44</xdr:row>
      <xdr:rowOff>107950</xdr:rowOff>
    </xdr:from>
    <xdr:to>
      <xdr:col>5</xdr:col>
      <xdr:colOff>44450</xdr:colOff>
      <xdr:row>50</xdr:row>
      <xdr:rowOff>76200</xdr:rowOff>
    </xdr:to>
    <xdr:cxnSp macro="">
      <xdr:nvCxnSpPr>
        <xdr:cNvPr id="7" name="直線單箭頭接點 6">
          <a:extLst>
            <a:ext uri="{FF2B5EF4-FFF2-40B4-BE49-F238E27FC236}">
              <a16:creationId xmlns:a16="http://schemas.microsoft.com/office/drawing/2014/main" id="{5505DB3A-A344-4786-9E13-1778C7844194}"/>
            </a:ext>
          </a:extLst>
        </xdr:cNvPr>
        <xdr:cNvCxnSpPr/>
      </xdr:nvCxnSpPr>
      <xdr:spPr>
        <a:xfrm>
          <a:off x="2578100" y="9093200"/>
          <a:ext cx="901700" cy="1187450"/>
        </a:xfrm>
        <a:prstGeom prst="straightConnector1">
          <a:avLst/>
        </a:prstGeom>
        <a:ln w="28575">
          <a:solidFill>
            <a:srgbClr val="FF9966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44</xdr:row>
      <xdr:rowOff>95250</xdr:rowOff>
    </xdr:from>
    <xdr:to>
      <xdr:col>5</xdr:col>
      <xdr:colOff>152400</xdr:colOff>
      <xdr:row>50</xdr:row>
      <xdr:rowOff>146050</xdr:rowOff>
    </xdr:to>
    <xdr:grpSp>
      <xdr:nvGrpSpPr>
        <xdr:cNvPr id="8" name="群組 7">
          <a:extLst>
            <a:ext uri="{FF2B5EF4-FFF2-40B4-BE49-F238E27FC236}">
              <a16:creationId xmlns:a16="http://schemas.microsoft.com/office/drawing/2014/main" id="{7BFE80B7-E868-46B0-BD3B-06A2B09854E2}"/>
            </a:ext>
          </a:extLst>
        </xdr:cNvPr>
        <xdr:cNvGrpSpPr/>
      </xdr:nvGrpSpPr>
      <xdr:grpSpPr>
        <a:xfrm>
          <a:off x="3616325" y="9353550"/>
          <a:ext cx="146050" cy="1308100"/>
          <a:chOff x="9982200" y="996950"/>
          <a:chExt cx="241300" cy="330200"/>
        </a:xfrm>
      </xdr:grpSpPr>
      <xdr:cxnSp macro="">
        <xdr:nvCxnSpPr>
          <xdr:cNvPr id="9" name="直線單箭頭接點 8">
            <a:extLst>
              <a:ext uri="{FF2B5EF4-FFF2-40B4-BE49-F238E27FC236}">
                <a16:creationId xmlns:a16="http://schemas.microsoft.com/office/drawing/2014/main" id="{1116697B-BC0B-A494-24D9-B6BB86C69305}"/>
              </a:ext>
            </a:extLst>
          </xdr:cNvPr>
          <xdr:cNvCxnSpPr/>
        </xdr:nvCxnSpPr>
        <xdr:spPr>
          <a:xfrm>
            <a:off x="9982200" y="996950"/>
            <a:ext cx="241300" cy="0"/>
          </a:xfrm>
          <a:prstGeom prst="straightConnector1">
            <a:avLst/>
          </a:prstGeom>
          <a:ln w="28575">
            <a:solidFill>
              <a:srgbClr val="0000FF"/>
            </a:solidFill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直線接點 9">
            <a:extLst>
              <a:ext uri="{FF2B5EF4-FFF2-40B4-BE49-F238E27FC236}">
                <a16:creationId xmlns:a16="http://schemas.microsoft.com/office/drawing/2014/main" id="{4262B77C-231A-C8B1-EBBD-4E27BE15EA83}"/>
              </a:ext>
            </a:extLst>
          </xdr:cNvPr>
          <xdr:cNvCxnSpPr/>
        </xdr:nvCxnSpPr>
        <xdr:spPr>
          <a:xfrm>
            <a:off x="9994900" y="996950"/>
            <a:ext cx="0" cy="3302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直線接點 10">
            <a:extLst>
              <a:ext uri="{FF2B5EF4-FFF2-40B4-BE49-F238E27FC236}">
                <a16:creationId xmlns:a16="http://schemas.microsoft.com/office/drawing/2014/main" id="{BEFA2C2F-FE10-AA05-4C09-1B7E6DE0B7C8}"/>
              </a:ext>
            </a:extLst>
          </xdr:cNvPr>
          <xdr:cNvCxnSpPr/>
        </xdr:nvCxnSpPr>
        <xdr:spPr>
          <a:xfrm flipH="1">
            <a:off x="9982200" y="1320800"/>
            <a:ext cx="215900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654050</xdr:colOff>
      <xdr:row>44</xdr:row>
      <xdr:rowOff>120650</xdr:rowOff>
    </xdr:from>
    <xdr:to>
      <xdr:col>7</xdr:col>
      <xdr:colOff>69850</xdr:colOff>
      <xdr:row>50</xdr:row>
      <xdr:rowOff>88900</xdr:rowOff>
    </xdr:to>
    <xdr:cxnSp macro="">
      <xdr:nvCxnSpPr>
        <xdr:cNvPr id="12" name="直線單箭頭接點 11">
          <a:extLst>
            <a:ext uri="{FF2B5EF4-FFF2-40B4-BE49-F238E27FC236}">
              <a16:creationId xmlns:a16="http://schemas.microsoft.com/office/drawing/2014/main" id="{9027AFEC-6081-4701-AFB3-32214C91B45A}"/>
            </a:ext>
          </a:extLst>
        </xdr:cNvPr>
        <xdr:cNvCxnSpPr/>
      </xdr:nvCxnSpPr>
      <xdr:spPr>
        <a:xfrm>
          <a:off x="4089400" y="9105900"/>
          <a:ext cx="901700" cy="1187450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44</xdr:row>
      <xdr:rowOff>101600</xdr:rowOff>
    </xdr:from>
    <xdr:to>
      <xdr:col>7</xdr:col>
      <xdr:colOff>146050</xdr:colOff>
      <xdr:row>50</xdr:row>
      <xdr:rowOff>152400</xdr:rowOff>
    </xdr:to>
    <xdr:grpSp>
      <xdr:nvGrpSpPr>
        <xdr:cNvPr id="13" name="群組 12">
          <a:extLst>
            <a:ext uri="{FF2B5EF4-FFF2-40B4-BE49-F238E27FC236}">
              <a16:creationId xmlns:a16="http://schemas.microsoft.com/office/drawing/2014/main" id="{34B1933D-C822-42B2-9C24-D2FB28CBF242}"/>
            </a:ext>
          </a:extLst>
        </xdr:cNvPr>
        <xdr:cNvGrpSpPr/>
      </xdr:nvGrpSpPr>
      <xdr:grpSpPr>
        <a:xfrm>
          <a:off x="5172075" y="9359900"/>
          <a:ext cx="146050" cy="1308100"/>
          <a:chOff x="9982200" y="996950"/>
          <a:chExt cx="241300" cy="330200"/>
        </a:xfrm>
      </xdr:grpSpPr>
      <xdr:cxnSp macro="">
        <xdr:nvCxnSpPr>
          <xdr:cNvPr id="14" name="直線單箭頭接點 13">
            <a:extLst>
              <a:ext uri="{FF2B5EF4-FFF2-40B4-BE49-F238E27FC236}">
                <a16:creationId xmlns:a16="http://schemas.microsoft.com/office/drawing/2014/main" id="{1B7BA3A1-DD94-A51B-DEEC-DFA2C8812B38}"/>
              </a:ext>
            </a:extLst>
          </xdr:cNvPr>
          <xdr:cNvCxnSpPr/>
        </xdr:nvCxnSpPr>
        <xdr:spPr>
          <a:xfrm>
            <a:off x="9982200" y="996950"/>
            <a:ext cx="241300" cy="0"/>
          </a:xfrm>
          <a:prstGeom prst="straightConnector1">
            <a:avLst/>
          </a:prstGeom>
          <a:ln w="28575">
            <a:solidFill>
              <a:srgbClr val="33CC33"/>
            </a:solidFill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" name="直線接點 14">
            <a:extLst>
              <a:ext uri="{FF2B5EF4-FFF2-40B4-BE49-F238E27FC236}">
                <a16:creationId xmlns:a16="http://schemas.microsoft.com/office/drawing/2014/main" id="{4BC842F5-4ADA-6BA3-C4D1-5CC7FCB4DE1F}"/>
              </a:ext>
            </a:extLst>
          </xdr:cNvPr>
          <xdr:cNvCxnSpPr/>
        </xdr:nvCxnSpPr>
        <xdr:spPr>
          <a:xfrm>
            <a:off x="9994900" y="996950"/>
            <a:ext cx="0" cy="330200"/>
          </a:xfrm>
          <a:prstGeom prst="line">
            <a:avLst/>
          </a:prstGeom>
          <a:ln w="28575">
            <a:solidFill>
              <a:srgbClr val="33CC33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6" name="直線接點 15">
            <a:extLst>
              <a:ext uri="{FF2B5EF4-FFF2-40B4-BE49-F238E27FC236}">
                <a16:creationId xmlns:a16="http://schemas.microsoft.com/office/drawing/2014/main" id="{01F4D6F4-F2BC-D672-CCF9-50F341A34DD1}"/>
              </a:ext>
            </a:extLst>
          </xdr:cNvPr>
          <xdr:cNvCxnSpPr/>
        </xdr:nvCxnSpPr>
        <xdr:spPr>
          <a:xfrm flipH="1">
            <a:off x="9982200" y="1320800"/>
            <a:ext cx="215900" cy="0"/>
          </a:xfrm>
          <a:prstGeom prst="line">
            <a:avLst/>
          </a:prstGeom>
          <a:ln w="28575">
            <a:solidFill>
              <a:srgbClr val="33CC33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419100</xdr:colOff>
      <xdr:row>47</xdr:row>
      <xdr:rowOff>95250</xdr:rowOff>
    </xdr:from>
    <xdr:to>
      <xdr:col>3</xdr:col>
      <xdr:colOff>501650</xdr:colOff>
      <xdr:row>48</xdr:row>
      <xdr:rowOff>196850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6AB486C6-25A1-4821-B10A-60B5D68B6B66}"/>
            </a:ext>
          </a:extLst>
        </xdr:cNvPr>
        <xdr:cNvSpPr/>
      </xdr:nvSpPr>
      <xdr:spPr>
        <a:xfrm>
          <a:off x="1625600" y="9690100"/>
          <a:ext cx="8255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200" b="1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STEP①</a:t>
          </a:r>
          <a:endParaRPr lang="zh-TW" altLang="en-US" sz="1200" b="1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685800</xdr:colOff>
      <xdr:row>51</xdr:row>
      <xdr:rowOff>69850</xdr:rowOff>
    </xdr:from>
    <xdr:to>
      <xdr:col>7</xdr:col>
      <xdr:colOff>457200</xdr:colOff>
      <xdr:row>53</xdr:row>
      <xdr:rowOff>171450</xdr:rowOff>
    </xdr:to>
    <xdr:sp macro="" textlink="">
      <xdr:nvSpPr>
        <xdr:cNvPr id="18" name="箭號: 向下 17">
          <a:extLst>
            <a:ext uri="{FF2B5EF4-FFF2-40B4-BE49-F238E27FC236}">
              <a16:creationId xmlns:a16="http://schemas.microsoft.com/office/drawing/2014/main" id="{73B3D029-762C-4825-B80C-953CDD052EE5}"/>
            </a:ext>
          </a:extLst>
        </xdr:cNvPr>
        <xdr:cNvSpPr/>
      </xdr:nvSpPr>
      <xdr:spPr>
        <a:xfrm>
          <a:off x="4864100" y="10477500"/>
          <a:ext cx="514350" cy="4699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0</xdr:colOff>
      <xdr:row>47</xdr:row>
      <xdr:rowOff>120650</xdr:rowOff>
    </xdr:from>
    <xdr:to>
      <xdr:col>6</xdr:col>
      <xdr:colOff>82550</xdr:colOff>
      <xdr:row>49</xdr:row>
      <xdr:rowOff>19050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FFB392C7-4B80-4A3C-A1EF-0AACD352D71E}"/>
            </a:ext>
          </a:extLst>
        </xdr:cNvPr>
        <xdr:cNvSpPr/>
      </xdr:nvSpPr>
      <xdr:spPr>
        <a:xfrm>
          <a:off x="3435350" y="9715500"/>
          <a:ext cx="8255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200" b="1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STEP</a:t>
          </a:r>
          <a:r>
            <a:rPr lang="ja-JP" altLang="en-US" sz="1200" b="1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②</a:t>
          </a:r>
          <a:endParaRPr lang="zh-TW" altLang="en-US" sz="1200" b="1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730250</xdr:colOff>
      <xdr:row>47</xdr:row>
      <xdr:rowOff>120650</xdr:rowOff>
    </xdr:from>
    <xdr:to>
      <xdr:col>8</xdr:col>
      <xdr:colOff>69850</xdr:colOff>
      <xdr:row>49</xdr:row>
      <xdr:rowOff>19050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5CBC1EED-41C9-43E2-A297-D48DDBDB9F6E}"/>
            </a:ext>
          </a:extLst>
        </xdr:cNvPr>
        <xdr:cNvSpPr/>
      </xdr:nvSpPr>
      <xdr:spPr>
        <a:xfrm>
          <a:off x="4908550" y="9715500"/>
          <a:ext cx="8255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200" b="1">
              <a:solidFill>
                <a:srgbClr val="33CC33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STEP</a:t>
          </a:r>
          <a:r>
            <a:rPr lang="ja-JP" altLang="en-US" sz="1200" b="1">
              <a:solidFill>
                <a:srgbClr val="33CC33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③</a:t>
          </a:r>
          <a:endParaRPr lang="zh-TW" altLang="en-US" sz="1200" b="1">
            <a:solidFill>
              <a:srgbClr val="33CC33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345267</xdr:colOff>
      <xdr:row>43</xdr:row>
      <xdr:rowOff>49698</xdr:rowOff>
    </xdr:from>
    <xdr:to>
      <xdr:col>7</xdr:col>
      <xdr:colOff>4194425</xdr:colOff>
      <xdr:row>65</xdr:row>
      <xdr:rowOff>56266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42AF4A57-FF24-4234-AFBC-9B923F4E9ED9}"/>
            </a:ext>
          </a:extLst>
        </xdr:cNvPr>
        <xdr:cNvGrpSpPr/>
      </xdr:nvGrpSpPr>
      <xdr:grpSpPr>
        <a:xfrm>
          <a:off x="4543594" y="6446102"/>
          <a:ext cx="6406254" cy="4358760"/>
          <a:chOff x="3211162" y="6601613"/>
          <a:chExt cx="6403340" cy="4435516"/>
        </a:xfrm>
      </xdr:grpSpPr>
      <xdr:pic>
        <xdr:nvPicPr>
          <xdr:cNvPr id="3" name="圖片 2">
            <a:extLst>
              <a:ext uri="{FF2B5EF4-FFF2-40B4-BE49-F238E27FC236}">
                <a16:creationId xmlns:a16="http://schemas.microsoft.com/office/drawing/2014/main" id="{57BD133D-2811-9C61-7E46-57EFC25B98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035" b="13650"/>
          <a:stretch/>
        </xdr:blipFill>
        <xdr:spPr>
          <a:xfrm>
            <a:off x="3251411" y="6601613"/>
            <a:ext cx="6363091" cy="440131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" name="矩形: 圓角 3">
            <a:extLst>
              <a:ext uri="{FF2B5EF4-FFF2-40B4-BE49-F238E27FC236}">
                <a16:creationId xmlns:a16="http://schemas.microsoft.com/office/drawing/2014/main" id="{90D8CB86-0AA1-916B-875A-0DF29EB20E50}"/>
              </a:ext>
            </a:extLst>
          </xdr:cNvPr>
          <xdr:cNvSpPr/>
        </xdr:nvSpPr>
        <xdr:spPr>
          <a:xfrm>
            <a:off x="3254829" y="10189030"/>
            <a:ext cx="4523014" cy="816428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B7BE6497-47A6-A950-3628-7E9DC9C72DE8}"/>
              </a:ext>
            </a:extLst>
          </xdr:cNvPr>
          <xdr:cNvSpPr/>
        </xdr:nvSpPr>
        <xdr:spPr>
          <a:xfrm>
            <a:off x="4457700" y="10439400"/>
            <a:ext cx="195943" cy="195943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6" name="矩形: 圓角 5">
            <a:extLst>
              <a:ext uri="{FF2B5EF4-FFF2-40B4-BE49-F238E27FC236}">
                <a16:creationId xmlns:a16="http://schemas.microsoft.com/office/drawing/2014/main" id="{54561D0C-BA4B-218A-EF19-17BE8C9F1AD3}"/>
              </a:ext>
            </a:extLst>
          </xdr:cNvPr>
          <xdr:cNvSpPr/>
        </xdr:nvSpPr>
        <xdr:spPr>
          <a:xfrm>
            <a:off x="3303815" y="10842173"/>
            <a:ext cx="582385" cy="136070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7" name="矩形: 圓角 6">
            <a:extLst>
              <a:ext uri="{FF2B5EF4-FFF2-40B4-BE49-F238E27FC236}">
                <a16:creationId xmlns:a16="http://schemas.microsoft.com/office/drawing/2014/main" id="{0ED79AE8-8DAA-E766-994F-ADD8AB40A60E}"/>
              </a:ext>
            </a:extLst>
          </xdr:cNvPr>
          <xdr:cNvSpPr/>
        </xdr:nvSpPr>
        <xdr:spPr>
          <a:xfrm>
            <a:off x="4637315" y="10842173"/>
            <a:ext cx="353785" cy="136070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8" name="矩形: 圓角 7">
            <a:extLst>
              <a:ext uri="{FF2B5EF4-FFF2-40B4-BE49-F238E27FC236}">
                <a16:creationId xmlns:a16="http://schemas.microsoft.com/office/drawing/2014/main" id="{097834D1-0A3B-E04C-5613-A7621F25809D}"/>
              </a:ext>
            </a:extLst>
          </xdr:cNvPr>
          <xdr:cNvSpPr/>
        </xdr:nvSpPr>
        <xdr:spPr>
          <a:xfrm>
            <a:off x="5285015" y="10842173"/>
            <a:ext cx="277585" cy="136070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9" name="矩形: 圓角 8">
            <a:extLst>
              <a:ext uri="{FF2B5EF4-FFF2-40B4-BE49-F238E27FC236}">
                <a16:creationId xmlns:a16="http://schemas.microsoft.com/office/drawing/2014/main" id="{16DABE32-BB7F-90E7-A875-E5A210EEE52E}"/>
              </a:ext>
            </a:extLst>
          </xdr:cNvPr>
          <xdr:cNvSpPr/>
        </xdr:nvSpPr>
        <xdr:spPr>
          <a:xfrm>
            <a:off x="7172680" y="10630080"/>
            <a:ext cx="654096" cy="407049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8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圖一</a:t>
            </a:r>
          </a:p>
        </xdr:txBody>
      </xdr:sp>
      <xdr:sp macro="" textlink="">
        <xdr:nvSpPr>
          <xdr:cNvPr id="10" name="矩形: 圓角 9">
            <a:extLst>
              <a:ext uri="{FF2B5EF4-FFF2-40B4-BE49-F238E27FC236}">
                <a16:creationId xmlns:a16="http://schemas.microsoft.com/office/drawing/2014/main" id="{A9BCCD9F-DE8A-EA4E-1795-A03C5A7B5BD0}"/>
              </a:ext>
            </a:extLst>
          </xdr:cNvPr>
          <xdr:cNvSpPr/>
        </xdr:nvSpPr>
        <xdr:spPr>
          <a:xfrm>
            <a:off x="4334920" y="1014846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1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11" name="矩形: 圓角 10">
            <a:extLst>
              <a:ext uri="{FF2B5EF4-FFF2-40B4-BE49-F238E27FC236}">
                <a16:creationId xmlns:a16="http://schemas.microsoft.com/office/drawing/2014/main" id="{8DCBB444-162D-7EE2-AE2E-54C0214F71BE}"/>
              </a:ext>
            </a:extLst>
          </xdr:cNvPr>
          <xdr:cNvSpPr/>
        </xdr:nvSpPr>
        <xdr:spPr>
          <a:xfrm>
            <a:off x="3211162" y="1054431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2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12" name="矩形: 圓角 11">
            <a:extLst>
              <a:ext uri="{FF2B5EF4-FFF2-40B4-BE49-F238E27FC236}">
                <a16:creationId xmlns:a16="http://schemas.microsoft.com/office/drawing/2014/main" id="{42BDB78B-3E87-7410-07AF-F79C72D3A89C}"/>
              </a:ext>
            </a:extLst>
          </xdr:cNvPr>
          <xdr:cNvSpPr/>
        </xdr:nvSpPr>
        <xdr:spPr>
          <a:xfrm>
            <a:off x="4518927" y="1054431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3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13" name="矩形: 圓角 12">
            <a:extLst>
              <a:ext uri="{FF2B5EF4-FFF2-40B4-BE49-F238E27FC236}">
                <a16:creationId xmlns:a16="http://schemas.microsoft.com/office/drawing/2014/main" id="{FEB810B0-2A81-49B6-43BC-010CAFCED615}"/>
              </a:ext>
            </a:extLst>
          </xdr:cNvPr>
          <xdr:cNvSpPr/>
        </xdr:nvSpPr>
        <xdr:spPr>
          <a:xfrm>
            <a:off x="5149807" y="1054431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4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</xdr:grpSp>
    <xdr:clientData/>
  </xdr:twoCellAnchor>
  <xdr:oneCellAnchor>
    <xdr:from>
      <xdr:col>7</xdr:col>
      <xdr:colOff>2537548</xdr:colOff>
      <xdr:row>42</xdr:row>
      <xdr:rowOff>167510</xdr:rowOff>
    </xdr:from>
    <xdr:ext cx="2503615" cy="913938"/>
    <xdr:pic>
      <xdr:nvPicPr>
        <xdr:cNvPr id="14" name="圖片 13">
          <a:extLst>
            <a:ext uri="{FF2B5EF4-FFF2-40B4-BE49-F238E27FC236}">
              <a16:creationId xmlns:a16="http://schemas.microsoft.com/office/drawing/2014/main" id="{9A1562F5-B4BD-4B23-9EBB-8184EBC36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27" t="5838" r="3740" b="5097"/>
        <a:stretch/>
      </xdr:blipFill>
      <xdr:spPr>
        <a:xfrm>
          <a:off x="10367098" y="8568560"/>
          <a:ext cx="2503615" cy="913938"/>
        </a:xfrm>
        <a:prstGeom prst="roundRect">
          <a:avLst>
            <a:gd name="adj" fmla="val 3859"/>
          </a:avLst>
        </a:prstGeom>
        <a:ln>
          <a:solidFill>
            <a:srgbClr val="FF0000"/>
          </a:solidFill>
        </a:ln>
      </xdr:spPr>
    </xdr:pic>
    <xdr:clientData/>
  </xdr:oneCellAnchor>
  <xdr:twoCellAnchor>
    <xdr:from>
      <xdr:col>7</xdr:col>
      <xdr:colOff>59957</xdr:colOff>
      <xdr:row>55</xdr:row>
      <xdr:rowOff>5</xdr:rowOff>
    </xdr:from>
    <xdr:to>
      <xdr:col>8</xdr:col>
      <xdr:colOff>75017</xdr:colOff>
      <xdr:row>60</xdr:row>
      <xdr:rowOff>134966</xdr:rowOff>
    </xdr:to>
    <xdr:grpSp>
      <xdr:nvGrpSpPr>
        <xdr:cNvPr id="15" name="群組 14">
          <a:extLst>
            <a:ext uri="{FF2B5EF4-FFF2-40B4-BE49-F238E27FC236}">
              <a16:creationId xmlns:a16="http://schemas.microsoft.com/office/drawing/2014/main" id="{63463D92-6F44-4968-BFAE-A7BDB0A4904C}"/>
            </a:ext>
          </a:extLst>
        </xdr:cNvPr>
        <xdr:cNvGrpSpPr/>
      </xdr:nvGrpSpPr>
      <xdr:grpSpPr>
        <a:xfrm>
          <a:off x="6815380" y="8770332"/>
          <a:ext cx="5590849" cy="1124096"/>
          <a:chOff x="6749438" y="8513885"/>
          <a:chExt cx="5590863" cy="1123987"/>
        </a:xfrm>
      </xdr:grpSpPr>
      <xdr:pic>
        <xdr:nvPicPr>
          <xdr:cNvPr id="16" name="圖片 15">
            <a:extLst>
              <a:ext uri="{FF2B5EF4-FFF2-40B4-BE49-F238E27FC236}">
                <a16:creationId xmlns:a16="http://schemas.microsoft.com/office/drawing/2014/main" id="{52875A92-17CD-D1BB-4561-E9ACA0AF3D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49438" y="8594481"/>
            <a:ext cx="5543871" cy="1018443"/>
          </a:xfrm>
          <a:prstGeom prst="rect">
            <a:avLst/>
          </a:prstGeom>
          <a:ln>
            <a:solidFill>
              <a:srgbClr val="0000FF"/>
            </a:solidFill>
          </a:ln>
        </xdr:spPr>
      </xdr:pic>
      <xdr:sp macro="" textlink="">
        <xdr:nvSpPr>
          <xdr:cNvPr id="17" name="橢圓 16">
            <a:extLst>
              <a:ext uri="{FF2B5EF4-FFF2-40B4-BE49-F238E27FC236}">
                <a16:creationId xmlns:a16="http://schemas.microsoft.com/office/drawing/2014/main" id="{292BF4CE-E644-9C11-31D3-AF6281AFC969}"/>
              </a:ext>
            </a:extLst>
          </xdr:cNvPr>
          <xdr:cNvSpPr/>
        </xdr:nvSpPr>
        <xdr:spPr>
          <a:xfrm>
            <a:off x="9684470" y="8755827"/>
            <a:ext cx="196032" cy="19255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18" name="矩形: 圓角 17">
            <a:extLst>
              <a:ext uri="{FF2B5EF4-FFF2-40B4-BE49-F238E27FC236}">
                <a16:creationId xmlns:a16="http://schemas.microsoft.com/office/drawing/2014/main" id="{E5F41EA8-196D-D4C4-09D2-67F4C2C388EE}"/>
              </a:ext>
            </a:extLst>
          </xdr:cNvPr>
          <xdr:cNvSpPr/>
        </xdr:nvSpPr>
        <xdr:spPr>
          <a:xfrm>
            <a:off x="9488364" y="8513885"/>
            <a:ext cx="307068" cy="397672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5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19" name="矩形: 圓角 18">
            <a:extLst>
              <a:ext uri="{FF2B5EF4-FFF2-40B4-BE49-F238E27FC236}">
                <a16:creationId xmlns:a16="http://schemas.microsoft.com/office/drawing/2014/main" id="{AE40099C-2C8E-EC1B-5A90-68710F200562}"/>
              </a:ext>
            </a:extLst>
          </xdr:cNvPr>
          <xdr:cNvSpPr/>
        </xdr:nvSpPr>
        <xdr:spPr>
          <a:xfrm>
            <a:off x="11460192" y="9239599"/>
            <a:ext cx="880109" cy="398273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8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同圖一</a:t>
            </a:r>
          </a:p>
        </xdr:txBody>
      </xdr:sp>
    </xdr:grpSp>
    <xdr:clientData/>
  </xdr:twoCellAnchor>
  <xdr:twoCellAnchor>
    <xdr:from>
      <xdr:col>3</xdr:col>
      <xdr:colOff>342575</xdr:colOff>
      <xdr:row>43</xdr:row>
      <xdr:rowOff>45140</xdr:rowOff>
    </xdr:from>
    <xdr:to>
      <xdr:col>4</xdr:col>
      <xdr:colOff>193686</xdr:colOff>
      <xdr:row>52</xdr:row>
      <xdr:rowOff>57599</xdr:rowOff>
    </xdr:to>
    <xdr:grpSp>
      <xdr:nvGrpSpPr>
        <xdr:cNvPr id="20" name="群組 19">
          <a:extLst>
            <a:ext uri="{FF2B5EF4-FFF2-40B4-BE49-F238E27FC236}">
              <a16:creationId xmlns:a16="http://schemas.microsoft.com/office/drawing/2014/main" id="{2D555F98-CFB4-44A5-9E68-B92086348646}"/>
            </a:ext>
          </a:extLst>
        </xdr:cNvPr>
        <xdr:cNvGrpSpPr/>
      </xdr:nvGrpSpPr>
      <xdr:grpSpPr>
        <a:xfrm>
          <a:off x="2218267" y="6441544"/>
          <a:ext cx="2173746" cy="1792901"/>
          <a:chOff x="2221299" y="6476157"/>
          <a:chExt cx="2176525" cy="1786080"/>
        </a:xfrm>
      </xdr:grpSpPr>
      <xdr:pic>
        <xdr:nvPicPr>
          <xdr:cNvPr id="21" name="圖片 20">
            <a:extLst>
              <a:ext uri="{FF2B5EF4-FFF2-40B4-BE49-F238E27FC236}">
                <a16:creationId xmlns:a16="http://schemas.microsoft.com/office/drawing/2014/main" id="{CBA71B29-BBA0-F3CA-E0C2-A8487569AA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221299" y="6476157"/>
            <a:ext cx="2176525" cy="1786080"/>
          </a:xfrm>
          <a:prstGeom prst="rect">
            <a:avLst/>
          </a:prstGeom>
        </xdr:spPr>
      </xdr:pic>
      <xdr:sp macro="" textlink="">
        <xdr:nvSpPr>
          <xdr:cNvPr id="22" name="矩形: 圓角 21">
            <a:extLst>
              <a:ext uri="{FF2B5EF4-FFF2-40B4-BE49-F238E27FC236}">
                <a16:creationId xmlns:a16="http://schemas.microsoft.com/office/drawing/2014/main" id="{555750E2-CFDF-55DF-C5C4-A2B8C48DD349}"/>
              </a:ext>
            </a:extLst>
          </xdr:cNvPr>
          <xdr:cNvSpPr/>
        </xdr:nvSpPr>
        <xdr:spPr>
          <a:xfrm>
            <a:off x="2420846" y="7084961"/>
            <a:ext cx="1770154" cy="298556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23" name="矩形: 圓角 22">
            <a:extLst>
              <a:ext uri="{FF2B5EF4-FFF2-40B4-BE49-F238E27FC236}">
                <a16:creationId xmlns:a16="http://schemas.microsoft.com/office/drawing/2014/main" id="{3D60DED6-2E68-602B-902B-164EF66D1D29}"/>
              </a:ext>
            </a:extLst>
          </xdr:cNvPr>
          <xdr:cNvSpPr/>
        </xdr:nvSpPr>
        <xdr:spPr>
          <a:xfrm>
            <a:off x="2627586" y="7068207"/>
            <a:ext cx="1626599" cy="332031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zh-TW" altLang="en-US" sz="14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固定為自己的名稱</a:t>
            </a:r>
          </a:p>
        </xdr:txBody>
      </xdr:sp>
      <xdr:sp macro="" textlink="">
        <xdr:nvSpPr>
          <xdr:cNvPr id="24" name="矩形: 圓角 23">
            <a:extLst>
              <a:ext uri="{FF2B5EF4-FFF2-40B4-BE49-F238E27FC236}">
                <a16:creationId xmlns:a16="http://schemas.microsoft.com/office/drawing/2014/main" id="{C7D07CAE-FD16-7C38-D113-7AC7B6B2E33F}"/>
              </a:ext>
            </a:extLst>
          </xdr:cNvPr>
          <xdr:cNvSpPr/>
        </xdr:nvSpPr>
        <xdr:spPr>
          <a:xfrm>
            <a:off x="2420846" y="7452823"/>
            <a:ext cx="1770154" cy="298556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25" name="矩形: 圓角 24">
            <a:extLst>
              <a:ext uri="{FF2B5EF4-FFF2-40B4-BE49-F238E27FC236}">
                <a16:creationId xmlns:a16="http://schemas.microsoft.com/office/drawing/2014/main" id="{EC88986F-97E5-5AFC-C19C-1F2906394885}"/>
              </a:ext>
            </a:extLst>
          </xdr:cNvPr>
          <xdr:cNvSpPr/>
        </xdr:nvSpPr>
        <xdr:spPr>
          <a:xfrm>
            <a:off x="2978619" y="7436068"/>
            <a:ext cx="1266116" cy="332031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zh-TW" altLang="en-US" sz="14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需三個月更新</a:t>
            </a:r>
          </a:p>
        </xdr:txBody>
      </xdr:sp>
    </xdr:grpSp>
    <xdr:clientData/>
  </xdr:twoCellAnchor>
  <xdr:twoCellAnchor>
    <xdr:from>
      <xdr:col>2</xdr:col>
      <xdr:colOff>0</xdr:colOff>
      <xdr:row>86</xdr:row>
      <xdr:rowOff>98535</xdr:rowOff>
    </xdr:from>
    <xdr:to>
      <xdr:col>4</xdr:col>
      <xdr:colOff>1128800</xdr:colOff>
      <xdr:row>94</xdr:row>
      <xdr:rowOff>77310</xdr:rowOff>
    </xdr:to>
    <xdr:grpSp>
      <xdr:nvGrpSpPr>
        <xdr:cNvPr id="26" name="群組 25">
          <a:extLst>
            <a:ext uri="{FF2B5EF4-FFF2-40B4-BE49-F238E27FC236}">
              <a16:creationId xmlns:a16="http://schemas.microsoft.com/office/drawing/2014/main" id="{FB99A12D-B850-4CBC-B599-EBC9339ECACA}"/>
            </a:ext>
          </a:extLst>
        </xdr:cNvPr>
        <xdr:cNvGrpSpPr/>
      </xdr:nvGrpSpPr>
      <xdr:grpSpPr>
        <a:xfrm>
          <a:off x="923192" y="14950208"/>
          <a:ext cx="4403935" cy="1561390"/>
          <a:chOff x="1875692" y="19401693"/>
          <a:chExt cx="5971443" cy="2113570"/>
        </a:xfrm>
      </xdr:grpSpPr>
      <xdr:pic>
        <xdr:nvPicPr>
          <xdr:cNvPr id="27" name="圖片 26">
            <a:extLst>
              <a:ext uri="{FF2B5EF4-FFF2-40B4-BE49-F238E27FC236}">
                <a16:creationId xmlns:a16="http://schemas.microsoft.com/office/drawing/2014/main" id="{1673188D-8645-59A6-D0B8-EBB8565244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875692" y="19401693"/>
            <a:ext cx="5971443" cy="2113570"/>
          </a:xfrm>
          <a:prstGeom prst="roundRect">
            <a:avLst>
              <a:gd name="adj" fmla="val 5400"/>
            </a:avLst>
          </a:prstGeom>
          <a:ln>
            <a:solidFill>
              <a:schemeClr val="tx1"/>
            </a:solidFill>
          </a:ln>
        </xdr:spPr>
      </xdr:pic>
      <xdr:sp macro="" textlink="">
        <xdr:nvSpPr>
          <xdr:cNvPr id="28" name="矩形: 圓角 27">
            <a:extLst>
              <a:ext uri="{FF2B5EF4-FFF2-40B4-BE49-F238E27FC236}">
                <a16:creationId xmlns:a16="http://schemas.microsoft.com/office/drawing/2014/main" id="{E1D80858-288E-2208-AAED-4B5713F1D884}"/>
              </a:ext>
            </a:extLst>
          </xdr:cNvPr>
          <xdr:cNvSpPr/>
        </xdr:nvSpPr>
        <xdr:spPr>
          <a:xfrm>
            <a:off x="2007623" y="21218912"/>
            <a:ext cx="3846635" cy="278423"/>
          </a:xfrm>
          <a:prstGeom prst="round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29" name="矩形 28">
            <a:extLst>
              <a:ext uri="{FF2B5EF4-FFF2-40B4-BE49-F238E27FC236}">
                <a16:creationId xmlns:a16="http://schemas.microsoft.com/office/drawing/2014/main" id="{D675E658-637A-4BDE-56CA-C4C5924AD582}"/>
              </a:ext>
            </a:extLst>
          </xdr:cNvPr>
          <xdr:cNvSpPr/>
        </xdr:nvSpPr>
        <xdr:spPr>
          <a:xfrm>
            <a:off x="4485405" y="19655687"/>
            <a:ext cx="877758" cy="53144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8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圖二</a:t>
            </a:r>
          </a:p>
        </xdr:txBody>
      </xdr:sp>
    </xdr:grpSp>
    <xdr:clientData/>
  </xdr:twoCellAnchor>
  <xdr:twoCellAnchor>
    <xdr:from>
      <xdr:col>2</xdr:col>
      <xdr:colOff>15570</xdr:colOff>
      <xdr:row>97</xdr:row>
      <xdr:rowOff>94336</xdr:rowOff>
    </xdr:from>
    <xdr:to>
      <xdr:col>7</xdr:col>
      <xdr:colOff>863203</xdr:colOff>
      <xdr:row>107</xdr:row>
      <xdr:rowOff>51410</xdr:rowOff>
    </xdr:to>
    <xdr:grpSp>
      <xdr:nvGrpSpPr>
        <xdr:cNvPr id="30" name="群組 29">
          <a:extLst>
            <a:ext uri="{FF2B5EF4-FFF2-40B4-BE49-F238E27FC236}">
              <a16:creationId xmlns:a16="http://schemas.microsoft.com/office/drawing/2014/main" id="{0ED3E9F4-EC41-4CA3-9B19-B299201FCD12}"/>
            </a:ext>
          </a:extLst>
        </xdr:cNvPr>
        <xdr:cNvGrpSpPr/>
      </xdr:nvGrpSpPr>
      <xdr:grpSpPr>
        <a:xfrm>
          <a:off x="938762" y="17122105"/>
          <a:ext cx="6679864" cy="1935343"/>
          <a:chOff x="2118910" y="19424568"/>
          <a:chExt cx="7806725" cy="2288500"/>
        </a:xfrm>
      </xdr:grpSpPr>
      <xdr:pic>
        <xdr:nvPicPr>
          <xdr:cNvPr id="31" name="圖片 30">
            <a:extLst>
              <a:ext uri="{FF2B5EF4-FFF2-40B4-BE49-F238E27FC236}">
                <a16:creationId xmlns:a16="http://schemas.microsoft.com/office/drawing/2014/main" id="{5F687595-E489-21CD-7114-4BC46BB96D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118910" y="19424568"/>
            <a:ext cx="7806725" cy="2261422"/>
          </a:xfrm>
          <a:prstGeom prst="rect">
            <a:avLst/>
          </a:prstGeom>
        </xdr:spPr>
      </xdr:pic>
      <xdr:sp macro="" textlink="">
        <xdr:nvSpPr>
          <xdr:cNvPr id="32" name="矩形: 圓角 31">
            <a:extLst>
              <a:ext uri="{FF2B5EF4-FFF2-40B4-BE49-F238E27FC236}">
                <a16:creationId xmlns:a16="http://schemas.microsoft.com/office/drawing/2014/main" id="{4F346F1E-4A5F-2BED-EF19-28F82EBBA124}"/>
              </a:ext>
            </a:extLst>
          </xdr:cNvPr>
          <xdr:cNvSpPr/>
        </xdr:nvSpPr>
        <xdr:spPr>
          <a:xfrm>
            <a:off x="3283892" y="21435182"/>
            <a:ext cx="754673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33" name="矩形: 圓角 32">
            <a:extLst>
              <a:ext uri="{FF2B5EF4-FFF2-40B4-BE49-F238E27FC236}">
                <a16:creationId xmlns:a16="http://schemas.microsoft.com/office/drawing/2014/main" id="{309255B2-C987-C0B0-5BB2-204F775BEC02}"/>
              </a:ext>
            </a:extLst>
          </xdr:cNvPr>
          <xdr:cNvSpPr/>
        </xdr:nvSpPr>
        <xdr:spPr>
          <a:xfrm>
            <a:off x="4698524" y="21435182"/>
            <a:ext cx="3832159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34" name="矩形: 圓角 33">
            <a:extLst>
              <a:ext uri="{FF2B5EF4-FFF2-40B4-BE49-F238E27FC236}">
                <a16:creationId xmlns:a16="http://schemas.microsoft.com/office/drawing/2014/main" id="{BE5D66AD-C655-E8FC-7A7F-E2C8709F60B8}"/>
              </a:ext>
            </a:extLst>
          </xdr:cNvPr>
          <xdr:cNvSpPr/>
        </xdr:nvSpPr>
        <xdr:spPr>
          <a:xfrm>
            <a:off x="4698524" y="21579218"/>
            <a:ext cx="3832159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35" name="矩形: 圓角 34">
            <a:extLst>
              <a:ext uri="{FF2B5EF4-FFF2-40B4-BE49-F238E27FC236}">
                <a16:creationId xmlns:a16="http://schemas.microsoft.com/office/drawing/2014/main" id="{E1AA9F8E-6BCA-FB02-2368-A753710EEFE3}"/>
              </a:ext>
            </a:extLst>
          </xdr:cNvPr>
          <xdr:cNvSpPr/>
        </xdr:nvSpPr>
        <xdr:spPr>
          <a:xfrm>
            <a:off x="3283892" y="21579218"/>
            <a:ext cx="754673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36" name="矩形 35">
            <a:extLst>
              <a:ext uri="{FF2B5EF4-FFF2-40B4-BE49-F238E27FC236}">
                <a16:creationId xmlns:a16="http://schemas.microsoft.com/office/drawing/2014/main" id="{652546F4-AD65-CBF3-1929-2D789368037A}"/>
              </a:ext>
            </a:extLst>
          </xdr:cNvPr>
          <xdr:cNvSpPr/>
        </xdr:nvSpPr>
        <xdr:spPr>
          <a:xfrm>
            <a:off x="2576549" y="19692685"/>
            <a:ext cx="636819" cy="37987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4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圖三</a:t>
            </a:r>
          </a:p>
        </xdr:txBody>
      </xdr:sp>
    </xdr:grpSp>
    <xdr:clientData/>
  </xdr:twoCellAnchor>
  <xdr:twoCellAnchor>
    <xdr:from>
      <xdr:col>4</xdr:col>
      <xdr:colOff>611734</xdr:colOff>
      <xdr:row>97</xdr:row>
      <xdr:rowOff>46469</xdr:rowOff>
    </xdr:from>
    <xdr:to>
      <xdr:col>7</xdr:col>
      <xdr:colOff>5377929</xdr:colOff>
      <xdr:row>105</xdr:row>
      <xdr:rowOff>172334</xdr:rowOff>
    </xdr:to>
    <xdr:grpSp>
      <xdr:nvGrpSpPr>
        <xdr:cNvPr id="37" name="群組 36">
          <a:extLst>
            <a:ext uri="{FF2B5EF4-FFF2-40B4-BE49-F238E27FC236}">
              <a16:creationId xmlns:a16="http://schemas.microsoft.com/office/drawing/2014/main" id="{A77755C6-6509-46CF-A4AB-E6D40C84A72D}"/>
            </a:ext>
          </a:extLst>
        </xdr:cNvPr>
        <xdr:cNvGrpSpPr/>
      </xdr:nvGrpSpPr>
      <xdr:grpSpPr>
        <a:xfrm>
          <a:off x="4810061" y="17074238"/>
          <a:ext cx="7323291" cy="1708481"/>
          <a:chOff x="924622" y="17366144"/>
          <a:chExt cx="8529721" cy="2008505"/>
        </a:xfrm>
      </xdr:grpSpPr>
      <xdr:pic>
        <xdr:nvPicPr>
          <xdr:cNvPr id="38" name="圖片 37">
            <a:extLst>
              <a:ext uri="{FF2B5EF4-FFF2-40B4-BE49-F238E27FC236}">
                <a16:creationId xmlns:a16="http://schemas.microsoft.com/office/drawing/2014/main" id="{F243F1AE-4845-6085-2C08-5F8F2C141F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924622" y="17397332"/>
            <a:ext cx="8529721" cy="1977317"/>
          </a:xfrm>
          <a:prstGeom prst="rect">
            <a:avLst/>
          </a:prstGeom>
        </xdr:spPr>
      </xdr:pic>
      <xdr:sp macro="" textlink="">
        <xdr:nvSpPr>
          <xdr:cNvPr id="39" name="矩形: 圓角 38">
            <a:extLst>
              <a:ext uri="{FF2B5EF4-FFF2-40B4-BE49-F238E27FC236}">
                <a16:creationId xmlns:a16="http://schemas.microsoft.com/office/drawing/2014/main" id="{32515EED-7280-B8C2-9695-98F0D515C8CF}"/>
              </a:ext>
            </a:extLst>
          </xdr:cNvPr>
          <xdr:cNvSpPr/>
        </xdr:nvSpPr>
        <xdr:spPr>
          <a:xfrm>
            <a:off x="1118697" y="18675254"/>
            <a:ext cx="651560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40" name="矩形: 圓角 39">
            <a:extLst>
              <a:ext uri="{FF2B5EF4-FFF2-40B4-BE49-F238E27FC236}">
                <a16:creationId xmlns:a16="http://schemas.microsoft.com/office/drawing/2014/main" id="{950850D7-26E2-674E-9636-ECDAE618BD11}"/>
              </a:ext>
            </a:extLst>
          </xdr:cNvPr>
          <xdr:cNvSpPr/>
        </xdr:nvSpPr>
        <xdr:spPr>
          <a:xfrm>
            <a:off x="1794560" y="18675255"/>
            <a:ext cx="4366489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41" name="矩形: 圓角 40">
            <a:extLst>
              <a:ext uri="{FF2B5EF4-FFF2-40B4-BE49-F238E27FC236}">
                <a16:creationId xmlns:a16="http://schemas.microsoft.com/office/drawing/2014/main" id="{F2513F42-F70F-C1A0-B70A-E7AFF01A5520}"/>
              </a:ext>
            </a:extLst>
          </xdr:cNvPr>
          <xdr:cNvSpPr/>
        </xdr:nvSpPr>
        <xdr:spPr>
          <a:xfrm>
            <a:off x="1785267" y="19130595"/>
            <a:ext cx="4375782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42" name="矩形: 圓角 41">
            <a:extLst>
              <a:ext uri="{FF2B5EF4-FFF2-40B4-BE49-F238E27FC236}">
                <a16:creationId xmlns:a16="http://schemas.microsoft.com/office/drawing/2014/main" id="{1CE8B233-D7DB-E3EF-BE50-416A35BB4732}"/>
              </a:ext>
            </a:extLst>
          </xdr:cNvPr>
          <xdr:cNvSpPr/>
        </xdr:nvSpPr>
        <xdr:spPr>
          <a:xfrm>
            <a:off x="1118696" y="19125949"/>
            <a:ext cx="632975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43" name="矩形 42">
            <a:extLst>
              <a:ext uri="{FF2B5EF4-FFF2-40B4-BE49-F238E27FC236}">
                <a16:creationId xmlns:a16="http://schemas.microsoft.com/office/drawing/2014/main" id="{BB5DEF06-B9B8-C18A-611D-22C201A6F377}"/>
              </a:ext>
            </a:extLst>
          </xdr:cNvPr>
          <xdr:cNvSpPr/>
        </xdr:nvSpPr>
        <xdr:spPr>
          <a:xfrm>
            <a:off x="2634749" y="17366144"/>
            <a:ext cx="635338" cy="376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4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圖四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5</xdr:col>
      <xdr:colOff>0</xdr:colOff>
      <xdr:row>79</xdr:row>
      <xdr:rowOff>161925</xdr:rowOff>
    </xdr:to>
    <xdr:grpSp>
      <xdr:nvGrpSpPr>
        <xdr:cNvPr id="4" name="群組 3">
          <a:extLst>
            <a:ext uri="{FF2B5EF4-FFF2-40B4-BE49-F238E27FC236}">
              <a16:creationId xmlns:a16="http://schemas.microsoft.com/office/drawing/2014/main" id="{55E3C21C-31C0-C77B-51DE-CA59C31D9A43}"/>
            </a:ext>
          </a:extLst>
        </xdr:cNvPr>
        <xdr:cNvGrpSpPr/>
      </xdr:nvGrpSpPr>
      <xdr:grpSpPr>
        <a:xfrm>
          <a:off x="95250" y="9210675"/>
          <a:ext cx="8820150" cy="7172325"/>
          <a:chOff x="95250" y="9210675"/>
          <a:chExt cx="8820150" cy="7162800"/>
        </a:xfrm>
      </xdr:grpSpPr>
      <xdr:pic>
        <xdr:nvPicPr>
          <xdr:cNvPr id="2" name="圖片 1">
            <a:extLst>
              <a:ext uri="{FF2B5EF4-FFF2-40B4-BE49-F238E27FC236}">
                <a16:creationId xmlns:a16="http://schemas.microsoft.com/office/drawing/2014/main" id="{F4F72755-F3AD-3356-7EEB-7EC922DDA60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250" y="9210675"/>
            <a:ext cx="8820150" cy="7162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" name="矩形: 圓角 2">
            <a:extLst>
              <a:ext uri="{FF2B5EF4-FFF2-40B4-BE49-F238E27FC236}">
                <a16:creationId xmlns:a16="http://schemas.microsoft.com/office/drawing/2014/main" id="{07A3022B-E4B7-F4D7-704A-41709C6802AF}"/>
              </a:ext>
            </a:extLst>
          </xdr:cNvPr>
          <xdr:cNvSpPr/>
        </xdr:nvSpPr>
        <xdr:spPr>
          <a:xfrm>
            <a:off x="95250" y="10353675"/>
            <a:ext cx="8810625" cy="990600"/>
          </a:xfrm>
          <a:prstGeom prst="roundRect">
            <a:avLst>
              <a:gd name="adj" fmla="val 6090"/>
            </a:avLst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 kern="1200"/>
          </a:p>
        </xdr:txBody>
      </xdr:sp>
    </xdr:grpSp>
    <xdr:clientData/>
  </xdr:twoCellAnchor>
  <xdr:twoCellAnchor>
    <xdr:from>
      <xdr:col>5</xdr:col>
      <xdr:colOff>171450</xdr:colOff>
      <xdr:row>50</xdr:row>
      <xdr:rowOff>180975</xdr:rowOff>
    </xdr:from>
    <xdr:to>
      <xdr:col>5</xdr:col>
      <xdr:colOff>571500</xdr:colOff>
      <xdr:row>53</xdr:row>
      <xdr:rowOff>38100</xdr:rowOff>
    </xdr:to>
    <xdr:sp macro="" textlink="">
      <xdr:nvSpPr>
        <xdr:cNvPr id="5" name="箭號: 向右 4">
          <a:extLst>
            <a:ext uri="{FF2B5EF4-FFF2-40B4-BE49-F238E27FC236}">
              <a16:creationId xmlns:a16="http://schemas.microsoft.com/office/drawing/2014/main" id="{C1378F23-F57D-AE4A-2DA5-2E92F2F31668}"/>
            </a:ext>
          </a:extLst>
        </xdr:cNvPr>
        <xdr:cNvSpPr/>
      </xdr:nvSpPr>
      <xdr:spPr>
        <a:xfrm>
          <a:off x="9086850" y="10591800"/>
          <a:ext cx="400050" cy="457200"/>
        </a:xfrm>
        <a:prstGeom prst="rightArrow">
          <a:avLst>
            <a:gd name="adj1" fmla="val 50000"/>
            <a:gd name="adj2" fmla="val 619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29</xdr:col>
      <xdr:colOff>0</xdr:colOff>
      <xdr:row>53</xdr:row>
      <xdr:rowOff>11206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F225E5C-5B83-444D-BEB1-43FA4C474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28</xdr:col>
      <xdr:colOff>19050</xdr:colOff>
      <xdr:row>79</xdr:row>
      <xdr:rowOff>163606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CFF77297-AE49-4431-A8EE-A05BDC3C4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006023796804/WOPIServiceId_TP_BOX_2/WOPIUserId_-/&#25945;&#32946;&#36628;&#23566;&#38928;&#23450;&#34920;(&#21547;&#23416;&#21729;&#21517;&#21934;)-&#27770;&#23450;&#29256;.xlsx" TargetMode="External"/><Relationship Id="rId1" Type="http://schemas.openxmlformats.org/officeDocument/2006/relationships/externalLinkPath" Target="https://api.box.com/wopi/files/2006023796804/WOPIServiceId_TP_BOX_2/WOPIUserId_-/&#25945;&#32946;&#36628;&#23566;&#38928;&#23450;&#34920;(&#21547;&#23416;&#21729;&#21517;&#21934;)-&#27770;&#23450;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gcgp-display/Work/Minh/Luong/Luong%202004/Ngaycong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gcgp-display/Documents%20and%20Settings/liu.lin/Local%20Settings/Temporary%20Internet%20Files/OLK132/2008DCK_CNTRS%20-%20Chinese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161021950852/WOPIServiceId_TP_BOX_2/WOPIUserId_-/&#36914;&#38542;&#25945;&#32946;&#26085;&#31243;&#38928;&#23450;&#34920;.xlsx" TargetMode="External"/><Relationship Id="rId1" Type="http://schemas.openxmlformats.org/officeDocument/2006/relationships/externalLinkPath" Target="https://api.box.com/wopi/files/2161021950852/WOPIServiceId_TP_BOX_2/WOPIUserId_-/&#36914;&#38542;&#25945;&#32946;&#26085;&#31243;&#38928;&#23450;&#34920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249425345847/WOPIServiceId_TP_BOX_2/WOPIUserId_-/UiPath&#36914;&#38542;&#35506;&#31243;_&#20491;&#20154;&#35506;&#38988;_&#29983;&#29986;&#25512;&#36914;&#35506;_&#38515;&#20426;&#30889;.xlsx" TargetMode="External"/><Relationship Id="rId1" Type="http://schemas.openxmlformats.org/officeDocument/2006/relationships/externalLinkPath" Target="https://api.box.com/wopi/files/2249425345847/WOPIServiceId_TP_BOX_2/WOPIUserId_-/UiPath&#36914;&#38542;&#35506;&#31243;_&#20491;&#20154;&#35506;&#38988;_&#29983;&#29986;&#25512;&#36914;&#35506;_&#38515;&#20426;&#30889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163310549229/WOPIServiceId_TP_BOX_2/WOPIUserId_-/&#20491;&#20154;&#35506;&#38988;&#24409;&#25972;&#34920;_&#29983;&#29986;&#25512;&#36914;&#35506;_&#38515;&#20426;&#30889;.xlsx" TargetMode="External"/><Relationship Id="rId1" Type="http://schemas.openxmlformats.org/officeDocument/2006/relationships/externalLinkPath" Target="https://api.box.com/wopi/files/2163310549229/WOPIServiceId_TP_BOX_2/WOPIUserId_-/&#20491;&#20154;&#35506;&#38988;&#24409;&#25972;&#34920;_&#29983;&#29986;&#25512;&#36914;&#35506;_&#38515;&#20426;&#30889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unshuo.chen\Desktop\&#20491;&#20154;&#36039;&#26009;&#22846;\&#9675;%202026&#24180;&#24230;%20&#9675;\01_&#27243;&#23637;&#38283;&#36914;&#24230;&#31649;&#29702;_&#26126;&#24314;&#20381;&#36084;\2026_Cold_&#30064;&#24120;&#27243;&#23637;&#38283;&#36914;&#24230;&#31649;&#29702;_ver.0.xlsx" TargetMode="External"/><Relationship Id="rId1" Type="http://schemas.openxmlformats.org/officeDocument/2006/relationships/externalLinkPath" Target="/Users/chunshuo.chen/Desktop/&#20491;&#20154;&#36039;&#26009;&#22846;/&#9675;%202026&#24180;&#24230;%20&#9675;/01_&#27243;&#23637;&#38283;&#36914;&#24230;&#31649;&#29702;_&#26126;&#24314;&#20381;&#36084;/2026_Cold_&#30064;&#24120;&#27243;&#23637;&#38283;&#36914;&#24230;&#31649;&#29702;_ver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教育輔導日期預定表"/>
      <sheetName val="教育輔導日期預定表 (填寫範例)"/>
      <sheetName val="學員名單(含旁聽人員)"/>
      <sheetName val="2024課題輔導時間表"/>
      <sheetName val="工作表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.I"/>
      <sheetName val="ngaycong SG"/>
      <sheetName val="q.II"/>
      <sheetName val="q.III "/>
      <sheetName val="q.IV"/>
      <sheetName val="chuyen ngan hang"/>
      <sheetName val="Chuyen ngan hang VP"/>
      <sheetName val="Tong hop"/>
      <sheetName val="FACTORY"/>
      <sheetName val="the Nha may"/>
      <sheetName val="ABC"/>
      <sheetName val="Basic"/>
      <sheetName val="Branch"/>
      <sheetName val="the SG-HN"/>
      <sheetName val="CAMBODIA"/>
      <sheetName val="The Campuchia"/>
      <sheetName val="Sheet1"/>
      <sheetName val="By Qtr 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P7" t="str">
            <v>A</v>
          </cell>
          <cell r="Q7">
            <v>1</v>
          </cell>
        </row>
        <row r="8">
          <cell r="P8" t="str">
            <v>B</v>
          </cell>
          <cell r="Q8">
            <v>0.7</v>
          </cell>
        </row>
        <row r="10">
          <cell r="P10" t="str">
            <v>C</v>
          </cell>
          <cell r="Q10">
            <v>0.5</v>
          </cell>
        </row>
        <row r="11">
          <cell r="P11" t="str">
            <v>D</v>
          </cell>
          <cell r="Q11">
            <v>0.3</v>
          </cell>
        </row>
        <row r="12">
          <cell r="P12" t="str">
            <v>E</v>
          </cell>
          <cell r="Q12">
            <v>0</v>
          </cell>
        </row>
      </sheetData>
      <sheetData sheetId="10">
        <row r="1">
          <cell r="A1" t="str">
            <v>Name</v>
          </cell>
          <cell r="C1" t="str">
            <v>Section</v>
          </cell>
          <cell r="D1" t="str">
            <v>Pers</v>
          </cell>
        </row>
        <row r="2">
          <cell r="A2" t="str">
            <v>Nguyeãn Hoàng Minh</v>
          </cell>
          <cell r="B2" t="str">
            <v>Personnel &amp; General Affair Dept</v>
          </cell>
          <cell r="C2" t="str">
            <v>C</v>
          </cell>
          <cell r="D2" t="str">
            <v>C</v>
          </cell>
        </row>
        <row r="3">
          <cell r="A3" t="str">
            <v>Leâ Hoàng Phuùc</v>
          </cell>
          <cell r="B3" t="str">
            <v>Personnel &amp; General Affair Dept</v>
          </cell>
          <cell r="C3" t="str">
            <v>C</v>
          </cell>
          <cell r="D3" t="str">
            <v>D</v>
          </cell>
        </row>
        <row r="4">
          <cell r="A4" t="str">
            <v>Phaïm Coâng Taøi</v>
          </cell>
          <cell r="B4" t="str">
            <v>Accounting</v>
          </cell>
          <cell r="C4" t="str">
            <v>C</v>
          </cell>
          <cell r="D4" t="str">
            <v>C</v>
          </cell>
        </row>
        <row r="5">
          <cell r="A5" t="str">
            <v>Voõ Minh Duy</v>
          </cell>
          <cell r="B5" t="str">
            <v>Production Control</v>
          </cell>
          <cell r="C5" t="str">
            <v>C</v>
          </cell>
          <cell r="D5" t="str">
            <v>B</v>
          </cell>
        </row>
        <row r="6">
          <cell r="A6" t="str">
            <v>Hoaøng Thò Moäng Ñieäp</v>
          </cell>
          <cell r="B6" t="str">
            <v>QC/ISO</v>
          </cell>
          <cell r="C6" t="str">
            <v>C</v>
          </cell>
          <cell r="D6" t="str">
            <v>B</v>
          </cell>
        </row>
        <row r="7">
          <cell r="A7" t="str">
            <v>Nguyeãn Khaéc Haûi</v>
          </cell>
          <cell r="B7" t="str">
            <v>QC/ISO</v>
          </cell>
          <cell r="C7" t="str">
            <v>C</v>
          </cell>
          <cell r="D7" t="str">
            <v>B</v>
          </cell>
        </row>
        <row r="8">
          <cell r="A8" t="str">
            <v>Nguyeãn Ñaïi Myõ</v>
          </cell>
          <cell r="B8" t="str">
            <v>Production planning</v>
          </cell>
          <cell r="C8" t="str">
            <v>C</v>
          </cell>
          <cell r="D8" t="str">
            <v>C</v>
          </cell>
        </row>
        <row r="9">
          <cell r="A9" t="str">
            <v>Vuõ Anh Minh</v>
          </cell>
          <cell r="B9" t="str">
            <v>Ex- Import</v>
          </cell>
          <cell r="C9" t="str">
            <v>C</v>
          </cell>
          <cell r="D9" t="str">
            <v>D</v>
          </cell>
        </row>
        <row r="10">
          <cell r="A10" t="str">
            <v>Huyønh Cao Nguyeân</v>
          </cell>
          <cell r="B10" t="str">
            <v>Ex- Import</v>
          </cell>
          <cell r="C10" t="str">
            <v>C</v>
          </cell>
          <cell r="D10" t="str">
            <v>C</v>
          </cell>
        </row>
        <row r="11">
          <cell r="A11" t="str">
            <v>Phaïm Vaên Tuaán</v>
          </cell>
          <cell r="B11" t="str">
            <v>Weaving</v>
          </cell>
          <cell r="C11" t="str">
            <v>C</v>
          </cell>
          <cell r="D11" t="str">
            <v>D</v>
          </cell>
        </row>
        <row r="12">
          <cell r="A12" t="str">
            <v>Phaïm Quang Chieán</v>
          </cell>
          <cell r="B12" t="str">
            <v>Dyeing</v>
          </cell>
          <cell r="C12" t="str">
            <v>C</v>
          </cell>
          <cell r="D12" t="str">
            <v>C</v>
          </cell>
        </row>
        <row r="13">
          <cell r="A13" t="str">
            <v>Nguyeãn Thaønh Ñaït</v>
          </cell>
          <cell r="B13" t="str">
            <v>Dyeing</v>
          </cell>
          <cell r="C13" t="str">
            <v>C</v>
          </cell>
          <cell r="D13" t="str">
            <v>C</v>
          </cell>
        </row>
        <row r="14">
          <cell r="A14" t="str">
            <v>Nguyeãn Ñình Chung</v>
          </cell>
          <cell r="B14" t="str">
            <v>Vislon Chain</v>
          </cell>
          <cell r="C14" t="str">
            <v>C</v>
          </cell>
          <cell r="D14" t="str">
            <v>C</v>
          </cell>
        </row>
        <row r="15">
          <cell r="A15" t="str">
            <v>Phaïm Leâ Höng</v>
          </cell>
          <cell r="B15" t="str">
            <v>Painting</v>
          </cell>
          <cell r="C15" t="str">
            <v>C</v>
          </cell>
          <cell r="D15" t="str">
            <v>D</v>
          </cell>
        </row>
        <row r="16">
          <cell r="A16" t="str">
            <v>Cao Ñöùc Huaân</v>
          </cell>
          <cell r="B16" t="str">
            <v>Painting</v>
          </cell>
          <cell r="C16" t="str">
            <v>C</v>
          </cell>
          <cell r="D16" t="str">
            <v>D</v>
          </cell>
        </row>
        <row r="17">
          <cell r="A17" t="str">
            <v>Phaïm Duy Khöông</v>
          </cell>
          <cell r="B17" t="str">
            <v>Coil Chain</v>
          </cell>
          <cell r="C17" t="str">
            <v>C</v>
          </cell>
          <cell r="D17" t="str">
            <v>C</v>
          </cell>
        </row>
        <row r="18">
          <cell r="A18" t="str">
            <v>Ñoaøn Minh Phöông</v>
          </cell>
          <cell r="B18" t="str">
            <v>Maintenance</v>
          </cell>
          <cell r="C18" t="str">
            <v>C</v>
          </cell>
          <cell r="D18" t="str">
            <v>C</v>
          </cell>
        </row>
        <row r="19">
          <cell r="A19" t="str">
            <v>Nguyeãn Duy Phöông</v>
          </cell>
          <cell r="B19" t="str">
            <v>Dyeing</v>
          </cell>
          <cell r="C19" t="str">
            <v>C</v>
          </cell>
          <cell r="D19" t="str">
            <v>C</v>
          </cell>
        </row>
        <row r="20">
          <cell r="A20" t="str">
            <v>Nguyeãn Vaên Sang</v>
          </cell>
          <cell r="B20" t="str">
            <v>Metal Chain</v>
          </cell>
          <cell r="C20" t="str">
            <v>C</v>
          </cell>
          <cell r="D20" t="str">
            <v>C</v>
          </cell>
        </row>
        <row r="21">
          <cell r="A21" t="str">
            <v>Hoaøng Anh Thuaán</v>
          </cell>
          <cell r="B21" t="str">
            <v>Coil Chain</v>
          </cell>
          <cell r="C21" t="str">
            <v>C</v>
          </cell>
          <cell r="D21" t="str">
            <v>C</v>
          </cell>
        </row>
        <row r="22">
          <cell r="A22" t="str">
            <v>Hoà Hôùn Dinh</v>
          </cell>
          <cell r="B22" t="str">
            <v>Warehouse</v>
          </cell>
          <cell r="C22" t="str">
            <v>C</v>
          </cell>
          <cell r="D22" t="str">
            <v>C</v>
          </cell>
        </row>
        <row r="23">
          <cell r="A23" t="str">
            <v>Phaïm Ngoïc Nam</v>
          </cell>
          <cell r="B23" t="str">
            <v>Coil Assembling</v>
          </cell>
          <cell r="C23" t="str">
            <v>B</v>
          </cell>
          <cell r="D23" t="str">
            <v>B</v>
          </cell>
        </row>
        <row r="24">
          <cell r="A24" t="str">
            <v>Löông Vuõ Huøng</v>
          </cell>
          <cell r="B24" t="str">
            <v>Production Control</v>
          </cell>
          <cell r="C24" t="str">
            <v>C</v>
          </cell>
          <cell r="D24" t="str">
            <v>C</v>
          </cell>
        </row>
        <row r="25">
          <cell r="A25" t="str">
            <v>Hoaøng Minh Tuù</v>
          </cell>
          <cell r="B25" t="str">
            <v>Warehouse</v>
          </cell>
          <cell r="C25" t="str">
            <v>C</v>
          </cell>
          <cell r="D25" t="str">
            <v>C</v>
          </cell>
        </row>
        <row r="26">
          <cell r="A26" t="str">
            <v>Mai Hoaøng Haûi</v>
          </cell>
          <cell r="B26" t="str">
            <v>Warehouse</v>
          </cell>
          <cell r="C26" t="str">
            <v>C</v>
          </cell>
          <cell r="D26" t="str">
            <v>C</v>
          </cell>
        </row>
        <row r="27">
          <cell r="A27" t="str">
            <v>Hoà Thò Caàn</v>
          </cell>
          <cell r="B27" t="str">
            <v>CEC Assembling</v>
          </cell>
          <cell r="C27" t="str">
            <v>B</v>
          </cell>
          <cell r="D27" t="str">
            <v>C</v>
          </cell>
        </row>
        <row r="28">
          <cell r="A28" t="str">
            <v>Löông Thò Minh</v>
          </cell>
          <cell r="B28" t="str">
            <v>Personnel &amp; General Affair Dept</v>
          </cell>
          <cell r="C28" t="str">
            <v>C</v>
          </cell>
          <cell r="D28" t="str">
            <v>C</v>
          </cell>
        </row>
        <row r="29">
          <cell r="A29" t="str">
            <v>Nguyeãn Thò Yeán</v>
          </cell>
          <cell r="B29" t="str">
            <v>Personnel &amp; General Affair Dept</v>
          </cell>
          <cell r="C29" t="str">
            <v>C</v>
          </cell>
          <cell r="D29" t="str">
            <v>C</v>
          </cell>
        </row>
        <row r="30">
          <cell r="A30" t="str">
            <v>Traàn Thò Bình</v>
          </cell>
          <cell r="B30" t="str">
            <v>Metal Assembling</v>
          </cell>
          <cell r="C30" t="str">
            <v>C</v>
          </cell>
          <cell r="D30" t="str">
            <v>C</v>
          </cell>
        </row>
        <row r="31">
          <cell r="A31" t="str">
            <v>Traàn Nguyeãn Thu Boâng</v>
          </cell>
          <cell r="B31" t="str">
            <v>Production Control</v>
          </cell>
          <cell r="C31" t="str">
            <v>C</v>
          </cell>
          <cell r="D31" t="str">
            <v>C</v>
          </cell>
        </row>
        <row r="32">
          <cell r="A32" t="str">
            <v>Phan Thò Haûi Döông</v>
          </cell>
          <cell r="B32" t="str">
            <v>Dyeing</v>
          </cell>
          <cell r="C32" t="str">
            <v>C</v>
          </cell>
          <cell r="D32" t="str">
            <v>C</v>
          </cell>
        </row>
        <row r="33">
          <cell r="A33" t="str">
            <v>Nguyeãn Thò Haø</v>
          </cell>
          <cell r="B33" t="str">
            <v>GA</v>
          </cell>
          <cell r="C33" t="str">
            <v>B</v>
          </cell>
          <cell r="D33" t="str">
            <v>C</v>
          </cell>
        </row>
        <row r="34">
          <cell r="A34" t="str">
            <v>Nguyeãn Thò Thu Haèng</v>
          </cell>
          <cell r="B34" t="str">
            <v>Metal Chain</v>
          </cell>
          <cell r="C34" t="str">
            <v>C</v>
          </cell>
          <cell r="D34" t="str">
            <v>C</v>
          </cell>
        </row>
        <row r="35">
          <cell r="A35" t="str">
            <v>Mai Thò Hieân</v>
          </cell>
          <cell r="B35" t="str">
            <v>Warehouse</v>
          </cell>
          <cell r="C35" t="str">
            <v>C</v>
          </cell>
          <cell r="D35" t="str">
            <v>C</v>
          </cell>
        </row>
        <row r="36">
          <cell r="A36" t="str">
            <v>Nguyeãn Thò Mai Hieàn</v>
          </cell>
          <cell r="B36" t="str">
            <v>Dyeing</v>
          </cell>
          <cell r="C36" t="str">
            <v>C</v>
          </cell>
          <cell r="D36" t="str">
            <v>C</v>
          </cell>
        </row>
        <row r="37">
          <cell r="A37" t="str">
            <v>Voøng Caåm Höông</v>
          </cell>
          <cell r="B37" t="str">
            <v xml:space="preserve">Vislon Assembling </v>
          </cell>
          <cell r="C37" t="str">
            <v>C</v>
          </cell>
          <cell r="D37" t="str">
            <v>C</v>
          </cell>
        </row>
        <row r="38">
          <cell r="A38" t="str">
            <v>Voõ Thò Thu Huyeàn</v>
          </cell>
          <cell r="B38" t="str">
            <v>Painting</v>
          </cell>
          <cell r="C38" t="str">
            <v>C</v>
          </cell>
          <cell r="D38" t="str">
            <v>C</v>
          </cell>
        </row>
        <row r="39">
          <cell r="A39" t="str">
            <v>Ñaäu Thò Hoa Laøi</v>
          </cell>
          <cell r="B39" t="str">
            <v>CEC Assembling</v>
          </cell>
          <cell r="C39" t="str">
            <v>B</v>
          </cell>
          <cell r="D39" t="str">
            <v>C</v>
          </cell>
        </row>
        <row r="40">
          <cell r="A40" t="str">
            <v>Nguyeãn Thò Ngoïc Leä</v>
          </cell>
          <cell r="B40" t="str">
            <v xml:space="preserve">Vislon Assembling </v>
          </cell>
          <cell r="C40" t="str">
            <v>C</v>
          </cell>
          <cell r="D40" t="str">
            <v>C</v>
          </cell>
        </row>
        <row r="41">
          <cell r="A41" t="str">
            <v>Ñaëng Thò Myõ Linh</v>
          </cell>
          <cell r="B41" t="str">
            <v>Coil Chain</v>
          </cell>
          <cell r="C41" t="str">
            <v>C</v>
          </cell>
          <cell r="D41" t="str">
            <v>C</v>
          </cell>
        </row>
        <row r="42">
          <cell r="A42" t="str">
            <v>Traàn Thò Ngoïc Phöôùc Loäc</v>
          </cell>
          <cell r="B42" t="str">
            <v>Production Control</v>
          </cell>
          <cell r="C42" t="str">
            <v>C</v>
          </cell>
          <cell r="D42" t="str">
            <v>C</v>
          </cell>
        </row>
        <row r="43">
          <cell r="A43" t="str">
            <v>Quaùch Thò Caåm Loan</v>
          </cell>
          <cell r="B43" t="str">
            <v>Coil Assembling</v>
          </cell>
          <cell r="C43" t="str">
            <v>B</v>
          </cell>
          <cell r="D43" t="str">
            <v>C</v>
          </cell>
        </row>
        <row r="44">
          <cell r="A44" t="str">
            <v>Nguyeãn Thò Lôïi</v>
          </cell>
          <cell r="B44" t="str">
            <v>Production planning</v>
          </cell>
          <cell r="C44" t="str">
            <v>C</v>
          </cell>
          <cell r="D44" t="str">
            <v>C</v>
          </cell>
        </row>
        <row r="45">
          <cell r="A45" t="str">
            <v>Phaïm Thò Hoàng Minh</v>
          </cell>
          <cell r="B45" t="str">
            <v>Weaving</v>
          </cell>
          <cell r="C45" t="str">
            <v>C</v>
          </cell>
          <cell r="D45" t="str">
            <v>C</v>
          </cell>
        </row>
        <row r="46">
          <cell r="A46" t="str">
            <v>Leâ Thò Thuùy Nga</v>
          </cell>
          <cell r="B46" t="str">
            <v>Metal Assembling</v>
          </cell>
          <cell r="C46" t="str">
            <v>C</v>
          </cell>
          <cell r="D46" t="str">
            <v>C</v>
          </cell>
        </row>
        <row r="47">
          <cell r="A47" t="str">
            <v>Nguyeãn Maïc Thò Toá Nga</v>
          </cell>
          <cell r="B47" t="str">
            <v>GA</v>
          </cell>
          <cell r="C47" t="str">
            <v>B</v>
          </cell>
          <cell r="D47" t="str">
            <v>C</v>
          </cell>
        </row>
        <row r="48">
          <cell r="A48" t="str">
            <v>Nguyeãn Thò Ngoïc Nhung</v>
          </cell>
          <cell r="B48" t="str">
            <v>Warehouse</v>
          </cell>
          <cell r="C48" t="str">
            <v>C</v>
          </cell>
          <cell r="D48" t="str">
            <v>C</v>
          </cell>
        </row>
        <row r="49">
          <cell r="A49" t="str">
            <v>Vuõ Thuïy Hoàng Nhung</v>
          </cell>
          <cell r="B49" t="str">
            <v>Warehouse</v>
          </cell>
          <cell r="C49" t="str">
            <v>C</v>
          </cell>
          <cell r="D49" t="str">
            <v>C</v>
          </cell>
        </row>
        <row r="50">
          <cell r="A50" t="str">
            <v>Phaïm Thò Nam Phöông</v>
          </cell>
          <cell r="B50" t="str">
            <v>Coil Assembling</v>
          </cell>
          <cell r="C50" t="str">
            <v>B</v>
          </cell>
          <cell r="D50" t="str">
            <v>C</v>
          </cell>
        </row>
        <row r="51">
          <cell r="A51" t="str">
            <v>Mai Traàn Leä Quyeân</v>
          </cell>
          <cell r="B51" t="str">
            <v>Dyeing</v>
          </cell>
          <cell r="C51" t="str">
            <v>C</v>
          </cell>
          <cell r="D51" t="str">
            <v>C</v>
          </cell>
        </row>
        <row r="52">
          <cell r="A52" t="str">
            <v>Buøi Thò Myõ Taâm</v>
          </cell>
          <cell r="B52" t="str">
            <v xml:space="preserve">Vislon Assembling </v>
          </cell>
          <cell r="C52" t="str">
            <v>C</v>
          </cell>
          <cell r="D52" t="str">
            <v>C</v>
          </cell>
        </row>
        <row r="53">
          <cell r="A53" t="str">
            <v>Phan Ngoïc Thanh Taâm</v>
          </cell>
          <cell r="B53" t="str">
            <v>GA</v>
          </cell>
          <cell r="C53" t="str">
            <v>B</v>
          </cell>
          <cell r="D53" t="str">
            <v>C</v>
          </cell>
        </row>
        <row r="54">
          <cell r="A54" t="str">
            <v>Phaïm Phöông Thu Thaûo</v>
          </cell>
          <cell r="B54" t="str">
            <v>Ex- Import</v>
          </cell>
          <cell r="C54" t="str">
            <v>C</v>
          </cell>
          <cell r="D54" t="str">
            <v>C</v>
          </cell>
        </row>
        <row r="55">
          <cell r="A55" t="str">
            <v>Buøi Thò Minh Thuøy</v>
          </cell>
          <cell r="B55" t="str">
            <v>Metal Assembling</v>
          </cell>
          <cell r="C55" t="str">
            <v>C</v>
          </cell>
          <cell r="D55" t="str">
            <v>C</v>
          </cell>
        </row>
        <row r="56">
          <cell r="A56" t="str">
            <v>Voõ Thò Kim Thuùy</v>
          </cell>
          <cell r="B56" t="str">
            <v>Warehouse</v>
          </cell>
          <cell r="C56" t="str">
            <v>C</v>
          </cell>
          <cell r="D56" t="str">
            <v>C</v>
          </cell>
        </row>
        <row r="57">
          <cell r="A57" t="str">
            <v>Hoà Thò Thanh Thuûy</v>
          </cell>
          <cell r="B57" t="str">
            <v xml:space="preserve">Vislon Assembling </v>
          </cell>
          <cell r="C57" t="str">
            <v>C</v>
          </cell>
          <cell r="D57" t="str">
            <v>C</v>
          </cell>
        </row>
        <row r="58">
          <cell r="A58" t="str">
            <v>Voõ Thò Thuøy Trang</v>
          </cell>
          <cell r="B58" t="str">
            <v>Coil Assembling</v>
          </cell>
          <cell r="C58" t="str">
            <v>B</v>
          </cell>
          <cell r="D58" t="str">
            <v>C</v>
          </cell>
        </row>
        <row r="59">
          <cell r="A59" t="str">
            <v>Nguyeãn Thò Ngoïc Yeán</v>
          </cell>
          <cell r="B59" t="str">
            <v>Coil Assembling</v>
          </cell>
          <cell r="C59" t="str">
            <v>B</v>
          </cell>
          <cell r="D59" t="str">
            <v>D</v>
          </cell>
        </row>
        <row r="60">
          <cell r="A60" t="str">
            <v>Phaïm Vaên Baùch</v>
          </cell>
          <cell r="B60" t="str">
            <v>CEC Assembling</v>
          </cell>
          <cell r="C60" t="str">
            <v>B</v>
          </cell>
          <cell r="D60" t="str">
            <v>C</v>
          </cell>
        </row>
        <row r="61">
          <cell r="A61" t="str">
            <v>Huyønh Thanh Hieàn</v>
          </cell>
          <cell r="B61" t="str">
            <v>Metal Chain</v>
          </cell>
          <cell r="C61" t="str">
            <v>C</v>
          </cell>
          <cell r="D61" t="str">
            <v>C</v>
          </cell>
        </row>
        <row r="62">
          <cell r="A62" t="str">
            <v>Huyønh Ngoïc Phaùt</v>
          </cell>
          <cell r="B62" t="str">
            <v xml:space="preserve">Vislon Assembling </v>
          </cell>
          <cell r="C62" t="str">
            <v>C</v>
          </cell>
          <cell r="D62" t="str">
            <v>C</v>
          </cell>
        </row>
        <row r="63">
          <cell r="A63" t="str">
            <v>Töôûng Quang Phöông</v>
          </cell>
          <cell r="B63" t="str">
            <v xml:space="preserve">Vislon Assembling </v>
          </cell>
          <cell r="C63" t="str">
            <v>C</v>
          </cell>
          <cell r="D63" t="str">
            <v>C</v>
          </cell>
        </row>
        <row r="64">
          <cell r="A64" t="str">
            <v>Hoaøng Vaên Quyeát</v>
          </cell>
          <cell r="B64" t="str">
            <v>Metal Assembling</v>
          </cell>
          <cell r="C64" t="str">
            <v>C</v>
          </cell>
          <cell r="D64" t="str">
            <v>C</v>
          </cell>
        </row>
        <row r="65">
          <cell r="A65" t="str">
            <v>Nguyeãn Thaønh Sôn</v>
          </cell>
          <cell r="B65" t="str">
            <v>Dyeing</v>
          </cell>
          <cell r="C65" t="str">
            <v>C</v>
          </cell>
          <cell r="D65" t="str">
            <v>C</v>
          </cell>
        </row>
        <row r="66">
          <cell r="A66" t="str">
            <v>Phan Vaên Tröôøng</v>
          </cell>
          <cell r="B66" t="str">
            <v>Coil Assembling</v>
          </cell>
          <cell r="C66" t="str">
            <v>B</v>
          </cell>
          <cell r="D66" t="str">
            <v>B</v>
          </cell>
        </row>
        <row r="67">
          <cell r="A67" t="str">
            <v>Hoaøng Thanh Tuaán</v>
          </cell>
          <cell r="B67" t="str">
            <v>Coil Assembling</v>
          </cell>
          <cell r="C67" t="str">
            <v>B</v>
          </cell>
          <cell r="D67" t="str">
            <v>B</v>
          </cell>
        </row>
        <row r="68">
          <cell r="A68" t="str">
            <v>Phaïm Vaên Tuaân</v>
          </cell>
          <cell r="B68" t="str">
            <v>Weaving</v>
          </cell>
          <cell r="C68" t="str">
            <v>C</v>
          </cell>
          <cell r="D68" t="str">
            <v>C</v>
          </cell>
        </row>
        <row r="69">
          <cell r="A69" t="str">
            <v>Nguyeãn Vaên Uùt</v>
          </cell>
          <cell r="B69" t="str">
            <v>Metal Chain</v>
          </cell>
          <cell r="C69" t="str">
            <v>C</v>
          </cell>
          <cell r="D69" t="str">
            <v>C</v>
          </cell>
        </row>
        <row r="70">
          <cell r="A70" t="str">
            <v>Hoàng Thò Ngoïc Nga</v>
          </cell>
          <cell r="B70" t="str">
            <v>QC/ISO</v>
          </cell>
          <cell r="C70" t="str">
            <v>C</v>
          </cell>
          <cell r="D70" t="str">
            <v>B</v>
          </cell>
        </row>
        <row r="71">
          <cell r="A71" t="str">
            <v>Ñinh Thò Tuyeát Phöôïng</v>
          </cell>
          <cell r="B71" t="str">
            <v>GA</v>
          </cell>
          <cell r="C71" t="str">
            <v>B</v>
          </cell>
          <cell r="D71" t="str">
            <v>C</v>
          </cell>
        </row>
        <row r="72">
          <cell r="A72" t="str">
            <v>Nguyeãn Thò Hoa</v>
          </cell>
          <cell r="B72" t="str">
            <v>CEC Assembling</v>
          </cell>
          <cell r="C72" t="str">
            <v>B</v>
          </cell>
          <cell r="D72" t="str">
            <v>C</v>
          </cell>
        </row>
        <row r="73">
          <cell r="A73" t="str">
            <v>Nguyeãn Thò Hoøa</v>
          </cell>
          <cell r="B73" t="str">
            <v>Coil Assembling</v>
          </cell>
          <cell r="C73" t="str">
            <v>B</v>
          </cell>
          <cell r="D73" t="str">
            <v>C</v>
          </cell>
        </row>
        <row r="74">
          <cell r="A74" t="str">
            <v>Nguyeãn Thò Kim Hoàng</v>
          </cell>
          <cell r="B74" t="str">
            <v>CEC Assembling</v>
          </cell>
          <cell r="C74" t="str">
            <v>B</v>
          </cell>
          <cell r="D74" t="str">
            <v>C</v>
          </cell>
        </row>
        <row r="75">
          <cell r="A75" t="str">
            <v>Ngoâ Thò Ngaân</v>
          </cell>
          <cell r="B75" t="str">
            <v>Coil Assembling</v>
          </cell>
          <cell r="C75" t="str">
            <v>B</v>
          </cell>
          <cell r="D75" t="str">
            <v>C</v>
          </cell>
        </row>
        <row r="76">
          <cell r="A76" t="str">
            <v>Ñoaøn Thò Minh Nguyeät</v>
          </cell>
          <cell r="B76" t="str">
            <v>GA</v>
          </cell>
          <cell r="C76" t="str">
            <v>B</v>
          </cell>
          <cell r="D76" t="str">
            <v>C</v>
          </cell>
        </row>
        <row r="77">
          <cell r="A77" t="str">
            <v>Ñaëng Thò Thu</v>
          </cell>
          <cell r="B77" t="str">
            <v>Coil Assembling</v>
          </cell>
          <cell r="C77" t="str">
            <v>B</v>
          </cell>
          <cell r="D77" t="str">
            <v>C</v>
          </cell>
        </row>
        <row r="78">
          <cell r="A78" t="str">
            <v>Vuõ Thò Thu</v>
          </cell>
          <cell r="B78" t="str">
            <v>CEC Assembling</v>
          </cell>
          <cell r="C78" t="str">
            <v>B</v>
          </cell>
          <cell r="D78" t="str">
            <v>C</v>
          </cell>
        </row>
        <row r="79">
          <cell r="A79" t="str">
            <v>Phaïm Thò Thuùy</v>
          </cell>
          <cell r="B79" t="str">
            <v>GA</v>
          </cell>
          <cell r="C79" t="str">
            <v>B</v>
          </cell>
          <cell r="D79" t="str">
            <v>C</v>
          </cell>
        </row>
        <row r="80">
          <cell r="A80" t="str">
            <v>Traàm Thò Leä Trinh</v>
          </cell>
          <cell r="B80" t="str">
            <v>CEC Assembling</v>
          </cell>
          <cell r="C80" t="str">
            <v>B</v>
          </cell>
          <cell r="D80" t="str">
            <v>C</v>
          </cell>
        </row>
        <row r="81">
          <cell r="A81" t="str">
            <v>Hoà Vaên Ñöùc</v>
          </cell>
          <cell r="B81" t="str">
            <v>Warehouse</v>
          </cell>
          <cell r="C81" t="str">
            <v>C</v>
          </cell>
          <cell r="D81" t="str">
            <v>C</v>
          </cell>
        </row>
        <row r="82">
          <cell r="A82" t="str">
            <v>Nguyeãn Höõu Vöôïng</v>
          </cell>
          <cell r="B82" t="str">
            <v>Warehouse</v>
          </cell>
          <cell r="C82" t="str">
            <v>C</v>
          </cell>
          <cell r="D82" t="str">
            <v>C</v>
          </cell>
        </row>
        <row r="83">
          <cell r="A83" t="str">
            <v>Toân Nguyeãn Anh Vuõ</v>
          </cell>
          <cell r="B83" t="str">
            <v>Warehouse</v>
          </cell>
          <cell r="C83" t="str">
            <v>C</v>
          </cell>
          <cell r="D83" t="str">
            <v>B</v>
          </cell>
        </row>
        <row r="84">
          <cell r="A84" t="str">
            <v>Huyønh Trung Ngoïc</v>
          </cell>
          <cell r="B84" t="str">
            <v>Painting</v>
          </cell>
          <cell r="C84" t="str">
            <v>C</v>
          </cell>
          <cell r="D84" t="str">
            <v>B</v>
          </cell>
        </row>
        <row r="85">
          <cell r="A85" t="str">
            <v>Traàn Thò Ngoïc Anh</v>
          </cell>
          <cell r="B85" t="str">
            <v>Coil Assembling</v>
          </cell>
          <cell r="C85" t="str">
            <v>B</v>
          </cell>
          <cell r="D85" t="str">
            <v>C</v>
          </cell>
        </row>
        <row r="86">
          <cell r="A86" t="str">
            <v>Nguyeãn Thò Haûi</v>
          </cell>
          <cell r="B86" t="str">
            <v xml:space="preserve">Vislon Assembling </v>
          </cell>
          <cell r="C86" t="str">
            <v>C</v>
          </cell>
          <cell r="D86" t="str">
            <v>C</v>
          </cell>
        </row>
        <row r="87">
          <cell r="A87" t="str">
            <v>Nguyeãn Xuaân Ñænh</v>
          </cell>
          <cell r="B87" t="str">
            <v>Painting</v>
          </cell>
          <cell r="C87" t="str">
            <v>C</v>
          </cell>
          <cell r="D87" t="str">
            <v>C</v>
          </cell>
        </row>
        <row r="88">
          <cell r="A88" t="str">
            <v>Buøi Thuùy Hoøa</v>
          </cell>
          <cell r="B88" t="str">
            <v>Personnel &amp; General Affair Dept</v>
          </cell>
          <cell r="C88" t="str">
            <v>C</v>
          </cell>
          <cell r="D88" t="str">
            <v>C</v>
          </cell>
        </row>
        <row r="89">
          <cell r="A89" t="str">
            <v>Nguyeãn Maïnh Ñöùc</v>
          </cell>
          <cell r="B89" t="str">
            <v>Dyeing</v>
          </cell>
          <cell r="C89" t="str">
            <v>C</v>
          </cell>
          <cell r="D89" t="str">
            <v>C</v>
          </cell>
        </row>
        <row r="90">
          <cell r="A90" t="str">
            <v>Traàn Quoác Hoaøn</v>
          </cell>
          <cell r="B90" t="str">
            <v>Dyeing</v>
          </cell>
          <cell r="C90" t="str">
            <v>C</v>
          </cell>
          <cell r="D90" t="str">
            <v>C</v>
          </cell>
        </row>
        <row r="91">
          <cell r="A91" t="str">
            <v>Voõ Hoaøng Vónh Phuù</v>
          </cell>
          <cell r="B91" t="str">
            <v>Dyeing</v>
          </cell>
          <cell r="C91" t="str">
            <v>C</v>
          </cell>
          <cell r="D91" t="str">
            <v>C</v>
          </cell>
        </row>
        <row r="92">
          <cell r="A92" t="str">
            <v>Hoaøng Vaên Ñaïi</v>
          </cell>
          <cell r="B92" t="str">
            <v>Warehouse</v>
          </cell>
          <cell r="C92" t="str">
            <v>C</v>
          </cell>
          <cell r="D92" t="str">
            <v>C</v>
          </cell>
        </row>
        <row r="93">
          <cell r="A93" t="str">
            <v>Nguyeãn Thò Anh</v>
          </cell>
          <cell r="B93" t="str">
            <v>Metal Assembling</v>
          </cell>
          <cell r="C93" t="str">
            <v>C</v>
          </cell>
          <cell r="D93" t="str">
            <v>C</v>
          </cell>
        </row>
        <row r="94">
          <cell r="A94" t="str">
            <v>Nguyeãn Phaïm Xuaân Höông</v>
          </cell>
          <cell r="B94" t="str">
            <v>GA</v>
          </cell>
          <cell r="C94" t="str">
            <v>B</v>
          </cell>
          <cell r="D94" t="str">
            <v>C</v>
          </cell>
        </row>
        <row r="95">
          <cell r="A95" t="str">
            <v>Phaïm Ñình Quoác Dieãm Kieàu</v>
          </cell>
          <cell r="B95" t="str">
            <v>QC/ISO</v>
          </cell>
          <cell r="C95" t="str">
            <v>C</v>
          </cell>
          <cell r="D95" t="str">
            <v>C</v>
          </cell>
        </row>
        <row r="96">
          <cell r="A96" t="str">
            <v>LeâThò Lieân</v>
          </cell>
          <cell r="B96" t="str">
            <v xml:space="preserve">Vislon Assembling </v>
          </cell>
          <cell r="C96" t="str">
            <v>C</v>
          </cell>
          <cell r="D96" t="str">
            <v>C</v>
          </cell>
        </row>
        <row r="97">
          <cell r="A97" t="str">
            <v>Nguyeãn Thò Löông</v>
          </cell>
          <cell r="B97" t="str">
            <v>Warehouse</v>
          </cell>
          <cell r="C97" t="str">
            <v>C</v>
          </cell>
          <cell r="D97" t="str">
            <v>C</v>
          </cell>
        </row>
        <row r="98">
          <cell r="A98" t="str">
            <v>Phaïm Thò Tuyeát Nhung</v>
          </cell>
          <cell r="B98" t="str">
            <v>Coil Assembling</v>
          </cell>
          <cell r="C98" t="str">
            <v>B</v>
          </cell>
          <cell r="D98" t="str">
            <v>D</v>
          </cell>
        </row>
        <row r="99">
          <cell r="A99" t="str">
            <v>Trònh Thò Laâm Sang</v>
          </cell>
          <cell r="B99" t="str">
            <v>Warehouse</v>
          </cell>
          <cell r="C99" t="str">
            <v>C</v>
          </cell>
          <cell r="D99" t="str">
            <v>C</v>
          </cell>
        </row>
        <row r="100">
          <cell r="A100" t="str">
            <v>Luïc Minh Phöông Taâm</v>
          </cell>
          <cell r="B100" t="str">
            <v>Production Control</v>
          </cell>
          <cell r="C100" t="str">
            <v>C</v>
          </cell>
          <cell r="D100" t="str">
            <v>C</v>
          </cell>
        </row>
        <row r="101">
          <cell r="A101" t="str">
            <v>Lyù Ngoïc Thôm</v>
          </cell>
          <cell r="B101" t="str">
            <v>Production planning</v>
          </cell>
          <cell r="C101" t="str">
            <v>C</v>
          </cell>
          <cell r="D101" t="str">
            <v>C</v>
          </cell>
        </row>
        <row r="102">
          <cell r="A102" t="str">
            <v>Leâ Höõu Ñöùc</v>
          </cell>
          <cell r="B102" t="str">
            <v xml:space="preserve">Vislon Assembling </v>
          </cell>
          <cell r="C102" t="str">
            <v>C</v>
          </cell>
          <cell r="D102" t="str">
            <v>C</v>
          </cell>
        </row>
        <row r="103">
          <cell r="A103" t="str">
            <v>Nguyeãn Xuaân Hôïp</v>
          </cell>
          <cell r="B103" t="str">
            <v>Metal Assembling</v>
          </cell>
          <cell r="C103" t="str">
            <v>C</v>
          </cell>
          <cell r="D103" t="str">
            <v>C</v>
          </cell>
        </row>
        <row r="104">
          <cell r="A104" t="str">
            <v>Traàn Nguyeân Thaønh</v>
          </cell>
          <cell r="B104" t="str">
            <v>Coil Assembling</v>
          </cell>
          <cell r="C104" t="str">
            <v>B</v>
          </cell>
          <cell r="D104" t="str">
            <v>B</v>
          </cell>
        </row>
        <row r="105">
          <cell r="A105" t="str">
            <v>Nguyeãn Ñöùc Kieân</v>
          </cell>
          <cell r="B105" t="str">
            <v>Metal Assembling</v>
          </cell>
          <cell r="C105" t="str">
            <v>C</v>
          </cell>
          <cell r="D105" t="str">
            <v>C</v>
          </cell>
        </row>
        <row r="106">
          <cell r="A106" t="str">
            <v>Nguyeãn Doaõn Hieáu</v>
          </cell>
          <cell r="B106" t="str">
            <v>Coil Assembling</v>
          </cell>
          <cell r="C106" t="str">
            <v>B</v>
          </cell>
          <cell r="D106" t="str">
            <v>C</v>
          </cell>
        </row>
        <row r="107">
          <cell r="A107" t="str">
            <v>Phaïm Thaønh Hieáu</v>
          </cell>
          <cell r="B107" t="str">
            <v>Coil Assembling</v>
          </cell>
          <cell r="C107" t="str">
            <v>B</v>
          </cell>
          <cell r="D107" t="str">
            <v>C</v>
          </cell>
        </row>
        <row r="108">
          <cell r="A108" t="str">
            <v>Nguyeãn Thò Chöông</v>
          </cell>
          <cell r="B108" t="str">
            <v>GA</v>
          </cell>
          <cell r="C108" t="str">
            <v>B</v>
          </cell>
          <cell r="D108" t="str">
            <v>C</v>
          </cell>
        </row>
        <row r="109">
          <cell r="A109" t="str">
            <v>Tröông Thò Hoät</v>
          </cell>
          <cell r="B109" t="str">
            <v>Coil Assembling</v>
          </cell>
          <cell r="C109" t="str">
            <v>B</v>
          </cell>
          <cell r="D109" t="str">
            <v>D</v>
          </cell>
        </row>
        <row r="110">
          <cell r="A110" t="str">
            <v>Leâ Ngoïc Lan</v>
          </cell>
          <cell r="B110" t="str">
            <v>Coil Assembling</v>
          </cell>
          <cell r="C110" t="str">
            <v>B</v>
          </cell>
          <cell r="D110" t="str">
            <v>C</v>
          </cell>
        </row>
        <row r="111">
          <cell r="A111" t="str">
            <v>Vuõ Tuyeát lan</v>
          </cell>
          <cell r="B111" t="str">
            <v>GA</v>
          </cell>
          <cell r="C111" t="str">
            <v>B</v>
          </cell>
          <cell r="D111" t="str">
            <v>C</v>
          </cell>
        </row>
        <row r="112">
          <cell r="A112" t="str">
            <v>Taï Xuaân Haäu</v>
          </cell>
          <cell r="B112" t="str">
            <v>Metal Assembling</v>
          </cell>
          <cell r="C112" t="str">
            <v>C</v>
          </cell>
          <cell r="D112" t="str">
            <v>C</v>
          </cell>
        </row>
        <row r="113">
          <cell r="A113" t="str">
            <v>Phaïm Vuõ Thanh Nhi</v>
          </cell>
          <cell r="B113" t="str">
            <v>Dyeing</v>
          </cell>
          <cell r="C113" t="str">
            <v>C</v>
          </cell>
          <cell r="D113" t="str">
            <v>C</v>
          </cell>
        </row>
        <row r="114">
          <cell r="A114" t="str">
            <v>Nguyeãn  Thò Thanh Xuaân</v>
          </cell>
          <cell r="B114" t="str">
            <v>Dyeing</v>
          </cell>
          <cell r="C114" t="str">
            <v>C</v>
          </cell>
          <cell r="D114" t="str">
            <v>C</v>
          </cell>
        </row>
        <row r="115">
          <cell r="A115" t="str">
            <v>Vuõ Thò Lan</v>
          </cell>
          <cell r="B115" t="str">
            <v>Dyeing</v>
          </cell>
          <cell r="C115" t="str">
            <v>C</v>
          </cell>
          <cell r="D115" t="str">
            <v>C</v>
          </cell>
        </row>
        <row r="116">
          <cell r="A116" t="str">
            <v>Baïch Thò Thanh Nga</v>
          </cell>
          <cell r="B116" t="str">
            <v>Vislon Chain</v>
          </cell>
          <cell r="C116" t="str">
            <v>C</v>
          </cell>
          <cell r="D116" t="str">
            <v>C</v>
          </cell>
        </row>
        <row r="117">
          <cell r="A117" t="str">
            <v>Tröông Vaên Thaéng</v>
          </cell>
          <cell r="B117" t="str">
            <v>Vislon Chain</v>
          </cell>
          <cell r="C117" t="str">
            <v>C</v>
          </cell>
          <cell r="D117" t="str">
            <v>C</v>
          </cell>
        </row>
        <row r="118">
          <cell r="A118" t="str">
            <v>Nguyeãn Quang Lôïi</v>
          </cell>
          <cell r="B118" t="str">
            <v>Dyeing</v>
          </cell>
          <cell r="C118" t="str">
            <v>C</v>
          </cell>
          <cell r="D118" t="str">
            <v>C</v>
          </cell>
        </row>
        <row r="119">
          <cell r="A119" t="str">
            <v>Nguyeãn Duy Tín</v>
          </cell>
          <cell r="B119" t="str">
            <v>Coil Chain</v>
          </cell>
          <cell r="C119" t="str">
            <v>C</v>
          </cell>
          <cell r="D119" t="str">
            <v>C</v>
          </cell>
        </row>
        <row r="120">
          <cell r="A120" t="str">
            <v>Ñaëng Thò Aùnh Nga</v>
          </cell>
          <cell r="B120" t="str">
            <v>Coil Assembling</v>
          </cell>
          <cell r="C120" t="str">
            <v>B</v>
          </cell>
          <cell r="D120" t="str">
            <v>C</v>
          </cell>
        </row>
        <row r="121">
          <cell r="A121" t="str">
            <v>Nguyeãn Thò Thaân</v>
          </cell>
          <cell r="B121" t="str">
            <v xml:space="preserve">Vislon Assembling </v>
          </cell>
          <cell r="C121" t="str">
            <v>C</v>
          </cell>
          <cell r="D121" t="str">
            <v>C</v>
          </cell>
        </row>
        <row r="122">
          <cell r="A122" t="str">
            <v>Buøi Thò Xuaân Thaïnh</v>
          </cell>
          <cell r="B122" t="str">
            <v xml:space="preserve">Vislon Assembling </v>
          </cell>
          <cell r="C122" t="str">
            <v>C</v>
          </cell>
          <cell r="D122" t="str">
            <v>C</v>
          </cell>
        </row>
        <row r="123">
          <cell r="A123" t="str">
            <v>Nguyeãn Thò Thaûo</v>
          </cell>
          <cell r="B123" t="str">
            <v xml:space="preserve">Vislon Assembling </v>
          </cell>
          <cell r="C123" t="str">
            <v>C</v>
          </cell>
          <cell r="D123" t="str">
            <v>C</v>
          </cell>
        </row>
        <row r="124">
          <cell r="A124" t="str">
            <v>Nguyeãn Thò Baïch Tuyeát</v>
          </cell>
          <cell r="B124" t="str">
            <v xml:space="preserve">Vislon Assembling </v>
          </cell>
          <cell r="C124" t="str">
            <v>C</v>
          </cell>
          <cell r="D124" t="str">
            <v>C</v>
          </cell>
        </row>
        <row r="125">
          <cell r="A125" t="str">
            <v>Leâ Quang Minh</v>
          </cell>
          <cell r="B125" t="str">
            <v>Coil Assembling</v>
          </cell>
          <cell r="C125" t="str">
            <v>B</v>
          </cell>
          <cell r="D125" t="str">
            <v>B</v>
          </cell>
        </row>
        <row r="126">
          <cell r="A126" t="str">
            <v>Leâ Thò Hoàng Thaém</v>
          </cell>
          <cell r="B126" t="str">
            <v>Production planning</v>
          </cell>
          <cell r="C126" t="str">
            <v>C</v>
          </cell>
          <cell r="D126" t="str">
            <v>C</v>
          </cell>
        </row>
        <row r="127">
          <cell r="A127" t="str">
            <v>Ngoâ Hoàng Thaûo</v>
          </cell>
          <cell r="B127" t="str">
            <v>Ex- Import</v>
          </cell>
          <cell r="C127" t="str">
            <v>C</v>
          </cell>
          <cell r="D127" t="str">
            <v>C</v>
          </cell>
        </row>
        <row r="128">
          <cell r="A128" t="str">
            <v>Nguyeãn Ñaéc Lieâu</v>
          </cell>
          <cell r="B128" t="str">
            <v>Accounting</v>
          </cell>
          <cell r="C128" t="str">
            <v>C</v>
          </cell>
          <cell r="D128" t="str">
            <v>B</v>
          </cell>
        </row>
        <row r="129">
          <cell r="A129" t="str">
            <v>Nguyeãn Vaên Duõng B</v>
          </cell>
          <cell r="B129" t="str">
            <v>Warehouse</v>
          </cell>
          <cell r="C129" t="str">
            <v>C</v>
          </cell>
          <cell r="D129" t="str">
            <v>C</v>
          </cell>
        </row>
        <row r="130">
          <cell r="A130" t="str">
            <v>Nguyeãn Maïnh Haø</v>
          </cell>
          <cell r="B130" t="str">
            <v>Ex- Import</v>
          </cell>
          <cell r="C130" t="str">
            <v>C</v>
          </cell>
          <cell r="D130" t="str">
            <v>C</v>
          </cell>
        </row>
        <row r="131">
          <cell r="A131" t="str">
            <v>Phaïm Thanh Trung</v>
          </cell>
          <cell r="B131" t="str">
            <v>Warehouse</v>
          </cell>
          <cell r="C131" t="str">
            <v>C</v>
          </cell>
          <cell r="D131" t="str">
            <v>B</v>
          </cell>
        </row>
        <row r="132">
          <cell r="A132" t="str">
            <v>Chu Vaên Duõng</v>
          </cell>
          <cell r="B132" t="str">
            <v>Vislon Chain</v>
          </cell>
          <cell r="C132" t="str">
            <v>C</v>
          </cell>
          <cell r="D132" t="str">
            <v>C</v>
          </cell>
        </row>
        <row r="133">
          <cell r="A133" t="str">
            <v>Phaïm Quang Quyønh</v>
          </cell>
          <cell r="B133" t="str">
            <v>Painting</v>
          </cell>
          <cell r="C133" t="str">
            <v>C</v>
          </cell>
          <cell r="D133" t="str">
            <v>C</v>
          </cell>
        </row>
        <row r="134">
          <cell r="A134" t="str">
            <v>Tröông Minh Ngoï</v>
          </cell>
          <cell r="B134" t="str">
            <v>Painting</v>
          </cell>
          <cell r="C134" t="str">
            <v>C</v>
          </cell>
          <cell r="D134" t="str">
            <v>C</v>
          </cell>
        </row>
        <row r="135">
          <cell r="A135" t="str">
            <v>Leâ Taát Phöông</v>
          </cell>
          <cell r="B135" t="str">
            <v>Painting</v>
          </cell>
          <cell r="C135" t="str">
            <v>C</v>
          </cell>
          <cell r="D135" t="str">
            <v>C</v>
          </cell>
        </row>
        <row r="136">
          <cell r="A136" t="str">
            <v>Nguyeãn Vaên Tuï</v>
          </cell>
          <cell r="B136" t="str">
            <v>Painting</v>
          </cell>
          <cell r="C136" t="str">
            <v>C</v>
          </cell>
          <cell r="D136" t="str">
            <v>C</v>
          </cell>
        </row>
        <row r="137">
          <cell r="A137" t="str">
            <v>Nguyeãn Vaên Tyù</v>
          </cell>
          <cell r="B137" t="str">
            <v>Warehouse</v>
          </cell>
          <cell r="C137" t="str">
            <v>C</v>
          </cell>
          <cell r="D137" t="str">
            <v>C</v>
          </cell>
        </row>
        <row r="138">
          <cell r="A138" t="str">
            <v>Leâ Thanh Daân</v>
          </cell>
          <cell r="B138" t="str">
            <v>Coil Assembling</v>
          </cell>
          <cell r="C138" t="str">
            <v>B</v>
          </cell>
          <cell r="D138" t="str">
            <v>C</v>
          </cell>
        </row>
        <row r="139">
          <cell r="A139" t="str">
            <v>Vuõ Ngoïc Duy</v>
          </cell>
          <cell r="B139" t="str">
            <v>Dyeing</v>
          </cell>
          <cell r="C139" t="str">
            <v>C</v>
          </cell>
          <cell r="D139" t="str">
            <v>C</v>
          </cell>
        </row>
        <row r="140">
          <cell r="A140" t="str">
            <v>Phaïm Vaên Hieän</v>
          </cell>
          <cell r="B140" t="str">
            <v>Dyeing</v>
          </cell>
          <cell r="C140" t="str">
            <v>C</v>
          </cell>
          <cell r="D140" t="str">
            <v>B</v>
          </cell>
        </row>
        <row r="141">
          <cell r="A141" t="str">
            <v>Nguyeãn Thò Hoa B</v>
          </cell>
          <cell r="B141" t="str">
            <v>Production planning</v>
          </cell>
          <cell r="C141" t="str">
            <v>C</v>
          </cell>
          <cell r="D141" t="str">
            <v>C</v>
          </cell>
        </row>
        <row r="142">
          <cell r="A142" t="str">
            <v>Huyønh Thò Hueä</v>
          </cell>
          <cell r="B142" t="str">
            <v xml:space="preserve">Vislon Assembling </v>
          </cell>
          <cell r="C142" t="str">
            <v>C</v>
          </cell>
          <cell r="D142" t="str">
            <v>C</v>
          </cell>
        </row>
        <row r="143">
          <cell r="A143" t="str">
            <v>Hoaøng Maïnh Kieåm</v>
          </cell>
          <cell r="B143" t="str">
            <v xml:space="preserve">Vislon Assembling </v>
          </cell>
          <cell r="C143" t="str">
            <v>C</v>
          </cell>
          <cell r="D143" t="str">
            <v>C</v>
          </cell>
        </row>
        <row r="144">
          <cell r="A144" t="str">
            <v>Nguyeãn Thò Nhung</v>
          </cell>
          <cell r="B144" t="str">
            <v>GA</v>
          </cell>
          <cell r="C144" t="str">
            <v>B</v>
          </cell>
          <cell r="D144" t="str">
            <v>C</v>
          </cell>
        </row>
        <row r="145">
          <cell r="A145" t="str">
            <v>Leâ Quang Thaønh</v>
          </cell>
          <cell r="B145" t="str">
            <v>Coil Assembling</v>
          </cell>
          <cell r="C145" t="str">
            <v>B</v>
          </cell>
          <cell r="D145" t="str">
            <v>C</v>
          </cell>
        </row>
        <row r="146">
          <cell r="A146" t="str">
            <v>Phan Thò Thaûo</v>
          </cell>
          <cell r="B146" t="str">
            <v>Coil Assembling</v>
          </cell>
          <cell r="C146" t="str">
            <v>B</v>
          </cell>
          <cell r="D146" t="str">
            <v>C</v>
          </cell>
        </row>
        <row r="147">
          <cell r="A147" t="str">
            <v>Nguyeãn Vaên Tuaán</v>
          </cell>
          <cell r="B147" t="str">
            <v>Dyeing</v>
          </cell>
          <cell r="C147" t="str">
            <v>C</v>
          </cell>
          <cell r="D147" t="str">
            <v>C</v>
          </cell>
        </row>
        <row r="148">
          <cell r="A148" t="str">
            <v>Vuõ Maïnh Haèng</v>
          </cell>
          <cell r="B148" t="str">
            <v>Metal Chain</v>
          </cell>
          <cell r="C148" t="str">
            <v>C</v>
          </cell>
          <cell r="D148" t="str">
            <v>C</v>
          </cell>
        </row>
        <row r="149">
          <cell r="A149" t="str">
            <v>Huyønh Thò Thanh Haø</v>
          </cell>
          <cell r="B149" t="str">
            <v>Coil Assembling</v>
          </cell>
          <cell r="C149" t="str">
            <v>B</v>
          </cell>
          <cell r="D149" t="str">
            <v>D</v>
          </cell>
        </row>
        <row r="150">
          <cell r="A150" t="str">
            <v>Taï Vaân Nhi</v>
          </cell>
          <cell r="B150" t="str">
            <v>Production planning</v>
          </cell>
          <cell r="C150" t="str">
            <v>C</v>
          </cell>
          <cell r="D150" t="str">
            <v>C</v>
          </cell>
        </row>
        <row r="151">
          <cell r="A151" t="str">
            <v>Vuõ Thò Nhung</v>
          </cell>
          <cell r="B151" t="str">
            <v xml:space="preserve">Vislon Assembling </v>
          </cell>
          <cell r="C151" t="str">
            <v>C</v>
          </cell>
          <cell r="D151" t="str">
            <v>C</v>
          </cell>
        </row>
        <row r="152">
          <cell r="A152" t="str">
            <v>Voõ Thò Ngoïc Thuûy</v>
          </cell>
          <cell r="B152" t="str">
            <v xml:space="preserve">Vislon Assembling </v>
          </cell>
          <cell r="C152" t="str">
            <v>C</v>
          </cell>
          <cell r="D152" t="str">
            <v>C</v>
          </cell>
        </row>
        <row r="153">
          <cell r="A153" t="str">
            <v>Phaïm Thò Bích Vaân</v>
          </cell>
          <cell r="B153" t="str">
            <v>GA</v>
          </cell>
          <cell r="C153" t="str">
            <v>B</v>
          </cell>
          <cell r="D153" t="str">
            <v>A</v>
          </cell>
        </row>
        <row r="154">
          <cell r="A154" t="str">
            <v>Nguyeãn Höõu Baèng</v>
          </cell>
          <cell r="B154" t="str">
            <v>Warehouse</v>
          </cell>
          <cell r="C154" t="str">
            <v>C</v>
          </cell>
          <cell r="D154" t="str">
            <v>C</v>
          </cell>
        </row>
        <row r="155">
          <cell r="A155" t="str">
            <v>Nguyeãn Vaên Hoïc</v>
          </cell>
          <cell r="B155" t="str">
            <v>Warehouse</v>
          </cell>
          <cell r="C155" t="str">
            <v>C</v>
          </cell>
          <cell r="D155" t="str">
            <v>C</v>
          </cell>
        </row>
        <row r="156">
          <cell r="A156" t="str">
            <v>Nguyeãn Thuïy Nhö Lan</v>
          </cell>
          <cell r="B156" t="str">
            <v>Dyeing</v>
          </cell>
          <cell r="C156" t="str">
            <v>C</v>
          </cell>
          <cell r="D156" t="str">
            <v>C</v>
          </cell>
        </row>
        <row r="157">
          <cell r="A157" t="str">
            <v>Buøi Thò Kim Hueâ</v>
          </cell>
          <cell r="B157" t="str">
            <v>Accounting</v>
          </cell>
          <cell r="C157" t="str">
            <v>C</v>
          </cell>
          <cell r="D157" t="str">
            <v>C</v>
          </cell>
        </row>
        <row r="158">
          <cell r="A158" t="str">
            <v>Phaïm Vaên Thaønh</v>
          </cell>
          <cell r="B158" t="str">
            <v>Weaving</v>
          </cell>
          <cell r="C158" t="str">
            <v>C</v>
          </cell>
          <cell r="D158" t="str">
            <v>C</v>
          </cell>
        </row>
        <row r="159">
          <cell r="A159" t="str">
            <v>Nguyeãn Kim Cöông</v>
          </cell>
          <cell r="B159" t="str">
            <v>Personnel &amp; General Affair Dept</v>
          </cell>
          <cell r="C159" t="str">
            <v>C</v>
          </cell>
          <cell r="D159" t="str">
            <v>C</v>
          </cell>
        </row>
        <row r="160">
          <cell r="A160" t="str">
            <v>Döông Quyønh Giao</v>
          </cell>
          <cell r="B160" t="str">
            <v>Personnel &amp; General Affair Dept</v>
          </cell>
          <cell r="C160" t="str">
            <v>C</v>
          </cell>
          <cell r="D160" t="str">
            <v>C</v>
          </cell>
        </row>
        <row r="161">
          <cell r="A161" t="str">
            <v>Nguyeãn Thò Kim Thoa</v>
          </cell>
          <cell r="B161" t="str">
            <v>Production planning</v>
          </cell>
          <cell r="C161" t="str">
            <v>C</v>
          </cell>
          <cell r="D161" t="str">
            <v>C</v>
          </cell>
        </row>
        <row r="162">
          <cell r="A162" t="str">
            <v>Hoaøng Thò Ngoïc</v>
          </cell>
          <cell r="B162" t="str">
            <v>QC/ISO</v>
          </cell>
          <cell r="C162" t="str">
            <v>C</v>
          </cell>
          <cell r="D162" t="str">
            <v>B</v>
          </cell>
        </row>
        <row r="163">
          <cell r="A163" t="str">
            <v>Phaïm Thò Mai Oanh</v>
          </cell>
          <cell r="B163" t="str">
            <v>Personnel &amp; General Affair Dept</v>
          </cell>
          <cell r="C163" t="str">
            <v>C</v>
          </cell>
          <cell r="D163" t="str">
            <v>C</v>
          </cell>
        </row>
        <row r="164">
          <cell r="A164" t="str">
            <v>Loâ Thò Löông</v>
          </cell>
          <cell r="B164" t="str">
            <v>Personnel &amp; General Affair Dept</v>
          </cell>
          <cell r="C164" t="str">
            <v>C</v>
          </cell>
          <cell r="D164" t="str">
            <v>C</v>
          </cell>
        </row>
        <row r="165">
          <cell r="A165" t="str">
            <v>Nguyeãn Taøi Sôn</v>
          </cell>
          <cell r="B165" t="str">
            <v>Dyeing</v>
          </cell>
          <cell r="C165" t="str">
            <v>C</v>
          </cell>
          <cell r="D165" t="str">
            <v>C</v>
          </cell>
        </row>
        <row r="166">
          <cell r="A166" t="str">
            <v>Phaïm Trung Hieáu</v>
          </cell>
          <cell r="B166" t="str">
            <v>Maintenance</v>
          </cell>
          <cell r="C166" t="str">
            <v>C</v>
          </cell>
          <cell r="D166" t="str">
            <v>B</v>
          </cell>
        </row>
        <row r="167">
          <cell r="A167" t="str">
            <v>Hoaøng Theá Hieän</v>
          </cell>
          <cell r="B167" t="str">
            <v>Warehouse</v>
          </cell>
          <cell r="C167" t="str">
            <v>C</v>
          </cell>
          <cell r="D167" t="str">
            <v>C</v>
          </cell>
        </row>
        <row r="168">
          <cell r="A168" t="str">
            <v>Phan Ñöùc Thieän</v>
          </cell>
          <cell r="B168" t="str">
            <v>Warehouse</v>
          </cell>
          <cell r="C168" t="str">
            <v>C</v>
          </cell>
          <cell r="D168" t="str">
            <v>C</v>
          </cell>
        </row>
        <row r="169">
          <cell r="A169" t="str">
            <v>Nguyeãn Vaên Duõng</v>
          </cell>
          <cell r="B169" t="str">
            <v>Warehouse</v>
          </cell>
          <cell r="C169" t="str">
            <v>C</v>
          </cell>
          <cell r="D169" t="str">
            <v>C</v>
          </cell>
        </row>
        <row r="170">
          <cell r="A170" t="str">
            <v>Phaïm Quoác Tuaán</v>
          </cell>
          <cell r="B170" t="str">
            <v>Coil Assembling</v>
          </cell>
          <cell r="C170" t="str">
            <v>B</v>
          </cell>
          <cell r="D170" t="str">
            <v>C</v>
          </cell>
        </row>
        <row r="171">
          <cell r="A171" t="str">
            <v>Vuõ Vaên Hieäp</v>
          </cell>
          <cell r="B171" t="str">
            <v>Warehouse</v>
          </cell>
          <cell r="C171" t="str">
            <v>C</v>
          </cell>
          <cell r="D171" t="str">
            <v>C</v>
          </cell>
        </row>
        <row r="172">
          <cell r="A172" t="str">
            <v>Nguyeãn Thò Vui</v>
          </cell>
          <cell r="B172" t="str">
            <v>Warehouse</v>
          </cell>
          <cell r="C172" t="str">
            <v>C</v>
          </cell>
          <cell r="D172" t="str">
            <v>C</v>
          </cell>
        </row>
        <row r="173">
          <cell r="A173" t="str">
            <v>Nguyeãn Chí Phöông</v>
          </cell>
          <cell r="B173" t="str">
            <v>Personnel &amp; General Affair Dept</v>
          </cell>
          <cell r="C173" t="str">
            <v>C</v>
          </cell>
          <cell r="D173" t="str">
            <v>C</v>
          </cell>
        </row>
        <row r="174">
          <cell r="A174" t="str">
            <v>Nguyeãn Nhö Mai</v>
          </cell>
          <cell r="B174" t="str">
            <v>Accounting</v>
          </cell>
          <cell r="C174" t="str">
            <v>C</v>
          </cell>
          <cell r="D174" t="str">
            <v>C</v>
          </cell>
        </row>
        <row r="175">
          <cell r="A175" t="str">
            <v>Buøi Quoác Trinh</v>
          </cell>
          <cell r="B175" t="str">
            <v>Personnel &amp; General Affair Dept</v>
          </cell>
          <cell r="C175" t="str">
            <v>C</v>
          </cell>
          <cell r="D175" t="str">
            <v>C</v>
          </cell>
        </row>
        <row r="176">
          <cell r="A176" t="str">
            <v>Leâ Coâng Chöùc</v>
          </cell>
          <cell r="B176" t="str">
            <v>Coil Assembling</v>
          </cell>
          <cell r="C176" t="str">
            <v>B</v>
          </cell>
          <cell r="D176" t="str">
            <v>B</v>
          </cell>
        </row>
        <row r="177">
          <cell r="A177" t="str">
            <v>Voõ Vieät Chính</v>
          </cell>
          <cell r="B177" t="str">
            <v>Metal Assembling</v>
          </cell>
          <cell r="C177" t="str">
            <v>C</v>
          </cell>
          <cell r="D177" t="str">
            <v>B</v>
          </cell>
        </row>
        <row r="178">
          <cell r="A178" t="str">
            <v>Mai Hoaøng Thanh Danh</v>
          </cell>
          <cell r="B178" t="str">
            <v xml:space="preserve">Vislon Assembling </v>
          </cell>
          <cell r="C178" t="str">
            <v>C</v>
          </cell>
          <cell r="D178" t="str">
            <v>D</v>
          </cell>
        </row>
        <row r="179">
          <cell r="A179" t="str">
            <v>Ñoaøn Ñöùc Haèng</v>
          </cell>
          <cell r="B179" t="str">
            <v>Personnel &amp; General Affair Dept</v>
          </cell>
          <cell r="C179" t="str">
            <v>C</v>
          </cell>
          <cell r="D179" t="str">
            <v>C</v>
          </cell>
        </row>
        <row r="180">
          <cell r="A180" t="str">
            <v>Voõ Ñình Thuïy</v>
          </cell>
          <cell r="B180" t="str">
            <v>Vislon Chain</v>
          </cell>
          <cell r="C180" t="str">
            <v>C</v>
          </cell>
          <cell r="D180" t="str">
            <v>D</v>
          </cell>
        </row>
        <row r="181">
          <cell r="A181" t="str">
            <v>Ñaøo Thò Minh Huyeàn</v>
          </cell>
          <cell r="B181" t="str">
            <v>Purchasing</v>
          </cell>
          <cell r="C181" t="str">
            <v>C</v>
          </cell>
          <cell r="D181" t="str">
            <v>B</v>
          </cell>
        </row>
        <row r="182">
          <cell r="A182" t="str">
            <v>Phan Thò Thu Hieáu</v>
          </cell>
          <cell r="B182" t="str">
            <v>Dyeing</v>
          </cell>
          <cell r="C182" t="str">
            <v>C</v>
          </cell>
          <cell r="D182" t="str">
            <v>D</v>
          </cell>
        </row>
        <row r="183">
          <cell r="A183" t="str">
            <v>Nguyeãn Thò Mô</v>
          </cell>
          <cell r="B183" t="str">
            <v>Production planning</v>
          </cell>
          <cell r="C183" t="str">
            <v>C</v>
          </cell>
          <cell r="D183" t="str">
            <v>C</v>
          </cell>
        </row>
        <row r="184">
          <cell r="A184" t="str">
            <v>Nguyeãn Maïnh Cöông</v>
          </cell>
          <cell r="B184" t="str">
            <v>Warehouse</v>
          </cell>
          <cell r="C184" t="str">
            <v>C</v>
          </cell>
          <cell r="D184" t="str">
            <v>C</v>
          </cell>
        </row>
        <row r="185">
          <cell r="A185" t="str">
            <v>Leâ Thanh Bình</v>
          </cell>
          <cell r="B185" t="str">
            <v>Accounting</v>
          </cell>
          <cell r="C185" t="str">
            <v>C</v>
          </cell>
          <cell r="D185" t="str">
            <v>C</v>
          </cell>
        </row>
        <row r="186">
          <cell r="A186" t="str">
            <v>Löu Quang Thoâng</v>
          </cell>
          <cell r="B186" t="str">
            <v>Warehouse</v>
          </cell>
          <cell r="C186" t="str">
            <v>C</v>
          </cell>
          <cell r="D186" t="str">
            <v>C</v>
          </cell>
        </row>
        <row r="187">
          <cell r="A187" t="str">
            <v>Hoà Nhaät Tröôøng</v>
          </cell>
          <cell r="B187" t="str">
            <v>QC/ISO</v>
          </cell>
          <cell r="C187" t="str">
            <v>C</v>
          </cell>
          <cell r="D187" t="str">
            <v>B</v>
          </cell>
        </row>
        <row r="188">
          <cell r="A188" t="str">
            <v>Phan Kim Ngoïc</v>
          </cell>
          <cell r="B188" t="str">
            <v>Production Control</v>
          </cell>
          <cell r="C188" t="str">
            <v>C</v>
          </cell>
          <cell r="D188" t="str">
            <v>C</v>
          </cell>
        </row>
        <row r="189">
          <cell r="A189" t="str">
            <v>Traàn Thò Nguyeät Aùnh</v>
          </cell>
          <cell r="B189" t="str">
            <v>CEC Assembling</v>
          </cell>
          <cell r="C189" t="str">
            <v>B</v>
          </cell>
          <cell r="D189" t="str">
            <v>C</v>
          </cell>
        </row>
        <row r="190">
          <cell r="A190" t="str">
            <v>Mai Vaên Tuaán</v>
          </cell>
          <cell r="B190" t="str">
            <v>CEC Assembling</v>
          </cell>
          <cell r="C190" t="str">
            <v>B</v>
          </cell>
          <cell r="D190" t="str">
            <v>C</v>
          </cell>
        </row>
        <row r="191">
          <cell r="A191" t="str">
            <v>Phuøng Thò Kim Dung</v>
          </cell>
          <cell r="B191" t="str">
            <v>CEC Assembling</v>
          </cell>
          <cell r="C191" t="str">
            <v>B</v>
          </cell>
          <cell r="D191" t="str">
            <v>C</v>
          </cell>
        </row>
        <row r="192">
          <cell r="A192" t="str">
            <v>Hoaøng Thò Sen</v>
          </cell>
          <cell r="B192" t="str">
            <v>Coil Assembling</v>
          </cell>
          <cell r="C192" t="str">
            <v>B</v>
          </cell>
          <cell r="D192" t="str">
            <v>C</v>
          </cell>
        </row>
        <row r="193">
          <cell r="A193" t="str">
            <v>Thaùi Thò Quyønh Nga</v>
          </cell>
          <cell r="B193" t="str">
            <v>Coil Assembling</v>
          </cell>
          <cell r="C193" t="str">
            <v>B</v>
          </cell>
          <cell r="D193" t="str">
            <v>C</v>
          </cell>
        </row>
        <row r="194">
          <cell r="A194" t="str">
            <v>Nguyeãn Thò Thanh Thöôøng</v>
          </cell>
          <cell r="B194" t="str">
            <v>Coil Assembling</v>
          </cell>
          <cell r="C194" t="str">
            <v>B</v>
          </cell>
          <cell r="D194" t="str">
            <v>C</v>
          </cell>
        </row>
        <row r="195">
          <cell r="A195" t="str">
            <v>Nguyeãn Vaên Phong</v>
          </cell>
          <cell r="B195" t="str">
            <v>Coil Assembling</v>
          </cell>
          <cell r="C195" t="str">
            <v>B</v>
          </cell>
          <cell r="D195" t="str">
            <v>C</v>
          </cell>
        </row>
        <row r="196">
          <cell r="A196" t="str">
            <v>Traàn Thuùy Höôøng</v>
          </cell>
          <cell r="B196" t="str">
            <v>Coil Assembling</v>
          </cell>
          <cell r="C196" t="str">
            <v>B</v>
          </cell>
          <cell r="D196" t="str">
            <v>D</v>
          </cell>
        </row>
        <row r="197">
          <cell r="A197" t="str">
            <v>Nguyeãn Vaân Anh Chi</v>
          </cell>
          <cell r="B197" t="str">
            <v>Coil Assembling</v>
          </cell>
          <cell r="C197" t="str">
            <v>B</v>
          </cell>
          <cell r="D197" t="str">
            <v>C</v>
          </cell>
        </row>
        <row r="198">
          <cell r="A198" t="str">
            <v>Phaïm Chi Lan Höông</v>
          </cell>
          <cell r="B198" t="str">
            <v>GA</v>
          </cell>
          <cell r="C198" t="str">
            <v>B</v>
          </cell>
          <cell r="D198" t="str">
            <v>C</v>
          </cell>
        </row>
        <row r="199">
          <cell r="A199" t="str">
            <v>Leâ Hoaøng Vieät</v>
          </cell>
          <cell r="B199" t="str">
            <v>Coil Chain</v>
          </cell>
          <cell r="C199" t="str">
            <v>C</v>
          </cell>
          <cell r="D199" t="str">
            <v>C</v>
          </cell>
        </row>
        <row r="200">
          <cell r="A200" t="str">
            <v>Traàn Maïnh Haø</v>
          </cell>
          <cell r="B200" t="str">
            <v>Warehouse</v>
          </cell>
          <cell r="C200" t="str">
            <v>C</v>
          </cell>
          <cell r="D200" t="str">
            <v>C</v>
          </cell>
        </row>
        <row r="201">
          <cell r="A201" t="str">
            <v>Leâ Vaên Bình</v>
          </cell>
          <cell r="B201" t="str">
            <v>Dyeing</v>
          </cell>
          <cell r="C201" t="str">
            <v>C</v>
          </cell>
          <cell r="D201" t="str">
            <v>B</v>
          </cell>
        </row>
        <row r="202">
          <cell r="A202" t="str">
            <v>Ngoâ Thò Luyeán</v>
          </cell>
          <cell r="B202" t="str">
            <v>Dyeing</v>
          </cell>
          <cell r="C202" t="str">
            <v>C</v>
          </cell>
          <cell r="D202" t="str">
            <v>C</v>
          </cell>
        </row>
        <row r="203">
          <cell r="A203" t="str">
            <v>Ñaëng Vaên Vöông</v>
          </cell>
          <cell r="B203" t="str">
            <v>Maintenance</v>
          </cell>
          <cell r="C203" t="str">
            <v>C</v>
          </cell>
          <cell r="D203" t="str">
            <v>D</v>
          </cell>
        </row>
        <row r="204">
          <cell r="A204" t="str">
            <v>Laâm Leâ Thuùy Haèng</v>
          </cell>
          <cell r="B204" t="str">
            <v>Production Control</v>
          </cell>
          <cell r="C204" t="str">
            <v>C</v>
          </cell>
          <cell r="D204" t="str">
            <v>B</v>
          </cell>
        </row>
        <row r="205">
          <cell r="A205" t="str">
            <v>Traàn Thò Tuaãn</v>
          </cell>
          <cell r="B205" t="str">
            <v>Personnel &amp; General Affair Dept</v>
          </cell>
          <cell r="C205" t="str">
            <v>C</v>
          </cell>
          <cell r="D205" t="str">
            <v>C</v>
          </cell>
        </row>
        <row r="206">
          <cell r="A206" t="str">
            <v>Phaïm Thò Thu Nga</v>
          </cell>
          <cell r="B206" t="str">
            <v>Metal Assembling</v>
          </cell>
          <cell r="C206" t="str">
            <v>C</v>
          </cell>
          <cell r="D206" t="str">
            <v>C</v>
          </cell>
        </row>
        <row r="207">
          <cell r="A207" t="str">
            <v>Phaïm Thuïy Phöông Oanh</v>
          </cell>
          <cell r="B207" t="str">
            <v>Metal Assembling</v>
          </cell>
          <cell r="C207" t="str">
            <v>C</v>
          </cell>
          <cell r="D207" t="str">
            <v>C</v>
          </cell>
        </row>
        <row r="208">
          <cell r="A208" t="str">
            <v>Phaïm Thò Thu Hieàn</v>
          </cell>
          <cell r="B208" t="str">
            <v>Metal Assembling</v>
          </cell>
          <cell r="C208" t="str">
            <v>C</v>
          </cell>
          <cell r="D208" t="str">
            <v>C</v>
          </cell>
        </row>
        <row r="209">
          <cell r="A209" t="str">
            <v>Traàn Vaên Caûnh</v>
          </cell>
          <cell r="B209" t="str">
            <v xml:space="preserve">Vislon Assembling </v>
          </cell>
          <cell r="C209" t="str">
            <v>C</v>
          </cell>
          <cell r="D209" t="str">
            <v>C</v>
          </cell>
        </row>
        <row r="210">
          <cell r="A210" t="str">
            <v>Phaïm Vaên Höõu</v>
          </cell>
          <cell r="B210" t="str">
            <v xml:space="preserve">Vislon Assembling </v>
          </cell>
          <cell r="C210" t="str">
            <v>C</v>
          </cell>
          <cell r="D210" t="str">
            <v>C</v>
          </cell>
        </row>
        <row r="211">
          <cell r="A211" t="str">
            <v>Leâ Thò Kim Ngoïc</v>
          </cell>
          <cell r="B211" t="str">
            <v xml:space="preserve">Vislon Assembling </v>
          </cell>
          <cell r="C211" t="str">
            <v>C</v>
          </cell>
          <cell r="D211" t="str">
            <v>C</v>
          </cell>
        </row>
        <row r="212">
          <cell r="A212" t="str">
            <v>Nguyeãn Huy Huøng</v>
          </cell>
          <cell r="B212" t="str">
            <v>Vislon Chain</v>
          </cell>
          <cell r="C212" t="str">
            <v>C</v>
          </cell>
          <cell r="D212" t="str">
            <v>C</v>
          </cell>
        </row>
        <row r="213">
          <cell r="A213" t="str">
            <v>Nguyeãn Thò Khaùnh Linh</v>
          </cell>
          <cell r="B213" t="str">
            <v>Personnel &amp; General Affair Dept</v>
          </cell>
          <cell r="C213" t="str">
            <v>C</v>
          </cell>
          <cell r="D213" t="str">
            <v>D</v>
          </cell>
        </row>
        <row r="214">
          <cell r="A214" t="str">
            <v>Nguyeãn Thò Hueá</v>
          </cell>
          <cell r="B214" t="str">
            <v>QC/ISO</v>
          </cell>
          <cell r="C214" t="str">
            <v>C</v>
          </cell>
          <cell r="D214" t="str">
            <v>D</v>
          </cell>
        </row>
        <row r="215">
          <cell r="A215" t="str">
            <v>Nguyeãn Thò Ngoïc Hueä</v>
          </cell>
          <cell r="B215" t="str">
            <v>QC/ISO</v>
          </cell>
          <cell r="C215" t="str">
            <v>C</v>
          </cell>
          <cell r="D215" t="str">
            <v>D</v>
          </cell>
        </row>
        <row r="216">
          <cell r="A216" t="str">
            <v>Toâ Thò Nhö Hueá</v>
          </cell>
          <cell r="B216" t="str">
            <v>QC/ISO</v>
          </cell>
          <cell r="C216" t="str">
            <v>C</v>
          </cell>
          <cell r="D216" t="str">
            <v>D</v>
          </cell>
        </row>
        <row r="217">
          <cell r="A217" t="str">
            <v>Öng Thò Phöông Dung</v>
          </cell>
          <cell r="B217" t="str">
            <v>QC/ISO</v>
          </cell>
          <cell r="C217" t="str">
            <v>C</v>
          </cell>
          <cell r="D217" t="str">
            <v>D</v>
          </cell>
        </row>
        <row r="218">
          <cell r="A218" t="str">
            <v>Nguyeãn Thò Vaân Anh</v>
          </cell>
          <cell r="B218" t="str">
            <v>QC/ISO</v>
          </cell>
          <cell r="C218" t="str">
            <v>C</v>
          </cell>
          <cell r="D218" t="str">
            <v>D</v>
          </cell>
        </row>
        <row r="219">
          <cell r="A219" t="str">
            <v>Phaïm Thò Thu Hoàng</v>
          </cell>
          <cell r="B219" t="str">
            <v>QC/ISO</v>
          </cell>
          <cell r="C219" t="str">
            <v>C</v>
          </cell>
          <cell r="D219" t="str">
            <v>D</v>
          </cell>
        </row>
        <row r="222">
          <cell r="A222" t="str">
            <v>Voõ Thanh Höng</v>
          </cell>
          <cell r="B222" t="str">
            <v>Zipper Sales</v>
          </cell>
          <cell r="C222" t="str">
            <v>B</v>
          </cell>
          <cell r="D222" t="str">
            <v>B</v>
          </cell>
        </row>
        <row r="223">
          <cell r="A223" t="str">
            <v>Nguyeãn Quoác Long</v>
          </cell>
          <cell r="B223" t="str">
            <v>Zipper Sales</v>
          </cell>
          <cell r="C223" t="str">
            <v>B</v>
          </cell>
          <cell r="D223" t="str">
            <v>C</v>
          </cell>
        </row>
        <row r="224">
          <cell r="A224" t="str">
            <v>Döông Ngoïc Sôn</v>
          </cell>
          <cell r="B224" t="str">
            <v>Marketing</v>
          </cell>
          <cell r="C224" t="str">
            <v>B</v>
          </cell>
          <cell r="D224" t="str">
            <v>B</v>
          </cell>
        </row>
        <row r="225">
          <cell r="A225" t="str">
            <v>Löông Quang Vinh</v>
          </cell>
          <cell r="B225" t="str">
            <v>Zipper Sales</v>
          </cell>
          <cell r="C225" t="str">
            <v>B</v>
          </cell>
          <cell r="D225" t="str">
            <v>C</v>
          </cell>
        </row>
        <row r="226">
          <cell r="A226" t="str">
            <v>Ñoã Thò Baïch Yeán</v>
          </cell>
          <cell r="B226" t="str">
            <v>Import - Export</v>
          </cell>
          <cell r="C226" t="str">
            <v>C</v>
          </cell>
          <cell r="D226" t="str">
            <v>B</v>
          </cell>
        </row>
        <row r="227">
          <cell r="A227" t="str">
            <v>Leâ Lan Anh</v>
          </cell>
          <cell r="B227" t="str">
            <v>Planning</v>
          </cell>
          <cell r="C227" t="str">
            <v>C</v>
          </cell>
          <cell r="D227" t="str">
            <v>B</v>
          </cell>
        </row>
        <row r="228">
          <cell r="A228" t="str">
            <v>Traàn Nguyeãn Tuyeát Anh</v>
          </cell>
          <cell r="B228" t="str">
            <v>Import - Export</v>
          </cell>
          <cell r="C228" t="str">
            <v>C</v>
          </cell>
          <cell r="D228" t="str">
            <v>C</v>
          </cell>
        </row>
        <row r="229">
          <cell r="A229" t="str">
            <v>Trieäu Tuù Vaân</v>
          </cell>
          <cell r="B229" t="str">
            <v>Planning</v>
          </cell>
          <cell r="C229" t="str">
            <v>C</v>
          </cell>
          <cell r="D229" t="str">
            <v>C</v>
          </cell>
        </row>
        <row r="230">
          <cell r="A230" t="str">
            <v>Traàn Thò Thanh Bình</v>
          </cell>
          <cell r="B230" t="str">
            <v>Acccounting &amp; GA</v>
          </cell>
          <cell r="C230" t="str">
            <v>C</v>
          </cell>
          <cell r="D230" t="str">
            <v>B</v>
          </cell>
        </row>
        <row r="231">
          <cell r="A231" t="str">
            <v>Tieâu Troïng Khieâm</v>
          </cell>
          <cell r="B231" t="str">
            <v>Acccounting &amp; GA</v>
          </cell>
          <cell r="C231" t="str">
            <v>C</v>
          </cell>
          <cell r="D231" t="str">
            <v>C</v>
          </cell>
        </row>
        <row r="232">
          <cell r="A232" t="str">
            <v>Phaïm Baù Long</v>
          </cell>
          <cell r="B232" t="str">
            <v>Acccounting &amp; GA</v>
          </cell>
          <cell r="C232" t="str">
            <v>C</v>
          </cell>
          <cell r="D232" t="str">
            <v>C</v>
          </cell>
        </row>
        <row r="233">
          <cell r="A233" t="str">
            <v>Nguyeãn Thò Ngoïc Mai</v>
          </cell>
          <cell r="B233" t="str">
            <v>Acccounting &amp; GA</v>
          </cell>
          <cell r="C233" t="str">
            <v>C</v>
          </cell>
          <cell r="D233" t="str">
            <v>B</v>
          </cell>
        </row>
        <row r="234">
          <cell r="A234" t="str">
            <v>Nguyeãn Thò Lieân Höông</v>
          </cell>
          <cell r="B234" t="str">
            <v>Acccounting &amp; GA</v>
          </cell>
          <cell r="C234" t="str">
            <v>C</v>
          </cell>
          <cell r="D234" t="str">
            <v>C</v>
          </cell>
        </row>
        <row r="235">
          <cell r="A235" t="str">
            <v>Ngoâ Trí Trung</v>
          </cell>
          <cell r="B235" t="str">
            <v>Zipper Sales</v>
          </cell>
          <cell r="C235" t="str">
            <v>B</v>
          </cell>
          <cell r="D235" t="str">
            <v>B</v>
          </cell>
        </row>
        <row r="236">
          <cell r="A236" t="str">
            <v>Voõ Thò Yeán</v>
          </cell>
          <cell r="B236" t="str">
            <v>Planning</v>
          </cell>
          <cell r="C236" t="str">
            <v>C</v>
          </cell>
          <cell r="D236" t="str">
            <v>C</v>
          </cell>
        </row>
        <row r="237">
          <cell r="A237" t="str">
            <v>Nguyeãn Quyù Chính</v>
          </cell>
          <cell r="B237" t="str">
            <v>S&amp;B Sales</v>
          </cell>
          <cell r="C237" t="str">
            <v>D</v>
          </cell>
          <cell r="D237" t="str">
            <v>C</v>
          </cell>
        </row>
        <row r="238">
          <cell r="A238" t="str">
            <v>Dieäp Tieán Thònh</v>
          </cell>
          <cell r="B238" t="str">
            <v>T&amp;P Sales</v>
          </cell>
          <cell r="C238" t="str">
            <v>D</v>
          </cell>
          <cell r="D238" t="str">
            <v>B</v>
          </cell>
        </row>
        <row r="239">
          <cell r="A239" t="str">
            <v>Nguyeãn Ngoïc Tieân Dung</v>
          </cell>
          <cell r="B239" t="str">
            <v>Import - Export</v>
          </cell>
          <cell r="C239" t="str">
            <v>C</v>
          </cell>
          <cell r="D239" t="str">
            <v>C</v>
          </cell>
        </row>
        <row r="240">
          <cell r="A240" t="str">
            <v>Huyønh Thò Gia Loäc</v>
          </cell>
          <cell r="B240" t="str">
            <v>Planning</v>
          </cell>
          <cell r="C240" t="str">
            <v>C</v>
          </cell>
          <cell r="D240" t="str">
            <v>C</v>
          </cell>
        </row>
        <row r="241">
          <cell r="A241" t="str">
            <v>Leâ Nhöït Minh</v>
          </cell>
          <cell r="B241" t="str">
            <v>Acccounting &amp; GA</v>
          </cell>
          <cell r="C241" t="str">
            <v>C</v>
          </cell>
          <cell r="D241" t="str">
            <v>C</v>
          </cell>
        </row>
        <row r="242">
          <cell r="A242" t="str">
            <v>Ñaëng Ñình Ngoïc Chaâu</v>
          </cell>
          <cell r="B242" t="str">
            <v>Zipper Sales</v>
          </cell>
          <cell r="C242" t="str">
            <v>B</v>
          </cell>
          <cell r="D242" t="str">
            <v>C</v>
          </cell>
        </row>
        <row r="243">
          <cell r="A243" t="str">
            <v>Nguyeãn Thò Dieäu Bình</v>
          </cell>
          <cell r="B243" t="str">
            <v>T&amp;P Sales</v>
          </cell>
          <cell r="C243" t="str">
            <v>D</v>
          </cell>
          <cell r="D243" t="str">
            <v>C</v>
          </cell>
        </row>
        <row r="244">
          <cell r="A244" t="str">
            <v>Leâ Thò Khaùnh Trang</v>
          </cell>
          <cell r="B244" t="str">
            <v>S&amp;B Sales</v>
          </cell>
          <cell r="C244" t="str">
            <v>D</v>
          </cell>
          <cell r="D244" t="str">
            <v>C</v>
          </cell>
        </row>
        <row r="245">
          <cell r="A245" t="str">
            <v>Phan Thò Thuøy Trang</v>
          </cell>
          <cell r="B245" t="str">
            <v>T&amp;P Sales</v>
          </cell>
          <cell r="C245" t="str">
            <v>D</v>
          </cell>
          <cell r="D245" t="str">
            <v>C</v>
          </cell>
        </row>
        <row r="246">
          <cell r="A246" t="str">
            <v>Leâ Thò Vaân Thanh</v>
          </cell>
          <cell r="B246" t="str">
            <v>S&amp;B Sales</v>
          </cell>
          <cell r="C246" t="str">
            <v>D</v>
          </cell>
          <cell r="D246" t="str">
            <v>C</v>
          </cell>
        </row>
        <row r="247">
          <cell r="A247" t="str">
            <v>Ñaøo Ngoïc Queá Anh</v>
          </cell>
          <cell r="B247" t="str">
            <v>Acccounting &amp; GA</v>
          </cell>
          <cell r="C247" t="str">
            <v>C</v>
          </cell>
          <cell r="D247" t="str">
            <v>C</v>
          </cell>
        </row>
        <row r="248">
          <cell r="A248" t="str">
            <v>Traàn Höõu Lan Chi</v>
          </cell>
          <cell r="B248" t="str">
            <v>Import - Export</v>
          </cell>
          <cell r="C248" t="str">
            <v>C</v>
          </cell>
          <cell r="D248" t="str">
            <v>C</v>
          </cell>
        </row>
        <row r="249">
          <cell r="A249" t="str">
            <v>Baïch Minh Haø</v>
          </cell>
          <cell r="B249" t="str">
            <v>Marketing</v>
          </cell>
          <cell r="C249" t="str">
            <v>B</v>
          </cell>
          <cell r="D249" t="str">
            <v>C</v>
          </cell>
        </row>
        <row r="250">
          <cell r="A250" t="str">
            <v>Traàn thò Khaùnh Vaân</v>
          </cell>
          <cell r="B250" t="str">
            <v>Planning</v>
          </cell>
          <cell r="C250" t="str">
            <v>C</v>
          </cell>
          <cell r="D250" t="str">
            <v>C</v>
          </cell>
        </row>
        <row r="251">
          <cell r="A251" t="str">
            <v>Tröông Vaên Tieán</v>
          </cell>
          <cell r="B251" t="str">
            <v>Zipper Sales</v>
          </cell>
          <cell r="C251" t="str">
            <v>B</v>
          </cell>
          <cell r="D251" t="str">
            <v>B</v>
          </cell>
        </row>
        <row r="252">
          <cell r="A252" t="str">
            <v>Huyønh Thò Kim Phöôïng</v>
          </cell>
          <cell r="B252" t="str">
            <v>Acccounting &amp; GA</v>
          </cell>
          <cell r="C252" t="str">
            <v>C</v>
          </cell>
          <cell r="D252" t="str">
            <v>C</v>
          </cell>
        </row>
        <row r="253">
          <cell r="A253" t="str">
            <v>Laâm Quang Minh</v>
          </cell>
          <cell r="B253" t="str">
            <v>IT</v>
          </cell>
          <cell r="C253" t="str">
            <v>C</v>
          </cell>
          <cell r="D253" t="str">
            <v>C</v>
          </cell>
        </row>
        <row r="254">
          <cell r="A254" t="str">
            <v>Traàn Thò Phöông Linh</v>
          </cell>
          <cell r="B254" t="str">
            <v>IT</v>
          </cell>
          <cell r="C254" t="str">
            <v>C</v>
          </cell>
          <cell r="D254" t="str">
            <v>C</v>
          </cell>
        </row>
        <row r="255">
          <cell r="A255" t="str">
            <v>Nguyeãn Cao Sang</v>
          </cell>
          <cell r="B255" t="str">
            <v>Acccounting &amp; GA</v>
          </cell>
          <cell r="C255" t="str">
            <v>C</v>
          </cell>
          <cell r="D255" t="str">
            <v>C</v>
          </cell>
        </row>
        <row r="256">
          <cell r="A256" t="str">
            <v>Ñaëng An Ninh</v>
          </cell>
          <cell r="B256" t="str">
            <v>Acccounting &amp; GA</v>
          </cell>
          <cell r="C256" t="str">
            <v>C</v>
          </cell>
          <cell r="D256" t="str">
            <v>C</v>
          </cell>
        </row>
        <row r="257">
          <cell r="A257" t="str">
            <v>Traàn Vaên Bình</v>
          </cell>
          <cell r="B257" t="str">
            <v>Acccounting &amp; GA</v>
          </cell>
          <cell r="C257" t="str">
            <v>C</v>
          </cell>
          <cell r="D257" t="str">
            <v>C</v>
          </cell>
        </row>
        <row r="258">
          <cell r="A258" t="str">
            <v>Lö Gia Maãn</v>
          </cell>
          <cell r="B258" t="str">
            <v>S&amp;B Sales</v>
          </cell>
          <cell r="C258" t="str">
            <v>D</v>
          </cell>
          <cell r="D258" t="str">
            <v>C</v>
          </cell>
        </row>
        <row r="259">
          <cell r="A259" t="str">
            <v>Voõ Theá Phöông</v>
          </cell>
          <cell r="B259" t="str">
            <v>IT</v>
          </cell>
          <cell r="C259" t="str">
            <v>C</v>
          </cell>
          <cell r="D259" t="str">
            <v>C</v>
          </cell>
        </row>
        <row r="260">
          <cell r="A260" t="str">
            <v>Leâ Thò Thôm</v>
          </cell>
          <cell r="B260" t="str">
            <v>Zipper Sales</v>
          </cell>
          <cell r="C260" t="str">
            <v>B</v>
          </cell>
          <cell r="D260" t="str">
            <v>C</v>
          </cell>
        </row>
        <row r="261">
          <cell r="A261" t="str">
            <v>Phaïm Leâ Hieàn</v>
          </cell>
          <cell r="B261" t="str">
            <v>Planning</v>
          </cell>
          <cell r="C261" t="str">
            <v>C</v>
          </cell>
          <cell r="D261" t="str">
            <v>C</v>
          </cell>
        </row>
        <row r="262">
          <cell r="A262" t="str">
            <v>Nguyeãn Xuaân Taâm</v>
          </cell>
          <cell r="B262" t="str">
            <v>Zipper Sales</v>
          </cell>
          <cell r="C262" t="str">
            <v>B</v>
          </cell>
          <cell r="D262" t="str">
            <v>C</v>
          </cell>
        </row>
        <row r="263">
          <cell r="A263" t="str">
            <v>Nguyeãn Ngoïc Haûi</v>
          </cell>
          <cell r="B263" t="str">
            <v>Zipper Sales</v>
          </cell>
          <cell r="C263" t="str">
            <v>B</v>
          </cell>
          <cell r="D263" t="str">
            <v>D</v>
          </cell>
        </row>
        <row r="264">
          <cell r="A264" t="str">
            <v>Noun Samithik</v>
          </cell>
          <cell r="B264" t="str">
            <v>Planning</v>
          </cell>
          <cell r="C264" t="str">
            <v>C</v>
          </cell>
          <cell r="D264" t="str">
            <v>C</v>
          </cell>
        </row>
        <row r="265">
          <cell r="A265" t="str">
            <v>Mell Manin</v>
          </cell>
          <cell r="B265" t="str">
            <v>S&amp;B Sales</v>
          </cell>
          <cell r="C265" t="str">
            <v>D</v>
          </cell>
          <cell r="D265" t="str">
            <v>D</v>
          </cell>
        </row>
        <row r="266">
          <cell r="A266" t="str">
            <v>Tep Sophal</v>
          </cell>
          <cell r="B266" t="str">
            <v>Zipper Sales</v>
          </cell>
          <cell r="C266" t="str">
            <v>B</v>
          </cell>
          <cell r="D266" t="str">
            <v>D</v>
          </cell>
        </row>
      </sheetData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Company Information"/>
      <sheetName val="Salary &amp; Staffing"/>
      <sheetName val="Short Term Incentives"/>
      <sheetName val="Benefits-1"/>
      <sheetName val="Benefits Summary"/>
      <sheetName val="Benefits-2"/>
      <sheetName val="Retirement"/>
      <sheetName val="Incumbent Data"/>
      <sheetName val="Coding"/>
      <sheetName val="Exchange Rate"/>
      <sheetName val="printout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E1" t="str">
            <v>Beijing</v>
          </cell>
        </row>
        <row r="2">
          <cell r="AE2" t="str">
            <v>Chengdu</v>
          </cell>
        </row>
        <row r="3">
          <cell r="AE3" t="str">
            <v>Chongqing</v>
          </cell>
          <cell r="AF3" t="str">
            <v>100 - Top Management</v>
          </cell>
          <cell r="AH3" t="str">
            <v>100.000.112  Head of Organisation - Group (Tier 0)</v>
          </cell>
        </row>
        <row r="4">
          <cell r="Y4">
            <v>1</v>
          </cell>
          <cell r="AA4" t="str">
            <v>Argentina</v>
          </cell>
          <cell r="AB4" t="str">
            <v xml:space="preserve">[AU]  Australia Pacific Exchange (APX) </v>
          </cell>
          <cell r="AE4" t="str">
            <v>Dalian</v>
          </cell>
          <cell r="AF4" t="str">
            <v>110 - Corporate Affairs</v>
          </cell>
          <cell r="AH4" t="str">
            <v>100.010.110  Head of Subsidiary/Division (Tier 1)</v>
          </cell>
        </row>
        <row r="5">
          <cell r="Y5">
            <v>2</v>
          </cell>
          <cell r="AA5" t="str">
            <v>Australia</v>
          </cell>
          <cell r="AB5" t="str">
            <v xml:space="preserve">[AU]  Australian Stock Exchange (ASX) </v>
          </cell>
          <cell r="AE5" t="str">
            <v>Dongguang</v>
          </cell>
          <cell r="AF5" t="str">
            <v>115 - Legal</v>
          </cell>
          <cell r="AH5" t="str">
            <v>100.020.110  Head of Territory Management (Tier 2)</v>
          </cell>
        </row>
        <row r="6">
          <cell r="Y6">
            <v>3</v>
          </cell>
          <cell r="AA6" t="str">
            <v>Austria</v>
          </cell>
          <cell r="AB6" t="str">
            <v xml:space="preserve">[AU]  Bendigo Stock Exchange (BSX) </v>
          </cell>
          <cell r="AE6" t="str">
            <v>Fuzhou</v>
          </cell>
          <cell r="AF6" t="str">
            <v>120 - HR</v>
          </cell>
          <cell r="AH6" t="str">
            <v>100.030.110  General Manager/Country Manager (MD) (Tier 3)</v>
          </cell>
        </row>
        <row r="7">
          <cell r="Y7">
            <v>4</v>
          </cell>
          <cell r="AA7" t="str">
            <v>Belgium</v>
          </cell>
          <cell r="AB7" t="str">
            <v xml:space="preserve">[AU]  Newcastle Stock Exchange (NSX) </v>
          </cell>
          <cell r="AE7" t="str">
            <v>Guangzhou</v>
          </cell>
          <cell r="AF7" t="str">
            <v>140 - Communications</v>
          </cell>
          <cell r="AH7" t="str">
            <v>100.030.120  Head of Operations (COO) (Tier 3)</v>
          </cell>
        </row>
        <row r="8">
          <cell r="Y8">
            <v>5</v>
          </cell>
          <cell r="AA8" t="str">
            <v>Brazil</v>
          </cell>
          <cell r="AB8" t="str">
            <v xml:space="preserve">[BR]  Bovespa (State of São Paulo Stock Exchange) </v>
          </cell>
          <cell r="AE8" t="str">
            <v>Hangzhou</v>
          </cell>
          <cell r="AF8" t="str">
            <v>150 - Consulting</v>
          </cell>
          <cell r="AH8" t="str">
            <v>100.040.120  Deputy General Manager</v>
          </cell>
        </row>
        <row r="9">
          <cell r="Y9">
            <v>6</v>
          </cell>
          <cell r="AA9" t="str">
            <v>Bulgaria</v>
          </cell>
          <cell r="AB9" t="str">
            <v xml:space="preserve">[BR]  Brazilian Mercantile and Futures Exchange (BM&amp;F) </v>
          </cell>
          <cell r="AE9" t="str">
            <v>Nanjing</v>
          </cell>
          <cell r="AF9" t="str">
            <v>200 - Finance and Admin</v>
          </cell>
          <cell r="AH9" t="str">
            <v>100.100.130  Head of Branch Operations</v>
          </cell>
        </row>
        <row r="10">
          <cell r="Y10">
            <v>7</v>
          </cell>
          <cell r="AA10" t="str">
            <v>Canada</v>
          </cell>
          <cell r="AB10" t="str">
            <v xml:space="preserve">[BR]  Maringá Mercantile and Futures Exchange </v>
          </cell>
          <cell r="AE10" t="str">
            <v>Ningbo</v>
          </cell>
          <cell r="AF10" t="str">
            <v>210 - Finance</v>
          </cell>
          <cell r="AH10" t="str">
            <v>100.100.350  Branch Operations Executive</v>
          </cell>
        </row>
        <row r="11">
          <cell r="Y11">
            <v>8</v>
          </cell>
          <cell r="AA11" t="str">
            <v>Chile</v>
          </cell>
          <cell r="AB11" t="str">
            <v xml:space="preserve">[BR]  Rio de Janeiro Stock Exchange (BVRJ) </v>
          </cell>
          <cell r="AE11" t="str">
            <v>Qingdao</v>
          </cell>
          <cell r="AF11" t="str">
            <v>220 - Administration</v>
          </cell>
          <cell r="AH11" t="str">
            <v>110.100.130  Corporate Secretary</v>
          </cell>
        </row>
        <row r="12">
          <cell r="R12">
            <v>1</v>
          </cell>
          <cell r="Y12">
            <v>9</v>
          </cell>
          <cell r="AA12" t="str">
            <v>China</v>
          </cell>
          <cell r="AB12" t="str">
            <v xml:space="preserve">[CA]  Alberta Stock Exchange (ASE) </v>
          </cell>
          <cell r="AE12" t="str">
            <v>Shanghai</v>
          </cell>
          <cell r="AF12" t="str">
            <v>310 - I T</v>
          </cell>
          <cell r="AH12" t="str">
            <v>110.101.130  Top Long-term Business Planning Executive</v>
          </cell>
        </row>
        <row r="13">
          <cell r="R13">
            <v>2</v>
          </cell>
          <cell r="Y13">
            <v>10</v>
          </cell>
          <cell r="AA13" t="str">
            <v>Colombia</v>
          </cell>
          <cell r="AB13" t="str">
            <v xml:space="preserve">[CA]  Canadian Venture Exchange </v>
          </cell>
          <cell r="AE13" t="str">
            <v>Shenyang</v>
          </cell>
          <cell r="AF13" t="str">
            <v>320 - IT Analysis &amp; Design</v>
          </cell>
          <cell r="AH13" t="str">
            <v xml:space="preserve">110.200.130  Head of Regulatory Affairs </v>
          </cell>
        </row>
        <row r="14">
          <cell r="R14">
            <v>3</v>
          </cell>
          <cell r="Y14">
            <v>11</v>
          </cell>
          <cell r="AA14" t="str">
            <v>Costa Rica</v>
          </cell>
          <cell r="AB14" t="str">
            <v xml:space="preserve">[CA]  Montreal Curb Market/Canadian Stock Exchange </v>
          </cell>
          <cell r="AE14" t="str">
            <v>Shenzhen</v>
          </cell>
          <cell r="AF14" t="str">
            <v>330 - IT Deployment &amp; Support</v>
          </cell>
          <cell r="AH14" t="str">
            <v>110.200.133  Head of Compliance</v>
          </cell>
        </row>
        <row r="15">
          <cell r="R15">
            <v>4</v>
          </cell>
          <cell r="Y15">
            <v>12</v>
          </cell>
          <cell r="AA15" t="str">
            <v>Croatia</v>
          </cell>
          <cell r="AB15" t="str">
            <v xml:space="preserve">[CA]  Nasdaq Canada </v>
          </cell>
          <cell r="AE15" t="str">
            <v>Suzhou</v>
          </cell>
          <cell r="AF15" t="str">
            <v>400 - Sales &amp; Marketing</v>
          </cell>
          <cell r="AH15" t="str">
            <v>110.200.213  Senior Compliance Manager</v>
          </cell>
        </row>
        <row r="16">
          <cell r="R16">
            <v>5</v>
          </cell>
          <cell r="Y16">
            <v>13</v>
          </cell>
          <cell r="AA16" t="str">
            <v>Czech Republic</v>
          </cell>
          <cell r="AB16" t="str">
            <v xml:space="preserve">[CA]  Toronto Stock Exchange (TSE), TSX is the main index of TSE </v>
          </cell>
          <cell r="AE16" t="str">
            <v>Tianjin</v>
          </cell>
          <cell r="AF16" t="str">
            <v>410 - Marketing</v>
          </cell>
          <cell r="AH16" t="str">
            <v>110.200.220  Regulatory Affairs Manager</v>
          </cell>
        </row>
        <row r="17">
          <cell r="R17">
            <v>6</v>
          </cell>
          <cell r="Y17">
            <v>14</v>
          </cell>
          <cell r="AA17" t="str">
            <v>Denmark</v>
          </cell>
          <cell r="AB17" t="str">
            <v xml:space="preserve">[CA]  TSX Venture Exchange </v>
          </cell>
          <cell r="AE17" t="str">
            <v>Wuhan</v>
          </cell>
          <cell r="AF17" t="str">
            <v>420 - Sales</v>
          </cell>
          <cell r="AH17" t="str">
            <v>110.200.223  Compliance Manager</v>
          </cell>
        </row>
        <row r="18">
          <cell r="R18">
            <v>7</v>
          </cell>
          <cell r="Y18">
            <v>15</v>
          </cell>
          <cell r="AA18" t="str">
            <v>El Salvador</v>
          </cell>
          <cell r="AB18" t="str">
            <v xml:space="preserve">[CA]  Vancouver Stock Exchange </v>
          </cell>
          <cell r="AE18" t="str">
            <v>Wuxi</v>
          </cell>
          <cell r="AF18" t="str">
            <v>430 - Contact Centre</v>
          </cell>
          <cell r="AH18" t="str">
            <v>110.200.340  Senior Regulatory Affairs Officer</v>
          </cell>
        </row>
        <row r="19">
          <cell r="R19">
            <v>8</v>
          </cell>
          <cell r="Y19">
            <v>16</v>
          </cell>
          <cell r="AA19" t="str">
            <v>Finland</v>
          </cell>
          <cell r="AB19" t="str">
            <v xml:space="preserve">[CA]  Winnipeg Stock Exchange </v>
          </cell>
          <cell r="AE19" t="str">
            <v>Xiamen</v>
          </cell>
          <cell r="AF19" t="str">
            <v>500 - R&amp;D</v>
          </cell>
          <cell r="AH19" t="str">
            <v>110.200.343  Senior Compliance Officer</v>
          </cell>
        </row>
        <row r="20">
          <cell r="R20">
            <v>9</v>
          </cell>
          <cell r="Y20">
            <v>17</v>
          </cell>
          <cell r="AA20" t="str">
            <v>France</v>
          </cell>
          <cell r="AB20" t="str">
            <v xml:space="preserve">[CH]  SWX Swiss Exchange </v>
          </cell>
          <cell r="AE20" t="str">
            <v>Xi'an</v>
          </cell>
          <cell r="AF20" t="str">
            <v>510 - Engineering</v>
          </cell>
          <cell r="AH20" t="str">
            <v>110.200.350  Regulatory Affairs Officer / Registrar</v>
          </cell>
        </row>
        <row r="21">
          <cell r="R21">
            <v>10</v>
          </cell>
          <cell r="Y21">
            <v>18</v>
          </cell>
          <cell r="AA21" t="str">
            <v>Germany</v>
          </cell>
          <cell r="AB21" t="str">
            <v xml:space="preserve">[CN]  Shanghai Metal Exchange </v>
          </cell>
          <cell r="AE21" t="str">
            <v>Others</v>
          </cell>
          <cell r="AF21" t="str">
            <v>520 - Project Engineering</v>
          </cell>
          <cell r="AH21" t="str">
            <v>110.200.353  Compliance Officer</v>
          </cell>
        </row>
        <row r="22">
          <cell r="Y22">
            <v>19</v>
          </cell>
          <cell r="AA22" t="str">
            <v>Greece</v>
          </cell>
          <cell r="AB22" t="str">
            <v xml:space="preserve">[CN]  Shanghai Stock Exchange </v>
          </cell>
          <cell r="AF22" t="str">
            <v>550 - Repair &amp; Maintenance</v>
          </cell>
          <cell r="AH22" t="str">
            <v>110.200.430  Compliance Assistant</v>
          </cell>
        </row>
        <row r="23">
          <cell r="Y23">
            <v>20</v>
          </cell>
          <cell r="AA23" t="str">
            <v>Guatemala</v>
          </cell>
          <cell r="AB23" t="str">
            <v xml:space="preserve">[CN]  Shenzhen Stock Exchange </v>
          </cell>
          <cell r="AF23" t="str">
            <v>600 - Manufacturing</v>
          </cell>
          <cell r="AH23" t="str">
            <v>110.204.130  Head of Corporate Planning</v>
          </cell>
        </row>
        <row r="24">
          <cell r="AA24" t="str">
            <v>Hong Kong</v>
          </cell>
          <cell r="AB24" t="str">
            <v xml:space="preserve">[DE]  Börse München </v>
          </cell>
          <cell r="AF24" t="str">
            <v>610 - Supply &amp; Logistics</v>
          </cell>
          <cell r="AH24" t="str">
            <v>110.204.220  Corporate Planning Manager</v>
          </cell>
        </row>
        <row r="25">
          <cell r="R25">
            <v>1</v>
          </cell>
          <cell r="AA25" t="str">
            <v>Hungary</v>
          </cell>
          <cell r="AB25" t="str">
            <v xml:space="preserve">[DE]  Frankfurt Stock Exchange (owned by Deutsche Börse DAX) </v>
          </cell>
          <cell r="AF25" t="str">
            <v xml:space="preserve">620 - Quality </v>
          </cell>
          <cell r="AH25" t="str">
            <v>110.204.340  Senior Corporate Planning Officer</v>
          </cell>
        </row>
        <row r="26">
          <cell r="R26">
            <v>2</v>
          </cell>
          <cell r="Y26">
            <v>40</v>
          </cell>
          <cell r="AA26" t="str">
            <v>India</v>
          </cell>
          <cell r="AB26" t="str">
            <v xml:space="preserve">[DK]  Copenhagen Stock Exchange (KFX), one of the OMX Exchanges </v>
          </cell>
          <cell r="AF26" t="str">
            <v>700 - Energy/Exploration/Extraction</v>
          </cell>
          <cell r="AH26" t="str">
            <v>110.204.350  Corporate Planning Officer</v>
          </cell>
        </row>
        <row r="27">
          <cell r="R27">
            <v>3</v>
          </cell>
          <cell r="Y27">
            <v>41</v>
          </cell>
          <cell r="AA27" t="str">
            <v>Indonesia</v>
          </cell>
          <cell r="AB27" t="str">
            <v xml:space="preserve">[FI]  Helsinki Stock Exchange, one of the OMX Exchanges </v>
          </cell>
          <cell r="AF27" t="str">
            <v>760 - Pharmaceutical &amp; Medicine</v>
          </cell>
          <cell r="AH27" t="str">
            <v>110.208.130  Head of Government Relations</v>
          </cell>
        </row>
        <row r="28">
          <cell r="R28">
            <v>4</v>
          </cell>
          <cell r="Y28">
            <v>42</v>
          </cell>
          <cell r="AA28" t="str">
            <v>Ireland</v>
          </cell>
          <cell r="AB28" t="str">
            <v xml:space="preserve">[FR]  Euronext Paris (CAC 40) </v>
          </cell>
          <cell r="AF28" t="str">
            <v>840 - High Tech</v>
          </cell>
          <cell r="AH28" t="str">
            <v>110.208.220  Government Relations Manager</v>
          </cell>
        </row>
        <row r="29">
          <cell r="R29">
            <v>5</v>
          </cell>
          <cell r="Y29">
            <v>43</v>
          </cell>
          <cell r="AA29" t="str">
            <v>Israel</v>
          </cell>
          <cell r="AB29" t="str">
            <v xml:space="preserve">[GB]  London Stock Exchange (FTSE 100 Index) </v>
          </cell>
          <cell r="AF29" t="str">
            <v>850 - Chemicals</v>
          </cell>
          <cell r="AH29" t="str">
            <v>110.208.340  Senior Government Relations Officer</v>
          </cell>
        </row>
        <row r="30">
          <cell r="Y30">
            <v>44</v>
          </cell>
          <cell r="AA30" t="str">
            <v>Italy</v>
          </cell>
          <cell r="AB30" t="str">
            <v xml:space="preserve">[HK]  Hong Kong Exchanges and Clearing (HKEx) </v>
          </cell>
          <cell r="AH30" t="str">
            <v xml:space="preserve">110.208.350  Government Relations Officer </v>
          </cell>
        </row>
        <row r="31">
          <cell r="Y31">
            <v>45</v>
          </cell>
          <cell r="AA31" t="str">
            <v>Japan</v>
          </cell>
          <cell r="AB31" t="str">
            <v xml:space="preserve">[HK]  Stock Exchange of Hong Kong (SEHK), precursor to Hong Kong Exchanges and Clearing </v>
          </cell>
          <cell r="AH31" t="str">
            <v>110.209.130  Head of Public Relations</v>
          </cell>
        </row>
        <row r="32">
          <cell r="Y32">
            <v>46</v>
          </cell>
          <cell r="AA32" t="str">
            <v>Latvia</v>
          </cell>
          <cell r="AB32" t="str">
            <v xml:space="preserve">[ID]  Jakarta Futures Exchange (JFX) [3] </v>
          </cell>
          <cell r="AH32" t="str">
            <v>110.209.220  Public Relations Manager</v>
          </cell>
        </row>
        <row r="33">
          <cell r="Y33">
            <v>47</v>
          </cell>
          <cell r="AA33" t="str">
            <v>Lithuania</v>
          </cell>
          <cell r="AB33" t="str">
            <v xml:space="preserve">[ID]  Jakarta Stock Exchange (JSX) </v>
          </cell>
          <cell r="AH33" t="str">
            <v>110.209.340  Senior Public Relations Executive</v>
          </cell>
        </row>
        <row r="34">
          <cell r="Y34">
            <v>48</v>
          </cell>
          <cell r="AA34" t="str">
            <v>Malaysia</v>
          </cell>
          <cell r="AB34" t="str">
            <v xml:space="preserve">[ID]  Surabaya Stock Exchange (SSX) [2] </v>
          </cell>
          <cell r="AH34" t="str">
            <v>110.209.350  Public Relations Officer</v>
          </cell>
        </row>
        <row r="35">
          <cell r="Y35">
            <v>49</v>
          </cell>
          <cell r="AA35" t="str">
            <v>Mexico</v>
          </cell>
          <cell r="AB35" t="str">
            <v xml:space="preserve">[IN]  Ahmedabad Stock Exchange </v>
          </cell>
          <cell r="AH35" t="str">
            <v>110.209.360  Public Relations Assistant</v>
          </cell>
        </row>
        <row r="36">
          <cell r="Y36">
            <v>50</v>
          </cell>
          <cell r="AA36" t="str">
            <v>Netherlands</v>
          </cell>
          <cell r="AB36" t="str">
            <v xml:space="preserve">[IN]  Bangalore Stock Exchange </v>
          </cell>
          <cell r="AH36" t="str">
            <v>115.000.120  Head of Legal / General Counsel</v>
          </cell>
        </row>
        <row r="37">
          <cell r="Y37">
            <v>51</v>
          </cell>
          <cell r="AA37" t="str">
            <v>New Zealand</v>
          </cell>
          <cell r="AB37" t="str">
            <v xml:space="preserve">[IN]  Bhubaneswar Stock Exchange Association </v>
          </cell>
          <cell r="AH37" t="str">
            <v>115.100.220  Legal/Compliance Manager</v>
          </cell>
        </row>
        <row r="38">
          <cell r="Y38">
            <v>52</v>
          </cell>
          <cell r="AA38" t="str">
            <v>Norway</v>
          </cell>
          <cell r="AB38" t="str">
            <v xml:space="preserve">[IN]  Bombay Stock Exchange (BSE) </v>
          </cell>
          <cell r="AH38" t="str">
            <v>115.100.340  Senior Legal Counsel</v>
          </cell>
        </row>
        <row r="39">
          <cell r="Y39">
            <v>53</v>
          </cell>
          <cell r="AA39" t="str">
            <v>Pakistan</v>
          </cell>
          <cell r="AB39" t="str">
            <v xml:space="preserve">[IN]  Calcutta Stock Exchange </v>
          </cell>
          <cell r="AH39" t="str">
            <v>115.100.350  Legal Counsel</v>
          </cell>
        </row>
        <row r="40">
          <cell r="Y40">
            <v>54</v>
          </cell>
          <cell r="AA40" t="str">
            <v>Panama</v>
          </cell>
          <cell r="AB40" t="str">
            <v xml:space="preserve">[IN]  Cochin Stock Exchange </v>
          </cell>
          <cell r="AH40" t="str">
            <v>115.100.360  Legal Counsel - Entry</v>
          </cell>
        </row>
        <row r="41">
          <cell r="Y41">
            <v>55</v>
          </cell>
          <cell r="AA41" t="str">
            <v>Peru</v>
          </cell>
          <cell r="AB41" t="str">
            <v xml:space="preserve">[IN]  Coimbatore Stock Exchange </v>
          </cell>
          <cell r="AH41" t="str">
            <v>115.100.420  Legal Assistant</v>
          </cell>
        </row>
        <row r="42">
          <cell r="Y42">
            <v>56</v>
          </cell>
          <cell r="AA42" t="str">
            <v>Philippines</v>
          </cell>
          <cell r="AB42" t="str">
            <v xml:space="preserve">[IN]  Delhi Stock Exchange Association </v>
          </cell>
          <cell r="AH42" t="str">
            <v>120.000.120  Top Human Resources Executive</v>
          </cell>
        </row>
        <row r="43">
          <cell r="Y43">
            <v>57</v>
          </cell>
          <cell r="AA43" t="str">
            <v>Poland</v>
          </cell>
          <cell r="AB43" t="str">
            <v xml:space="preserve">[IN]  Gauhati Stock Exchange </v>
          </cell>
          <cell r="AH43" t="str">
            <v>120.100.130  Head of Human Resources (Generalist)</v>
          </cell>
        </row>
        <row r="44">
          <cell r="Y44">
            <v>58</v>
          </cell>
          <cell r="AA44" t="str">
            <v>Portugal</v>
          </cell>
          <cell r="AB44" t="str">
            <v xml:space="preserve">[IN]  Hyderabad Stock Exchange </v>
          </cell>
          <cell r="AH44" t="str">
            <v>120.100.220  Human Resources Manager</v>
          </cell>
        </row>
        <row r="45">
          <cell r="Y45">
            <v>59</v>
          </cell>
          <cell r="AA45" t="str">
            <v>Romania</v>
          </cell>
          <cell r="AB45" t="str">
            <v xml:space="preserve">[IN]  Inter-connected Stock Exchange of India </v>
          </cell>
          <cell r="AH45" t="str">
            <v>120.100.230  Human Resources Supervisor</v>
          </cell>
        </row>
        <row r="46">
          <cell r="Y46">
            <v>60</v>
          </cell>
          <cell r="AA46" t="str">
            <v>Russia</v>
          </cell>
          <cell r="AB46" t="str">
            <v xml:space="preserve">[IN]  Jaipur Stock Exchange </v>
          </cell>
          <cell r="AH46" t="str">
            <v>120.100.340  Human Resources Generalist - Senior</v>
          </cell>
        </row>
        <row r="47">
          <cell r="Y47">
            <v>61</v>
          </cell>
          <cell r="AA47" t="str">
            <v>Singapore</v>
          </cell>
          <cell r="AB47" t="str">
            <v xml:space="preserve">[IN]  Ludhiana Stock Exchange Association </v>
          </cell>
          <cell r="AH47" t="str">
            <v>120.100.350  Human Resources Officer</v>
          </cell>
        </row>
        <row r="48">
          <cell r="Y48">
            <v>62</v>
          </cell>
          <cell r="Z48" t="str">
            <v>V</v>
          </cell>
          <cell r="AA48" t="str">
            <v>Slovakia</v>
          </cell>
          <cell r="AB48" t="str">
            <v xml:space="preserve">[IN]  Madhya Pradesh Stock Exchange </v>
          </cell>
          <cell r="AH48" t="str">
            <v>120.100.360  Human Resources Generalist - Entry</v>
          </cell>
        </row>
        <row r="49">
          <cell r="Y49">
            <v>63</v>
          </cell>
          <cell r="Z49" t="str">
            <v>E</v>
          </cell>
          <cell r="AA49" t="str">
            <v>Slovenia</v>
          </cell>
          <cell r="AB49" t="str">
            <v xml:space="preserve">[IN]  Madras Stock Exchange </v>
          </cell>
          <cell r="AH49" t="str">
            <v>120.100.420  HR Assistant</v>
          </cell>
        </row>
        <row r="50">
          <cell r="Y50">
            <v>64</v>
          </cell>
          <cell r="Z50" t="str">
            <v>NA</v>
          </cell>
          <cell r="AA50" t="str">
            <v>South Korea</v>
          </cell>
          <cell r="AB50" t="str">
            <v xml:space="preserve">[IN]  Mangalore Stock Exchange </v>
          </cell>
          <cell r="AH50" t="str">
            <v>120.220.130  Head of Recruitment</v>
          </cell>
        </row>
        <row r="51">
          <cell r="Y51">
            <v>65</v>
          </cell>
          <cell r="AA51" t="str">
            <v>Spain</v>
          </cell>
          <cell r="AB51" t="str">
            <v xml:space="preserve">[IN]  Mumbai Stock Exchange </v>
          </cell>
          <cell r="AH51" t="str">
            <v>120.220.220  Recruitment Manager</v>
          </cell>
        </row>
        <row r="52">
          <cell r="Y52">
            <v>66</v>
          </cell>
          <cell r="AA52" t="str">
            <v>Sweden</v>
          </cell>
          <cell r="AB52" t="str">
            <v xml:space="preserve">[IN]  National Stock Exchange of India (NSE) </v>
          </cell>
          <cell r="AH52" t="str">
            <v>120.220.230  Recruitment Supervisor</v>
          </cell>
        </row>
        <row r="53">
          <cell r="Y53">
            <v>67</v>
          </cell>
          <cell r="AA53" t="str">
            <v>Switzerland</v>
          </cell>
          <cell r="AB53" t="str">
            <v xml:space="preserve">[IN]  OTC Exchange of India </v>
          </cell>
          <cell r="AH53" t="str">
            <v>120.220.340  Senior Recruitment Officer</v>
          </cell>
        </row>
        <row r="54">
          <cell r="Y54">
            <v>68</v>
          </cell>
          <cell r="AA54" t="str">
            <v>Taiwan</v>
          </cell>
          <cell r="AB54" t="str">
            <v xml:space="preserve">[IN]  Pune Stock Exchange </v>
          </cell>
          <cell r="AH54" t="str">
            <v>120.220.350  Recruitment Officer</v>
          </cell>
        </row>
        <row r="55">
          <cell r="Y55">
            <v>69</v>
          </cell>
          <cell r="AA55" t="str">
            <v>Thailand</v>
          </cell>
          <cell r="AB55" t="str">
            <v xml:space="preserve">[IN]  Saurashtra-Kutch Stock Exchange </v>
          </cell>
          <cell r="AH55" t="str">
            <v>120.224.130  Head of Compensation and Benefits</v>
          </cell>
        </row>
        <row r="56">
          <cell r="Y56">
            <v>70</v>
          </cell>
          <cell r="AA56" t="str">
            <v>Turkey</v>
          </cell>
          <cell r="AB56" t="str">
            <v xml:space="preserve">[IN]  Uttar Pradesh Stock Association </v>
          </cell>
          <cell r="AH56" t="str">
            <v>120.224.220  Compensation &amp; Benefits Manager</v>
          </cell>
        </row>
        <row r="57">
          <cell r="Y57">
            <v>71</v>
          </cell>
          <cell r="AA57" t="str">
            <v>Ukraine</v>
          </cell>
          <cell r="AB57" t="str">
            <v xml:space="preserve">[IN]  Vadodara Stock Exchange </v>
          </cell>
          <cell r="AH57" t="str">
            <v>120.224.230  Compensation &amp; Benefits Supervisor</v>
          </cell>
        </row>
        <row r="58">
          <cell r="Y58">
            <v>72</v>
          </cell>
          <cell r="AA58" t="str">
            <v>United Kingdom</v>
          </cell>
          <cell r="AB58" t="str">
            <v xml:space="preserve">[JP]  Fukuoka Stock Exchange </v>
          </cell>
          <cell r="AH58" t="str">
            <v>120.224.340  Senior Compensation &amp; Benefits Officer</v>
          </cell>
        </row>
        <row r="59">
          <cell r="Y59">
            <v>73</v>
          </cell>
          <cell r="AA59" t="str">
            <v>United States</v>
          </cell>
          <cell r="AB59" t="str">
            <v xml:space="preserve">[JP]  Hiroshima Stock Exchange(Merger wirh Tokyo Stock Exchange) </v>
          </cell>
          <cell r="AH59" t="str">
            <v>120.224.350  Compensation &amp; Benefits Officer</v>
          </cell>
        </row>
        <row r="60">
          <cell r="Y60">
            <v>74</v>
          </cell>
          <cell r="AA60" t="str">
            <v>Uruguay</v>
          </cell>
          <cell r="AB60" t="str">
            <v xml:space="preserve">[JP]  JASDAQ </v>
          </cell>
          <cell r="AH60" t="str">
            <v>120.228.220  Compensation Manager</v>
          </cell>
        </row>
        <row r="61">
          <cell r="Y61">
            <v>75</v>
          </cell>
          <cell r="AA61" t="str">
            <v>Venezuela</v>
          </cell>
          <cell r="AB61" t="str">
            <v xml:space="preserve">[JP]  Nagoya Stock Exchange (NSE) </v>
          </cell>
          <cell r="AH61" t="str">
            <v>120.228.350  Compensation Analyst - Experienced</v>
          </cell>
        </row>
        <row r="62">
          <cell r="Y62">
            <v>76</v>
          </cell>
          <cell r="AA62" t="str">
            <v>Vietnam</v>
          </cell>
          <cell r="AB62" t="str">
            <v xml:space="preserve">[JP]  Niigata Stock Exchange(Merger wirh Tokyo Stock Exchange) </v>
          </cell>
          <cell r="AH62" t="str">
            <v>120.232.220  Benefits Manager</v>
          </cell>
        </row>
        <row r="63">
          <cell r="Y63">
            <v>77</v>
          </cell>
          <cell r="AA63" t="str">
            <v>Others, please specify</v>
          </cell>
          <cell r="AB63" t="str">
            <v xml:space="preserve">[JP]  Nippon New Market Hercules (Former Nasdaq Japan Market) </v>
          </cell>
          <cell r="AH63" t="str">
            <v>120.232.350  Benefits Analyst - Experienced</v>
          </cell>
        </row>
        <row r="64">
          <cell r="Y64">
            <v>78</v>
          </cell>
          <cell r="AB64" t="str">
            <v xml:space="preserve">[JP]  Osaka Securities Exchange (OSE) </v>
          </cell>
          <cell r="AH64" t="str">
            <v>120.236.220  Employee Communications Manager</v>
          </cell>
        </row>
        <row r="65">
          <cell r="Y65">
            <v>79</v>
          </cell>
          <cell r="AB65" t="str">
            <v xml:space="preserve">[JP]  Sapporo Stock Exchange </v>
          </cell>
          <cell r="AH65" t="str">
            <v>120.236.230  Employee Communications Supervisor</v>
          </cell>
        </row>
        <row r="66">
          <cell r="AA66" t="str">
            <v>C</v>
          </cell>
          <cell r="AB66" t="str">
            <v xml:space="preserve">[JP]  Tokyo Stock Exchange (TSE) </v>
          </cell>
          <cell r="AH66" t="str">
            <v>120.236.350  Employee Communications Officer</v>
          </cell>
        </row>
        <row r="67">
          <cell r="AA67" t="str">
            <v>S</v>
          </cell>
          <cell r="AB67" t="str">
            <v xml:space="preserve">[KR]  Korea Stock Exchange </v>
          </cell>
          <cell r="AH67" t="str">
            <v>120.240.230  Safety Supervisor</v>
          </cell>
        </row>
        <row r="68">
          <cell r="Y68" t="str">
            <v>M</v>
          </cell>
          <cell r="AA68" t="str">
            <v>R</v>
          </cell>
          <cell r="AB68" t="str">
            <v xml:space="preserve">[KR]  KOSDAQ </v>
          </cell>
          <cell r="AH68" t="str">
            <v>120.240.350  Safety Engineer / Safety Officer</v>
          </cell>
        </row>
        <row r="69">
          <cell r="Y69" t="str">
            <v>F</v>
          </cell>
          <cell r="AA69" t="str">
            <v>G</v>
          </cell>
          <cell r="AB69" t="str">
            <v xml:space="preserve">[MX]  Bolsa Mexicana de Valores (BMV) </v>
          </cell>
          <cell r="AH69" t="str">
            <v>120.244.130  Head of Employee Relations</v>
          </cell>
        </row>
        <row r="70">
          <cell r="AB70" t="str">
            <v xml:space="preserve">[MY]  Kuala Lumpur Commodity Exchange </v>
          </cell>
          <cell r="AH70" t="str">
            <v>120.244.220  Employee Relations Manager</v>
          </cell>
        </row>
        <row r="71">
          <cell r="AB71" t="str">
            <v xml:space="preserve">[MY]  Kuala Lumpur Options &amp; Financial Futures Exchange </v>
          </cell>
          <cell r="AH71" t="str">
            <v>120.244.340  Senior Employee Relations Officer</v>
          </cell>
        </row>
        <row r="72">
          <cell r="AB72" t="str">
            <v xml:space="preserve">[MY]  Kuala Lumpur Stock Exchange (Bursa Malaysia) (KLSE) </v>
          </cell>
          <cell r="AH72" t="str">
            <v>120.244.350  Employee Relations Officer</v>
          </cell>
        </row>
        <row r="73">
          <cell r="AA73" t="str">
            <v>1 - Primary School</v>
          </cell>
          <cell r="AB73" t="str">
            <v xml:space="preserve">[MY]  MESDAQ </v>
          </cell>
          <cell r="AH73" t="str">
            <v>120.252.221  Personnel Administration Manager</v>
          </cell>
        </row>
        <row r="74">
          <cell r="AA74" t="str">
            <v>2 - Middle or Junior High School</v>
          </cell>
          <cell r="AB74" t="str">
            <v xml:space="preserve">[NL]  Euronext Amsterdam (AEX index) </v>
          </cell>
          <cell r="AH74" t="str">
            <v>120.252.230  Personnel Administration Supervisor</v>
          </cell>
        </row>
        <row r="75">
          <cell r="AA75" t="str">
            <v>3 - High School</v>
          </cell>
          <cell r="AB75" t="str">
            <v xml:space="preserve">[NO]  Oslo Stock Exchange </v>
          </cell>
          <cell r="AH75" t="str">
            <v>120.252.340  Senior HR / Admin Specialist</v>
          </cell>
        </row>
        <row r="76">
          <cell r="Y76">
            <v>1</v>
          </cell>
          <cell r="AA76" t="str">
            <v>4 - Technical Certificate</v>
          </cell>
          <cell r="AB76" t="str">
            <v xml:space="preserve">[NZ]  New Zealand Stock Exchange (NZX) </v>
          </cell>
          <cell r="AH76" t="str">
            <v>120.252.350  Personnel Administration Officer</v>
          </cell>
        </row>
        <row r="77">
          <cell r="Y77">
            <v>2</v>
          </cell>
          <cell r="AA77" t="str">
            <v>5 - Diploma</v>
          </cell>
          <cell r="AB77" t="str">
            <v xml:space="preserve">[PH]  Philippine Stock Exchange (PSE) </v>
          </cell>
          <cell r="AH77" t="str">
            <v>120.252.420  Personnel Clerk</v>
          </cell>
        </row>
        <row r="78">
          <cell r="AA78" t="str">
            <v>6 - University Degree or equivalent Professional Certificate</v>
          </cell>
          <cell r="AB78" t="str">
            <v xml:space="preserve">[SE]  Nordic Growth Market </v>
          </cell>
          <cell r="AH78" t="str">
            <v>120.256.230  Payroll Supervisor</v>
          </cell>
        </row>
        <row r="79">
          <cell r="AA79" t="str">
            <v>7 - Master Degree</v>
          </cell>
          <cell r="AB79" t="str">
            <v xml:space="preserve">[SE]  Stockholm Stock Exchange, one of the OMX Exchanges </v>
          </cell>
          <cell r="AH79" t="str">
            <v>120.256.350  Payroll Analyst - Experienced</v>
          </cell>
        </row>
        <row r="80">
          <cell r="Y80">
            <v>1</v>
          </cell>
          <cell r="AA80" t="str">
            <v>8 - Doctorate (PhD) Degree</v>
          </cell>
          <cell r="AB80" t="str">
            <v xml:space="preserve">[SG]  Singapore Exchange (SGX) </v>
          </cell>
          <cell r="AH80" t="str">
            <v>120.268.130  Head of Organization Development</v>
          </cell>
        </row>
        <row r="81">
          <cell r="Y81">
            <v>2</v>
          </cell>
          <cell r="AB81" t="str">
            <v xml:space="preserve">[SG]  Stock Exchange of Singapore (SES), precursor to Singapore Exchange </v>
          </cell>
          <cell r="AH81" t="str">
            <v>120.272.130  Head of Training and Development</v>
          </cell>
        </row>
        <row r="82">
          <cell r="Y82">
            <v>3</v>
          </cell>
          <cell r="AB82" t="str">
            <v xml:space="preserve">[TH]  Market for Alternative Investment (MAI) </v>
          </cell>
          <cell r="AH82" t="str">
            <v>120.272.220  Training &amp; Development Manager</v>
          </cell>
        </row>
        <row r="83">
          <cell r="Y83">
            <v>4</v>
          </cell>
          <cell r="AA83">
            <v>1</v>
          </cell>
          <cell r="AB83" t="str">
            <v xml:space="preserve">[TH]  Stock Exchange of Thailand (SET) </v>
          </cell>
          <cell r="AH83" t="str">
            <v xml:space="preserve">120.272.230  Training &amp; Dev. Supervisor </v>
          </cell>
        </row>
        <row r="84">
          <cell r="Y84">
            <v>5</v>
          </cell>
          <cell r="AA84">
            <v>2</v>
          </cell>
          <cell r="AB84" t="str">
            <v xml:space="preserve">[TW]  Taiwan Stock Exchange </v>
          </cell>
          <cell r="AH84" t="str">
            <v>120.272.340  Senior Training &amp; Development Officer</v>
          </cell>
        </row>
        <row r="85">
          <cell r="Y85">
            <v>6</v>
          </cell>
          <cell r="AA85">
            <v>3</v>
          </cell>
          <cell r="AB85" t="str">
            <v xml:space="preserve">[US]  American Stock Exchange (AMEX) </v>
          </cell>
          <cell r="AH85" t="str">
            <v>120.272.350  Training &amp; Development Officer</v>
          </cell>
        </row>
        <row r="86">
          <cell r="Y86">
            <v>7</v>
          </cell>
          <cell r="AA86">
            <v>4</v>
          </cell>
          <cell r="AB86" t="str">
            <v xml:space="preserve">[US]  Archipelago Exchange, merged with NYSE </v>
          </cell>
          <cell r="AH86" t="str">
            <v>120.276.221  Technical Training Manager</v>
          </cell>
        </row>
        <row r="87">
          <cell r="Y87">
            <v>8</v>
          </cell>
          <cell r="AA87">
            <v>5</v>
          </cell>
          <cell r="AB87" t="str">
            <v xml:space="preserve">[US]  Boston Stock Exchange </v>
          </cell>
          <cell r="AH87" t="str">
            <v>120.276.230  Technical Training Supervisor</v>
          </cell>
        </row>
        <row r="88">
          <cell r="AA88">
            <v>6</v>
          </cell>
          <cell r="AB88" t="str">
            <v xml:space="preserve">[US]  Chicago Stock Exchange </v>
          </cell>
          <cell r="AH88" t="str">
            <v>120.276.341  Senior Technical Trainer</v>
          </cell>
        </row>
        <row r="89">
          <cell r="AA89">
            <v>7</v>
          </cell>
          <cell r="AB89" t="str">
            <v xml:space="preserve">[US]  NASDAQ </v>
          </cell>
          <cell r="AH89" t="str">
            <v>120.276.351  Technical Trainer</v>
          </cell>
        </row>
        <row r="90">
          <cell r="Y90">
            <v>1</v>
          </cell>
          <cell r="AA90">
            <v>8</v>
          </cell>
          <cell r="AB90" t="str">
            <v xml:space="preserve">[US]  National Stock Exchange (formerly the Cincinnati Stock Exchange) </v>
          </cell>
          <cell r="AH90" t="str">
            <v>120.276.430  Technical Training Assistant</v>
          </cell>
        </row>
        <row r="91">
          <cell r="Y91">
            <v>2</v>
          </cell>
          <cell r="AA91">
            <v>9</v>
          </cell>
          <cell r="AB91" t="str">
            <v xml:space="preserve">[US]  New York Stock Exchange (NYSE), merged with Archipelago Holdings </v>
          </cell>
          <cell r="AH91" t="str">
            <v>140.286.350  Translator / Interpreter</v>
          </cell>
        </row>
        <row r="92">
          <cell r="AB92" t="str">
            <v xml:space="preserve">[US]  Pacific Exchange (PCX), taken over by Archipelago Holdings </v>
          </cell>
          <cell r="AH92" t="str">
            <v>140.287.351  Web Content Administrator</v>
          </cell>
        </row>
        <row r="93">
          <cell r="AB93" t="str">
            <v xml:space="preserve">[US]  Philadelphia Stock Exchange (PHLX) </v>
          </cell>
          <cell r="AH93" t="str">
            <v>140.288.350  Graphic Artist</v>
          </cell>
        </row>
        <row r="94">
          <cell r="AA94">
            <v>1</v>
          </cell>
          <cell r="AB94" t="str">
            <v>Others, please specify</v>
          </cell>
          <cell r="AH94" t="str">
            <v>150.100.221  General Consultant V</v>
          </cell>
        </row>
        <row r="95">
          <cell r="AA95">
            <v>2</v>
          </cell>
          <cell r="AH95" t="str">
            <v>150.100.331  General Consultant IV</v>
          </cell>
        </row>
        <row r="96">
          <cell r="AA96">
            <v>3</v>
          </cell>
          <cell r="AH96" t="str">
            <v>150.100.341  General Consultant III</v>
          </cell>
        </row>
        <row r="97">
          <cell r="AA97">
            <v>4</v>
          </cell>
          <cell r="AH97" t="str">
            <v>150.100.351  General Consultant II</v>
          </cell>
        </row>
        <row r="98">
          <cell r="AA98">
            <v>5</v>
          </cell>
          <cell r="AH98" t="str">
            <v>150.100.361  General Consultant I</v>
          </cell>
        </row>
        <row r="99">
          <cell r="AA99">
            <v>6</v>
          </cell>
          <cell r="AH99" t="str">
            <v>150.490.130  Head of Sales - Project Sales</v>
          </cell>
        </row>
        <row r="100">
          <cell r="AA100">
            <v>7</v>
          </cell>
          <cell r="AH100" t="str">
            <v>150.490.211  Area Project Sales Manager</v>
          </cell>
        </row>
        <row r="101">
          <cell r="AH101" t="str">
            <v>150.490.220  Sales Manager - Project Sales</v>
          </cell>
        </row>
        <row r="102">
          <cell r="AH102" t="str">
            <v>150.490.221  Account Manager - Project Sales</v>
          </cell>
        </row>
        <row r="103">
          <cell r="AH103" t="str">
            <v>150.490.340  Senior Sales Representative - Project Sales</v>
          </cell>
        </row>
        <row r="104">
          <cell r="AH104" t="str">
            <v>150.490.350  Sales Representative - Project Sales</v>
          </cell>
        </row>
        <row r="105">
          <cell r="AH105" t="str">
            <v>150.490.360  Sales Trainee - Project Sales</v>
          </cell>
        </row>
        <row r="106">
          <cell r="AH106" t="str">
            <v>150.808.131  Business Process Consultant V</v>
          </cell>
        </row>
        <row r="107">
          <cell r="AH107" t="str">
            <v>150.808.221  Business Process Consultant IV</v>
          </cell>
        </row>
        <row r="108">
          <cell r="AH108" t="str">
            <v>150.808.341  Business Process Consultant III</v>
          </cell>
        </row>
        <row r="109">
          <cell r="AH109" t="str">
            <v>150.808.351  Business Process Consultant II</v>
          </cell>
        </row>
        <row r="110">
          <cell r="AH110" t="str">
            <v>150.808.361  Business Process Consultant I</v>
          </cell>
        </row>
        <row r="111">
          <cell r="AH111" t="str">
            <v>150.817.130  IT Consultant V</v>
          </cell>
        </row>
        <row r="112">
          <cell r="AH112" t="str">
            <v>150.817.220  IT Consultant IV</v>
          </cell>
        </row>
        <row r="113">
          <cell r="AH113" t="str">
            <v>150.817.340  IT Consultant III</v>
          </cell>
        </row>
        <row r="114">
          <cell r="AH114" t="str">
            <v>150.817.350  IT Consultant II</v>
          </cell>
        </row>
        <row r="115">
          <cell r="AH115" t="str">
            <v>150.817.360  IT Consultant I</v>
          </cell>
        </row>
        <row r="116">
          <cell r="AH116" t="str">
            <v>200.100.131  Shared Services Director</v>
          </cell>
        </row>
        <row r="117">
          <cell r="AH117" t="str">
            <v>200.100.221  Shared Services Manager</v>
          </cell>
        </row>
        <row r="118">
          <cell r="AH118" t="str">
            <v>200.100.351  Shared Services Executive</v>
          </cell>
        </row>
        <row r="119">
          <cell r="AH119" t="str">
            <v>210.000.120  Top Finance &amp; Accounting Executive</v>
          </cell>
        </row>
        <row r="120">
          <cell r="AH120" t="str">
            <v>210.100.130  Head of Finance</v>
          </cell>
        </row>
        <row r="121">
          <cell r="AH121" t="str">
            <v>210.100.220  Finance Manager</v>
          </cell>
        </row>
        <row r="122">
          <cell r="AH122" t="str">
            <v>210.100.231  Finance Supervisor</v>
          </cell>
        </row>
        <row r="123">
          <cell r="AH123" t="str">
            <v>210.100.350  Finance Officer</v>
          </cell>
        </row>
        <row r="124">
          <cell r="AH124" t="str">
            <v>210.300.130  Head of Risk Management</v>
          </cell>
        </row>
        <row r="125">
          <cell r="AH125" t="str">
            <v>210.300.221  Risk Management Manager</v>
          </cell>
        </row>
        <row r="126">
          <cell r="AH126" t="str">
            <v>210.300.340  Senior Risk Management Analyst</v>
          </cell>
        </row>
        <row r="127">
          <cell r="AH127" t="str">
            <v>210.300.350  Risk Management Analyst</v>
          </cell>
        </row>
        <row r="128">
          <cell r="AH128" t="str">
            <v>210.308.130  Head of Treasury</v>
          </cell>
        </row>
        <row r="129">
          <cell r="AH129" t="str">
            <v>210.308.220  Treasury Manager</v>
          </cell>
        </row>
        <row r="130">
          <cell r="AH130" t="str">
            <v>210.308.230  Treasury Supervisor</v>
          </cell>
        </row>
        <row r="131">
          <cell r="AH131" t="str">
            <v>210.308.350  Treasury Analyst</v>
          </cell>
        </row>
        <row r="132">
          <cell r="V132" t="str">
            <v>AU</v>
          </cell>
          <cell r="AH132" t="str">
            <v>210.308.420  Cashier</v>
          </cell>
        </row>
        <row r="133">
          <cell r="V133" t="str">
            <v>BD</v>
          </cell>
          <cell r="AH133" t="str">
            <v>210.312.130  Head of Credit and Collections</v>
          </cell>
        </row>
        <row r="134">
          <cell r="V134" t="str">
            <v>CN</v>
          </cell>
          <cell r="AH134" t="str">
            <v>210.312.220  Credit &amp; Collections Manager</v>
          </cell>
        </row>
        <row r="135">
          <cell r="V135" t="str">
            <v>HK</v>
          </cell>
          <cell r="AH135" t="str">
            <v>210.312.230  Credit &amp; Collections Supervisor</v>
          </cell>
        </row>
        <row r="136">
          <cell r="V136" t="str">
            <v>IN</v>
          </cell>
          <cell r="AH136" t="str">
            <v>210.312.350  Credit &amp; Collections Analyst</v>
          </cell>
        </row>
        <row r="137">
          <cell r="V137" t="str">
            <v>ID</v>
          </cell>
          <cell r="AH137" t="str">
            <v>210.312.420  Credit &amp; Collections Clerk</v>
          </cell>
        </row>
        <row r="138">
          <cell r="V138" t="str">
            <v>JP</v>
          </cell>
          <cell r="AH138" t="str">
            <v>210.316.130  Head of Accounting</v>
          </cell>
        </row>
        <row r="139">
          <cell r="V139" t="str">
            <v>KR</v>
          </cell>
          <cell r="AH139" t="str">
            <v>210.316.220  Accounting Manager</v>
          </cell>
        </row>
        <row r="140">
          <cell r="V140" t="str">
            <v>LK</v>
          </cell>
          <cell r="AH140" t="str">
            <v>210.316.340  Senior Accountant</v>
          </cell>
        </row>
        <row r="141">
          <cell r="V141" t="str">
            <v>MO</v>
          </cell>
          <cell r="AH141" t="str">
            <v>210.316.350  Accountant</v>
          </cell>
        </row>
        <row r="142">
          <cell r="V142" t="str">
            <v>MY</v>
          </cell>
          <cell r="Z142" t="str">
            <v>ARS</v>
          </cell>
          <cell r="AH142" t="str">
            <v>210.316.360  Accountant (Entry)</v>
          </cell>
        </row>
        <row r="143">
          <cell r="V143" t="str">
            <v>NZ</v>
          </cell>
          <cell r="Z143" t="str">
            <v>AUD</v>
          </cell>
          <cell r="AH143" t="str">
            <v>210.316.420  Accounts Clerk</v>
          </cell>
        </row>
        <row r="144">
          <cell r="V144" t="str">
            <v>PK</v>
          </cell>
          <cell r="Z144" t="str">
            <v>BDT</v>
          </cell>
          <cell r="AH144" t="str">
            <v>210.316.430  Accounts Officer</v>
          </cell>
        </row>
        <row r="145">
          <cell r="V145" t="str">
            <v>PH</v>
          </cell>
          <cell r="Z145" t="str">
            <v>BRL</v>
          </cell>
          <cell r="AH145" t="str">
            <v>210.324.130  Head of Audit</v>
          </cell>
        </row>
        <row r="146">
          <cell r="V146" t="str">
            <v>SG</v>
          </cell>
          <cell r="Z146" t="str">
            <v>CAD</v>
          </cell>
          <cell r="AH146" t="str">
            <v>210.324.220  Audit Manager</v>
          </cell>
        </row>
        <row r="147">
          <cell r="V147" t="str">
            <v>TW</v>
          </cell>
          <cell r="Z147" t="str">
            <v>CHF</v>
          </cell>
          <cell r="AH147" t="str">
            <v>210.324.230  Audit Supervisor</v>
          </cell>
        </row>
        <row r="148">
          <cell r="V148" t="str">
            <v>TH</v>
          </cell>
          <cell r="Z148" t="str">
            <v>DKK</v>
          </cell>
          <cell r="AH148" t="str">
            <v>210.324.340  Senior Auditor</v>
          </cell>
        </row>
        <row r="149">
          <cell r="V149" t="str">
            <v>VN</v>
          </cell>
          <cell r="Z149" t="str">
            <v>GBP</v>
          </cell>
          <cell r="AH149" t="str">
            <v>210.324.350  Auditor</v>
          </cell>
        </row>
        <row r="150">
          <cell r="Z150" t="str">
            <v>HKD</v>
          </cell>
          <cell r="AH150" t="str">
            <v>210.324.360  Auditor (Entry)</v>
          </cell>
        </row>
        <row r="151">
          <cell r="Z151" t="str">
            <v>IDR</v>
          </cell>
          <cell r="AH151" t="str">
            <v>210.328.130  Head of Billing Operations</v>
          </cell>
        </row>
        <row r="152">
          <cell r="Z152" t="str">
            <v>INR</v>
          </cell>
          <cell r="AH152" t="str">
            <v>210.328.220  Billing Operations Manager</v>
          </cell>
        </row>
        <row r="153">
          <cell r="Z153" t="str">
            <v>JPY</v>
          </cell>
          <cell r="AH153" t="str">
            <v>210.328.340  Senior Billing Operations Analyst</v>
          </cell>
        </row>
        <row r="154">
          <cell r="Z154" t="str">
            <v>LKR</v>
          </cell>
          <cell r="AH154" t="str">
            <v>210.328.350  Billing Operations Analyst</v>
          </cell>
        </row>
        <row r="155">
          <cell r="Z155" t="str">
            <v>MXN</v>
          </cell>
          <cell r="AH155" t="str">
            <v>210.328.360  Billing Operations Analyst (Entry)</v>
          </cell>
        </row>
        <row r="156">
          <cell r="Z156" t="str">
            <v>MYR</v>
          </cell>
          <cell r="AH156" t="str">
            <v>210.332.220  Budget Manager</v>
          </cell>
        </row>
        <row r="157">
          <cell r="Z157" t="str">
            <v>NOK</v>
          </cell>
          <cell r="AH157" t="str">
            <v>210.332.350  Budget Analyst - Experienced</v>
          </cell>
        </row>
        <row r="158">
          <cell r="Z158" t="str">
            <v>NZD</v>
          </cell>
          <cell r="AH158" t="str">
            <v>210.336.420  Collector</v>
          </cell>
        </row>
        <row r="159">
          <cell r="Z159" t="str">
            <v>PHP</v>
          </cell>
          <cell r="AH159" t="str">
            <v>210.340.220  Costing Manager</v>
          </cell>
        </row>
        <row r="160">
          <cell r="Z160" t="str">
            <v>PKR</v>
          </cell>
          <cell r="AH160" t="str">
            <v>210.340.340  Senior Costing Executive</v>
          </cell>
        </row>
        <row r="161">
          <cell r="Z161" t="str">
            <v>SAR</v>
          </cell>
          <cell r="AH161" t="str">
            <v>210.340.350  Costing Executive</v>
          </cell>
        </row>
        <row r="162">
          <cell r="Z162" t="str">
            <v>SEK</v>
          </cell>
          <cell r="AH162" t="str">
            <v>210.348.130  Controller</v>
          </cell>
        </row>
        <row r="163">
          <cell r="Z163" t="str">
            <v>SGD</v>
          </cell>
          <cell r="AH163" t="str">
            <v>210.348.132  Head of Financial Control</v>
          </cell>
        </row>
        <row r="164">
          <cell r="Z164" t="str">
            <v>THB</v>
          </cell>
          <cell r="AH164" t="str">
            <v>210.352.220  Financial Planning Manager</v>
          </cell>
        </row>
        <row r="165">
          <cell r="Z165" t="str">
            <v>TWD</v>
          </cell>
          <cell r="AH165" t="str">
            <v>210.352.230  Financial Planning Supervisor</v>
          </cell>
        </row>
        <row r="166">
          <cell r="Z166" t="str">
            <v>Others, please specify</v>
          </cell>
          <cell r="AH166" t="str">
            <v>210.352.340  Financial Analyst - Senior</v>
          </cell>
        </row>
        <row r="167">
          <cell r="AH167" t="str">
            <v>210.352.350  Financial Analyst</v>
          </cell>
        </row>
        <row r="168">
          <cell r="AH168" t="str">
            <v>210.360.130  Head of Mergers &amp; Acquisitions</v>
          </cell>
        </row>
        <row r="169">
          <cell r="AH169" t="str">
            <v>210.360.220  Mergers &amp; Acquisitions Manager</v>
          </cell>
        </row>
        <row r="170">
          <cell r="AH170" t="str">
            <v>210.360.350  Mergers &amp; Acquisitions Analyst</v>
          </cell>
        </row>
        <row r="171">
          <cell r="AH171" t="str">
            <v>210.364.130  Head of Tax</v>
          </cell>
        </row>
        <row r="172">
          <cell r="AH172" t="str">
            <v>210.364.220  Tax Manager</v>
          </cell>
        </row>
        <row r="173">
          <cell r="AH173" t="str">
            <v>210.364.230  Tax Supervisor</v>
          </cell>
        </row>
        <row r="174">
          <cell r="AH174" t="str">
            <v>210.364.340  Tax Analyst - Senior</v>
          </cell>
        </row>
        <row r="175">
          <cell r="AH175" t="str">
            <v>210.364.350  Tax Analyst</v>
          </cell>
        </row>
        <row r="176">
          <cell r="AH176" t="str">
            <v>220.104.131  Head of Project Management</v>
          </cell>
        </row>
        <row r="177">
          <cell r="AH177" t="str">
            <v>220.104.220  Project Management Manager</v>
          </cell>
        </row>
        <row r="178">
          <cell r="AH178" t="str">
            <v>220.104.230  Assistant Project Management Manager</v>
          </cell>
        </row>
        <row r="179">
          <cell r="AH179" t="str">
            <v>220.104.340  Senior Project Management Officer</v>
          </cell>
        </row>
        <row r="180">
          <cell r="AH180" t="str">
            <v>220.104.350  Project Management Officer</v>
          </cell>
        </row>
        <row r="181">
          <cell r="AH181" t="str">
            <v>220.104.360  Project Management Officer (Entry)</v>
          </cell>
        </row>
        <row r="182">
          <cell r="AH182" t="str">
            <v>220.104.420  Project Management Co-Ordinator</v>
          </cell>
        </row>
        <row r="183">
          <cell r="AH183" t="str">
            <v>220.108.330  Secretary to the Head of Organisation</v>
          </cell>
        </row>
        <row r="184">
          <cell r="AH184" t="str">
            <v>220.108.410  Executive Secretary</v>
          </cell>
        </row>
        <row r="185">
          <cell r="AH185" t="str">
            <v>220.108.411  Senior Secretary</v>
          </cell>
        </row>
        <row r="186">
          <cell r="AH186" t="str">
            <v>220.108.422  Secretary</v>
          </cell>
        </row>
        <row r="187">
          <cell r="AH187" t="str">
            <v>220.108.424  Clerk</v>
          </cell>
        </row>
        <row r="188">
          <cell r="AH188" t="str">
            <v>220.112.220  Office Administration Manager</v>
          </cell>
        </row>
        <row r="189">
          <cell r="AH189" t="str">
            <v>220.112.230  Office Administration Supervisor</v>
          </cell>
        </row>
        <row r="190">
          <cell r="AH190" t="str">
            <v>220.112.340  Senior Office Admin Officer</v>
          </cell>
        </row>
        <row r="191">
          <cell r="AH191" t="str">
            <v>220.112.350  Office Administration Officer</v>
          </cell>
        </row>
        <row r="192">
          <cell r="AH192" t="str">
            <v>220.112.431  Messenger</v>
          </cell>
        </row>
        <row r="193">
          <cell r="AH193" t="str">
            <v>220.112.432  Cleaner or Office Helper</v>
          </cell>
        </row>
        <row r="194">
          <cell r="AH194" t="str">
            <v>220.116.350  Librarian</v>
          </cell>
        </row>
        <row r="195">
          <cell r="AH195" t="str">
            <v>220.118.420  Data Entry Operator</v>
          </cell>
        </row>
        <row r="196">
          <cell r="AH196" t="str">
            <v>220.120.130  Head of Security</v>
          </cell>
        </row>
        <row r="197">
          <cell r="AH197" t="str">
            <v>220.120.220  Security Manager</v>
          </cell>
        </row>
        <row r="198">
          <cell r="AH198" t="str">
            <v>220.120.222  Fire Station Manager</v>
          </cell>
        </row>
        <row r="199">
          <cell r="AH199" t="str">
            <v>220.120.240  Chief of Security</v>
          </cell>
        </row>
        <row r="200">
          <cell r="AH200" t="str">
            <v>220.120.241  Fire Station Officer / Supervisor</v>
          </cell>
        </row>
        <row r="201">
          <cell r="AH201" t="str">
            <v>220.120.420  Security Guard</v>
          </cell>
        </row>
        <row r="202">
          <cell r="AH202" t="str">
            <v>220.120.421  Fireman</v>
          </cell>
        </row>
        <row r="203">
          <cell r="AH203" t="str">
            <v>220.368.420  Receptionist</v>
          </cell>
        </row>
        <row r="204">
          <cell r="AH204" t="str">
            <v>220.372.420  Personal Driver</v>
          </cell>
        </row>
        <row r="205">
          <cell r="AH205" t="str">
            <v>220.372.422  Bus Driver</v>
          </cell>
        </row>
        <row r="206">
          <cell r="AH206" t="str">
            <v>310.000.120  Top Information Technology Executive</v>
          </cell>
        </row>
        <row r="207">
          <cell r="AH207" t="str">
            <v>310.100.130  Head of Information Systems</v>
          </cell>
        </row>
        <row r="208">
          <cell r="AH208" t="str">
            <v>310.100.210  Information Technology Senior Manager</v>
          </cell>
        </row>
        <row r="209">
          <cell r="AH209" t="str">
            <v>310.100.230  Information Technology Supervisor</v>
          </cell>
        </row>
        <row r="210">
          <cell r="AH210" t="str">
            <v>310.100.330  Information Technology Specialist</v>
          </cell>
        </row>
        <row r="211">
          <cell r="AH211" t="str">
            <v>310.100.350  Information Technology Analyst</v>
          </cell>
        </row>
        <row r="212">
          <cell r="AH212" t="str">
            <v>310.418.220  MIS Manager</v>
          </cell>
        </row>
        <row r="213">
          <cell r="AH213" t="str">
            <v>310.432.220  Web Site Manager</v>
          </cell>
        </row>
        <row r="214">
          <cell r="AH214" t="str">
            <v>320.381.220  Technology Manager - IT Infrastructure</v>
          </cell>
        </row>
        <row r="215">
          <cell r="AH215" t="str">
            <v>320.392.340  IT Business Analyst - Senior</v>
          </cell>
        </row>
        <row r="216">
          <cell r="AH216" t="str">
            <v>320.392.350  IT Business Analyst - Experienced</v>
          </cell>
        </row>
        <row r="217">
          <cell r="AH217" t="str">
            <v>320.394.220  ERP Business Analysis Manager</v>
          </cell>
        </row>
        <row r="218">
          <cell r="AH218" t="str">
            <v>320.394.340  ERP Business Analyst - Senior</v>
          </cell>
        </row>
        <row r="219">
          <cell r="AH219" t="str">
            <v>320.394.350  ERP Business Analyst - Experienced</v>
          </cell>
        </row>
        <row r="220">
          <cell r="AH220" t="str">
            <v>320.409.222  Network Manager</v>
          </cell>
        </row>
        <row r="221">
          <cell r="AH221" t="str">
            <v>320.409.340  Senior Network Engineer</v>
          </cell>
        </row>
        <row r="222">
          <cell r="AH222" t="str">
            <v>320.409.350  Network Engineer</v>
          </cell>
        </row>
        <row r="223">
          <cell r="AH223" t="str">
            <v>320.409.360  Network Engineer (Entry)</v>
          </cell>
        </row>
        <row r="224">
          <cell r="AH224" t="str">
            <v>320.414.133  Head of Software Dev</v>
          </cell>
        </row>
        <row r="225">
          <cell r="AH225" t="str">
            <v>320.414.220  Systems Development Manager</v>
          </cell>
        </row>
        <row r="226">
          <cell r="AH226" t="str">
            <v>320.414.223  Software Dev Manager</v>
          </cell>
        </row>
        <row r="227">
          <cell r="AH227" t="str">
            <v>320.414.230  Systems Development Project Leader</v>
          </cell>
        </row>
        <row r="228">
          <cell r="AH228" t="str">
            <v>320.414.340  Systems Analyst - Senior</v>
          </cell>
        </row>
        <row r="229">
          <cell r="AH229" t="str">
            <v>320.414.341  Systems Analyst Programmer - Senior</v>
          </cell>
        </row>
        <row r="230">
          <cell r="AH230" t="str">
            <v>320.414.342  Systems Programmer - Senior</v>
          </cell>
        </row>
        <row r="231">
          <cell r="AH231" t="str">
            <v>320.414.343  Senior Software Development Engineer</v>
          </cell>
        </row>
        <row r="232">
          <cell r="AH232" t="str">
            <v>320.414.350  System Analyst / Architect</v>
          </cell>
        </row>
        <row r="233">
          <cell r="AH233" t="str">
            <v>320.414.351  Systems Analyst Programmer - Experienced</v>
          </cell>
        </row>
        <row r="234">
          <cell r="AH234" t="str">
            <v>320.414.352  Computer Programmer</v>
          </cell>
        </row>
        <row r="235">
          <cell r="AH235" t="str">
            <v>320.414.353  Software Development Engineer</v>
          </cell>
        </row>
        <row r="236">
          <cell r="AH236" t="str">
            <v>320.414.363  Software Development Engineer Entry</v>
          </cell>
        </row>
        <row r="237">
          <cell r="AH237" t="str">
            <v>320.428.220  Web Applications Developer Manager</v>
          </cell>
        </row>
        <row r="238">
          <cell r="AH238" t="str">
            <v>320.428.221  Web Design Manager</v>
          </cell>
        </row>
        <row r="239">
          <cell r="AH239" t="str">
            <v>320.428.340  Senior Web Applications Developer</v>
          </cell>
        </row>
        <row r="240">
          <cell r="AH240" t="str">
            <v>320.428.341  Senior Web Designer</v>
          </cell>
        </row>
        <row r="241">
          <cell r="AH241" t="str">
            <v>320.428.350  Web Applications Developer</v>
          </cell>
        </row>
        <row r="242">
          <cell r="AH242" t="str">
            <v>320.428.351  Web Designer</v>
          </cell>
        </row>
        <row r="243">
          <cell r="AH243" t="str">
            <v>330.384.350  IT Auditor</v>
          </cell>
        </row>
        <row r="244">
          <cell r="AH244" t="str">
            <v>330.388.340  Senior Technical Writer</v>
          </cell>
        </row>
        <row r="245">
          <cell r="AH245" t="str">
            <v>330.388.350  Technical Writer</v>
          </cell>
        </row>
        <row r="246">
          <cell r="AH246" t="str">
            <v>330.388.360  Technical Writer (Entry)</v>
          </cell>
        </row>
        <row r="247">
          <cell r="AH247" t="str">
            <v>330.398.220  Database Manager</v>
          </cell>
        </row>
        <row r="248">
          <cell r="AH248" t="str">
            <v>330.398.230  Database Administration Supervisor</v>
          </cell>
        </row>
        <row r="249">
          <cell r="AH249" t="str">
            <v>330.398.340  Database Administrator - Senior</v>
          </cell>
        </row>
        <row r="250">
          <cell r="AH250" t="str">
            <v>330.398.350  Database Administrator</v>
          </cell>
        </row>
        <row r="251">
          <cell r="AH251" t="str">
            <v>330.404.220  Helpdesk Manager</v>
          </cell>
        </row>
        <row r="252">
          <cell r="AH252" t="str">
            <v>330.404.410  Helpdesk Coordinator -  Senior</v>
          </cell>
        </row>
        <row r="253">
          <cell r="AH253" t="str">
            <v>330.408.230  Network Administration Supervisor</v>
          </cell>
        </row>
        <row r="254">
          <cell r="AH254" t="str">
            <v>330.408.332  Network Specialist</v>
          </cell>
        </row>
        <row r="255">
          <cell r="AH255" t="str">
            <v>330.408.350  Network Administrator</v>
          </cell>
        </row>
        <row r="256">
          <cell r="AH256" t="str">
            <v>330.418.130  Head of IT Operations</v>
          </cell>
        </row>
        <row r="257">
          <cell r="AH257" t="str">
            <v>330.418.220  IT Operations Manager</v>
          </cell>
        </row>
        <row r="258">
          <cell r="AH258" t="str">
            <v>330.418.240  IT Operations Supervisor</v>
          </cell>
        </row>
        <row r="259">
          <cell r="AH259" t="str">
            <v>330.418.420  Computer Operator</v>
          </cell>
        </row>
        <row r="260">
          <cell r="AH260" t="str">
            <v>330.420.220  IT Security Manager</v>
          </cell>
        </row>
        <row r="261">
          <cell r="AH261" t="str">
            <v>330.420.340  IT Security Professional - Senior</v>
          </cell>
        </row>
        <row r="262">
          <cell r="AH262" t="str">
            <v>330.420.350  IT Security Professional - Experienced</v>
          </cell>
        </row>
        <row r="263">
          <cell r="AH263" t="str">
            <v>330.424.130  Head of IT Support</v>
          </cell>
        </row>
        <row r="264">
          <cell r="AH264" t="str">
            <v>330.424.220  IT Support Manager</v>
          </cell>
        </row>
        <row r="265">
          <cell r="AH265" t="str">
            <v>330.424.230  IT Support Supervisor</v>
          </cell>
        </row>
        <row r="266">
          <cell r="AH266" t="str">
            <v>330.424.340  IT Support Analyst - Senior</v>
          </cell>
        </row>
        <row r="267">
          <cell r="AH267" t="str">
            <v>330.424.350  IT Support Analyst</v>
          </cell>
        </row>
        <row r="268">
          <cell r="AH268" t="str">
            <v>330.424.351  IT Support Engineer</v>
          </cell>
        </row>
        <row r="269">
          <cell r="AH269" t="str">
            <v>330.432.350  Web Administrator</v>
          </cell>
        </row>
        <row r="270">
          <cell r="AH270" t="str">
            <v>400.000.120  Top Sales And Marketing Executive</v>
          </cell>
        </row>
        <row r="271">
          <cell r="AH271" t="str">
            <v>400.436.130  Head of Business Development</v>
          </cell>
        </row>
        <row r="272">
          <cell r="AH272" t="str">
            <v>400.436.220  Business Development Manager</v>
          </cell>
        </row>
        <row r="273">
          <cell r="AH273" t="str">
            <v>400.436.340  Senior Business Development Analyst</v>
          </cell>
        </row>
        <row r="274">
          <cell r="AH274" t="str">
            <v>400.436.350  Business Development Analyst</v>
          </cell>
        </row>
        <row r="275">
          <cell r="AH275" t="str">
            <v>400.436.360  Business Development Executive</v>
          </cell>
        </row>
        <row r="276">
          <cell r="AH276" t="str">
            <v>400.440.130  Head of Bid &amp; Proposal</v>
          </cell>
        </row>
        <row r="277">
          <cell r="AH277" t="str">
            <v>400.440.220  Bid &amp; Proposal Manager</v>
          </cell>
        </row>
        <row r="278">
          <cell r="AH278" t="str">
            <v>400.440.221  Commercial Manager</v>
          </cell>
        </row>
        <row r="279">
          <cell r="AH279" t="str">
            <v>400.440.340  Senior Bid &amp; Proposal Executive</v>
          </cell>
        </row>
        <row r="280">
          <cell r="AH280" t="str">
            <v>400.440.350  Bid &amp; Proposal Executive</v>
          </cell>
        </row>
        <row r="281">
          <cell r="A281" t="str">
            <v>Y</v>
          </cell>
          <cell r="AH281" t="str">
            <v>400.440.351  Commercial Analyst</v>
          </cell>
        </row>
        <row r="282">
          <cell r="A282" t="str">
            <v>N</v>
          </cell>
          <cell r="AH282" t="str">
            <v>410.000.120  Top Marketing Executive</v>
          </cell>
        </row>
        <row r="283">
          <cell r="AH283" t="str">
            <v>410.100.130  Head of Marketing</v>
          </cell>
        </row>
        <row r="284">
          <cell r="AH284" t="str">
            <v>410.100.220  Marketing Manager</v>
          </cell>
        </row>
        <row r="285">
          <cell r="AH285" t="str">
            <v>410.100.340  Senior Marketing Specialist</v>
          </cell>
        </row>
        <row r="286">
          <cell r="AH286" t="str">
            <v>410.100.350  Marketing Executive</v>
          </cell>
        </row>
        <row r="287">
          <cell r="AH287" t="str">
            <v>410.100.430  Marketing Assistant</v>
          </cell>
        </row>
        <row r="288">
          <cell r="AH288" t="str">
            <v>410.444.220  Marketing Comm. Manager</v>
          </cell>
        </row>
        <row r="289">
          <cell r="AH289" t="str">
            <v>410.444.340  Senior Marketing Comm. Specialist</v>
          </cell>
        </row>
        <row r="290">
          <cell r="AH290" t="str">
            <v>410.444.350  Marketing Comm. Specialist</v>
          </cell>
        </row>
        <row r="291">
          <cell r="AH291" t="str">
            <v>410.444.351  Promotions Executive</v>
          </cell>
        </row>
        <row r="292">
          <cell r="AH292" t="str">
            <v>410.448.130  Top Category Management Executive</v>
          </cell>
        </row>
        <row r="293">
          <cell r="AH293" t="str">
            <v>410.448.220  Category Management Manager</v>
          </cell>
        </row>
        <row r="294">
          <cell r="AH294" t="str">
            <v>410.456.222  Web Marketing Manager</v>
          </cell>
        </row>
        <row r="295">
          <cell r="AH295" t="str">
            <v>410.460.130  Head of Market Research</v>
          </cell>
        </row>
        <row r="296">
          <cell r="AH296" t="str">
            <v>410.460.220  Market Research Manager</v>
          </cell>
        </row>
        <row r="297">
          <cell r="AH297" t="str">
            <v>410.460.230  Market Research Supervisor</v>
          </cell>
        </row>
        <row r="298">
          <cell r="AH298" t="str">
            <v>410.460.350  Market Analyst</v>
          </cell>
        </row>
        <row r="299">
          <cell r="AH299" t="str">
            <v>410.464.130  Head of Technical Marketing</v>
          </cell>
        </row>
        <row r="300">
          <cell r="AH300" t="str">
            <v>410.472.130  Head of Merchandising</v>
          </cell>
        </row>
        <row r="301">
          <cell r="AH301" t="str">
            <v>410.472.220  Division / Region Merchandise Manager</v>
          </cell>
        </row>
        <row r="302">
          <cell r="AH302" t="str">
            <v>410.472.230  Assistant Merchandising Manager</v>
          </cell>
        </row>
        <row r="303">
          <cell r="AH303" t="str">
            <v>410.472.231  Merchandise Presentation Manager</v>
          </cell>
        </row>
        <row r="304">
          <cell r="AH304" t="str">
            <v>410.472.350  Merchandising Supervisor</v>
          </cell>
        </row>
        <row r="305">
          <cell r="AH305" t="str">
            <v>410.472.420  Merchandiser</v>
          </cell>
        </row>
        <row r="306">
          <cell r="AH306" t="str">
            <v>410.476.210  Group Brand / Product Manager</v>
          </cell>
        </row>
        <row r="307">
          <cell r="AH307" t="str">
            <v>410.476.330  Senior Brand / Product Manager</v>
          </cell>
        </row>
        <row r="308">
          <cell r="AH308" t="str">
            <v>410.476.340  Brand / Product Manager</v>
          </cell>
        </row>
        <row r="309">
          <cell r="AH309" t="str">
            <v>410.476.350  Assistant Brand / Product Manager</v>
          </cell>
        </row>
        <row r="310">
          <cell r="AH310" t="str">
            <v>410.576.221  Pricing Manager</v>
          </cell>
        </row>
        <row r="311">
          <cell r="AH311" t="str">
            <v>410.576.350  Pricing Analyst</v>
          </cell>
        </row>
        <row r="312">
          <cell r="AH312" t="str">
            <v>420.000.120  Top Sales Executive</v>
          </cell>
        </row>
        <row r="313">
          <cell r="AH313" t="str">
            <v>420.100.210  Area Sales Manager</v>
          </cell>
        </row>
        <row r="314">
          <cell r="AH314" t="str">
            <v>420.100.220  Sales Manager</v>
          </cell>
        </row>
        <row r="315">
          <cell r="AH315" t="str">
            <v>420.100.222  Regional Sales Manager</v>
          </cell>
        </row>
        <row r="316">
          <cell r="AH316" t="str">
            <v>420.100.340  Senior Sales Representative</v>
          </cell>
        </row>
        <row r="317">
          <cell r="AH317" t="str">
            <v>420.100.350  Sales Representative</v>
          </cell>
        </row>
        <row r="318">
          <cell r="AH318" t="str">
            <v>420.100.360  Sales Trainee</v>
          </cell>
        </row>
        <row r="319">
          <cell r="AH319" t="str">
            <v>420.488.211  Regional Key Account Manager</v>
          </cell>
        </row>
        <row r="320">
          <cell r="AH320" t="str">
            <v>420.488.220  Account Management Manager</v>
          </cell>
        </row>
        <row r="321">
          <cell r="AH321" t="str">
            <v>420.488.340  Key Account Manager</v>
          </cell>
        </row>
        <row r="322">
          <cell r="AH322" t="str">
            <v>420.488.350  Account Manager - Experienced</v>
          </cell>
        </row>
        <row r="323">
          <cell r="AH323" t="str">
            <v>420.492.220  Sales Manager - Channel Sales</v>
          </cell>
        </row>
        <row r="324">
          <cell r="AH324" t="str">
            <v>420.492.340  Senior Sales Representative - Channel Sales</v>
          </cell>
        </row>
        <row r="325">
          <cell r="AH325" t="str">
            <v>420.492.350  Sales Representative - Channel Sales</v>
          </cell>
        </row>
        <row r="326">
          <cell r="AH326" t="str">
            <v>420.492.360  Sales Trainee - Channel Sales</v>
          </cell>
        </row>
        <row r="327">
          <cell r="AH327" t="str">
            <v>420.496.132  Head of Sales - Technical Sales</v>
          </cell>
        </row>
        <row r="328">
          <cell r="AH328" t="str">
            <v>420.496.212  Area Technical Sales Manager</v>
          </cell>
        </row>
        <row r="329">
          <cell r="AH329" t="str">
            <v>420.496.221  Regional Technical Sales Manager</v>
          </cell>
        </row>
        <row r="330">
          <cell r="AH330" t="str">
            <v>420.496.222  Sales Manager - Technical Sales</v>
          </cell>
        </row>
        <row r="331">
          <cell r="AH331" t="str">
            <v>420.496.223  Account Manager - Technical Sales</v>
          </cell>
        </row>
        <row r="332">
          <cell r="AH332" t="str">
            <v>420.496.342  Senior Sales Representative - Technical Sales</v>
          </cell>
        </row>
        <row r="333">
          <cell r="AH333" t="str">
            <v>420.496.352  Sales Representative - Technical Sales</v>
          </cell>
        </row>
        <row r="334">
          <cell r="AH334" t="str">
            <v>420.496.362  Sales Trainee - Technical Sales</v>
          </cell>
        </row>
        <row r="335">
          <cell r="AH335" t="str">
            <v>420.504.220  Sales Administration Manager</v>
          </cell>
        </row>
        <row r="336">
          <cell r="AH336" t="str">
            <v>420.504.240  Sales Administration Supervisor</v>
          </cell>
        </row>
        <row r="337">
          <cell r="AH337" t="str">
            <v>420.504.410  Senior Sales Administration</v>
          </cell>
        </row>
        <row r="338">
          <cell r="AH338" t="str">
            <v>420.504.420  Sales Administration Officer</v>
          </cell>
        </row>
        <row r="339">
          <cell r="AH339" t="str">
            <v>420.504.430  Sales Administration (Entry)</v>
          </cell>
        </row>
        <row r="340">
          <cell r="AH340" t="str">
            <v>420.508.220  Sales Planning Manager</v>
          </cell>
        </row>
        <row r="341">
          <cell r="AH341" t="str">
            <v>420.508.230  Sales Information Manager</v>
          </cell>
        </row>
        <row r="342">
          <cell r="AH342" t="str">
            <v>420.508.231  Sales Planning Supervisor</v>
          </cell>
        </row>
        <row r="343">
          <cell r="AH343" t="str">
            <v>420.508.350  Sales Planning Analyst</v>
          </cell>
        </row>
        <row r="344">
          <cell r="AH344" t="str">
            <v>420.520.130  Head of Tele-Sales</v>
          </cell>
        </row>
        <row r="345">
          <cell r="AH345" t="str">
            <v>420.520.211  Area Tele-Sales Manager</v>
          </cell>
        </row>
        <row r="346">
          <cell r="AH346" t="str">
            <v>420.520.220  Tele-Sales Manager</v>
          </cell>
        </row>
        <row r="347">
          <cell r="AH347" t="str">
            <v>420.520.230  Telesales Team Leader</v>
          </cell>
        </row>
        <row r="348">
          <cell r="AH348" t="str">
            <v>420.520.340  Senior Tele-Sales Representative</v>
          </cell>
        </row>
        <row r="349">
          <cell r="AH349" t="str">
            <v>420.520.350  Tele-Sales Representative</v>
          </cell>
        </row>
        <row r="350">
          <cell r="AH350" t="str">
            <v>420.520.360  Tele-Sales Associate</v>
          </cell>
        </row>
        <row r="351">
          <cell r="AH351" t="str">
            <v>420.520.420  Telemarketer</v>
          </cell>
        </row>
        <row r="352">
          <cell r="AH352" t="str">
            <v>420.524.210  Trade Marketing Senior Manager</v>
          </cell>
        </row>
        <row r="353">
          <cell r="AH353" t="str">
            <v>420.524.340  Senior Trade Marketing Executive</v>
          </cell>
        </row>
        <row r="354">
          <cell r="AH354" t="str">
            <v>420.524.350  Trade Marketing Executive</v>
          </cell>
        </row>
        <row r="355">
          <cell r="AH355" t="str">
            <v>430.000.121  Top Customer Service Executive</v>
          </cell>
        </row>
        <row r="356">
          <cell r="AH356" t="str">
            <v>430.100.130  Head of Call Centre</v>
          </cell>
        </row>
        <row r="357">
          <cell r="AH357" t="str">
            <v>430.124.220  Quality Assurance Manager</v>
          </cell>
        </row>
        <row r="358">
          <cell r="AH358" t="str">
            <v>430.124.350  Quality Assurance Analyst</v>
          </cell>
        </row>
        <row r="359">
          <cell r="AH359" t="str">
            <v>430.276.352  Scriptwriter</v>
          </cell>
        </row>
        <row r="360">
          <cell r="AH360" t="str">
            <v>430.312.220  Manager - Credit/Collections</v>
          </cell>
        </row>
        <row r="361">
          <cell r="AH361" t="str">
            <v>430.312.240  Supervisor - Credit/Collections</v>
          </cell>
        </row>
        <row r="362">
          <cell r="AH362" t="str">
            <v>430.312.410  Senior Level Representative - Credit/Collections</v>
          </cell>
        </row>
        <row r="363">
          <cell r="AH363" t="str">
            <v>430.312.420  Intermediate Level Representative - Credit/Collections</v>
          </cell>
        </row>
        <row r="364">
          <cell r="AH364" t="str">
            <v>430.312.430  Entry Level Representative - Credit/Collections</v>
          </cell>
        </row>
        <row r="365">
          <cell r="AH365" t="str">
            <v>430.488.220  Manager - Full Account Management</v>
          </cell>
        </row>
        <row r="366">
          <cell r="AH366" t="str">
            <v>430.488.240  Supervisor - Full Account Management</v>
          </cell>
        </row>
        <row r="367">
          <cell r="AH367" t="str">
            <v>430.488.410  Senior Level Representative - Full Account Management</v>
          </cell>
        </row>
        <row r="368">
          <cell r="AH368" t="str">
            <v>430.488.420  Intermediate Level Representative - Full Account Management</v>
          </cell>
        </row>
        <row r="369">
          <cell r="AH369" t="str">
            <v>430.488.430  Entry Level Representative - Full Account Management</v>
          </cell>
        </row>
        <row r="370">
          <cell r="AH370" t="str">
            <v>430.532.130  Head of Customer Service</v>
          </cell>
        </row>
        <row r="371">
          <cell r="AH371" t="str">
            <v>430.532.220  Manager - Customer Service</v>
          </cell>
        </row>
        <row r="372">
          <cell r="AH372" t="str">
            <v>430.532.223  Customer Service Manager - Walk In</v>
          </cell>
        </row>
        <row r="373">
          <cell r="AH373" t="str">
            <v>430.532.231  Customer Relations Manager</v>
          </cell>
        </row>
        <row r="374">
          <cell r="AH374" t="str">
            <v>430.532.240  Supervisor - Customer Service</v>
          </cell>
        </row>
        <row r="375">
          <cell r="AH375" t="str">
            <v>430.532.343  Senior Customer Service Officer - Walk In</v>
          </cell>
        </row>
        <row r="376">
          <cell r="AH376" t="str">
            <v>430.532.350  Internal Help Desk Support</v>
          </cell>
        </row>
        <row r="377">
          <cell r="AH377" t="str">
            <v>430.532.353  Customer Service Officer - Walk In</v>
          </cell>
        </row>
        <row r="378">
          <cell r="AH378" t="str">
            <v>430.532.363  Customer Service Assistant - Walk In</v>
          </cell>
        </row>
        <row r="379">
          <cell r="AH379" t="str">
            <v>430.532.410  Senior Level Representative - Customer Service</v>
          </cell>
        </row>
        <row r="380">
          <cell r="AH380" t="str">
            <v>430.532.420  Intermediate Level Representative - Customer Service</v>
          </cell>
        </row>
        <row r="381">
          <cell r="AH381" t="str">
            <v>430.532.430  Entry Level Representative - Customer Service</v>
          </cell>
        </row>
        <row r="382">
          <cell r="AH382" t="str">
            <v>430.536.220  Manager - Inbound/Outbound</v>
          </cell>
        </row>
        <row r="383">
          <cell r="AH383" t="str">
            <v>430.536.240  Supervisor - Inbound/Outbound</v>
          </cell>
        </row>
        <row r="384">
          <cell r="AH384" t="str">
            <v>430.536.410  Senior Level Representative - Inbound/Outbound</v>
          </cell>
        </row>
        <row r="385">
          <cell r="AH385" t="str">
            <v>430.536.420  Intermediate Level Representative - Inbound/Outbound</v>
          </cell>
        </row>
        <row r="386">
          <cell r="AH386" t="str">
            <v>430.536.430  Entry Level Representative - Inbound/Outbound</v>
          </cell>
        </row>
        <row r="387">
          <cell r="AH387" t="str">
            <v>430.548.220  Manager - Internet</v>
          </cell>
        </row>
        <row r="388">
          <cell r="AH388" t="str">
            <v>430.548.240  Supervisor - Internet</v>
          </cell>
        </row>
        <row r="389">
          <cell r="AH389" t="str">
            <v>430.548.410  Senior Level Representative - Internet</v>
          </cell>
        </row>
        <row r="390">
          <cell r="AH390" t="str">
            <v>430.548.420  Intermediate Level Representative - Internet</v>
          </cell>
        </row>
        <row r="391">
          <cell r="AH391" t="str">
            <v xml:space="preserve">430.548.421  Online Customer Support </v>
          </cell>
        </row>
        <row r="392">
          <cell r="AH392" t="str">
            <v>430.548.430  Entry Level Representative - Internet</v>
          </cell>
        </row>
        <row r="393">
          <cell r="AH393" t="str">
            <v>430.552.220  Manager - Lead Generation</v>
          </cell>
        </row>
        <row r="394">
          <cell r="AH394" t="str">
            <v>430.552.240  Supervisor - Lead Generation</v>
          </cell>
        </row>
        <row r="395">
          <cell r="AH395" t="str">
            <v>430.552.410  Senior Level Representative - Lead Generation</v>
          </cell>
        </row>
        <row r="396">
          <cell r="AH396" t="str">
            <v>430.552.420  Intermediate Level Representative - Lead Generation</v>
          </cell>
        </row>
        <row r="397">
          <cell r="AH397" t="str">
            <v>430.552.430  Entry-Level Representative - Lead Generation</v>
          </cell>
        </row>
        <row r="398">
          <cell r="AH398" t="str">
            <v>430.556.220  Manager - Order Entry</v>
          </cell>
        </row>
        <row r="399">
          <cell r="AH399" t="str">
            <v>430.556.240  Supervisor - Order Entry</v>
          </cell>
        </row>
        <row r="400">
          <cell r="AH400" t="str">
            <v>430.556.410  Senior Level Representative - Order Entry</v>
          </cell>
        </row>
        <row r="401">
          <cell r="AH401" t="str">
            <v>430.556.420  Intermediate Level Representative - Order Entry</v>
          </cell>
        </row>
        <row r="402">
          <cell r="AH402" t="str">
            <v>430.556.430  Entry Level Representative - Order Entry</v>
          </cell>
        </row>
        <row r="403">
          <cell r="AH403" t="str">
            <v>430.560.220  Manager - Response Collection/Polling</v>
          </cell>
        </row>
        <row r="404">
          <cell r="AH404" t="str">
            <v>430.560.240  Supervisor - Response Collection/Polling</v>
          </cell>
        </row>
        <row r="405">
          <cell r="AH405" t="str">
            <v>430.560.410  Senior Level Representative - Response Collection/Polling</v>
          </cell>
        </row>
        <row r="406">
          <cell r="AH406" t="str">
            <v>430.560.420  Intermediate Level Representative - Response Collection/Polling</v>
          </cell>
        </row>
        <row r="407">
          <cell r="AH407" t="str">
            <v>430.560.430  Entry Level Representative - Response Collection/Polling</v>
          </cell>
        </row>
        <row r="408">
          <cell r="AH408" t="str">
            <v>430.564.220  Manager - Technical Support</v>
          </cell>
        </row>
        <row r="409">
          <cell r="AH409" t="str">
            <v>430.564.230  Supervisor - Technical Support</v>
          </cell>
        </row>
        <row r="410">
          <cell r="AH410" t="str">
            <v>430.564.340  Senior Level Representative - Technical Support</v>
          </cell>
        </row>
        <row r="411">
          <cell r="AH411" t="str">
            <v>430.564.350  Intermediate Level Representative - Technical Support</v>
          </cell>
        </row>
        <row r="412">
          <cell r="AH412" t="str">
            <v>430.564.360  Entry Level Representative - Technical Support</v>
          </cell>
        </row>
        <row r="413">
          <cell r="AH413" t="str">
            <v>430.564.410  Senior Customer Service Assistant - Technical Support</v>
          </cell>
        </row>
        <row r="414">
          <cell r="AH414" t="str">
            <v>430.564.420  Customer Service Assistant - Technical Support</v>
          </cell>
        </row>
        <row r="415">
          <cell r="AH415" t="str">
            <v>430.564.430  Junior Customer Service Assistant - Technical Support</v>
          </cell>
        </row>
        <row r="416">
          <cell r="AH416" t="str">
            <v>430.568.130  Director of Traffic &amp; Scheduling</v>
          </cell>
        </row>
        <row r="417">
          <cell r="AH417" t="str">
            <v>430.568.220  Traffic &amp; Scheduling Manager</v>
          </cell>
        </row>
        <row r="418">
          <cell r="AH418" t="str">
            <v>430.568.230  Traffic &amp; Scheduling Supervisor</v>
          </cell>
        </row>
        <row r="419">
          <cell r="AH419" t="str">
            <v>430.568.350  Traffic &amp; Scheduling Analyst</v>
          </cell>
        </row>
        <row r="420">
          <cell r="AH420" t="str">
            <v>430.568.360  Traffic &amp; Scheduling Assistant</v>
          </cell>
        </row>
        <row r="421">
          <cell r="AH421" t="str">
            <v>500.000.120  Top Research &amp; Development Executive</v>
          </cell>
        </row>
        <row r="422">
          <cell r="AH422" t="str">
            <v>500.100.220  Research &amp; Development Manager</v>
          </cell>
        </row>
        <row r="423">
          <cell r="AH423" t="str">
            <v>500.100.340  Senior Research &amp; Development Engineer</v>
          </cell>
        </row>
        <row r="424">
          <cell r="AH424" t="str">
            <v>500.100.350  Research &amp; Development Engineer</v>
          </cell>
        </row>
        <row r="425">
          <cell r="AH425" t="str">
            <v>500.100.360  Research &amp; Development Engineer (Entry)</v>
          </cell>
        </row>
        <row r="426">
          <cell r="AH426" t="str">
            <v>500.100.420  R &amp; D Technician</v>
          </cell>
        </row>
        <row r="427">
          <cell r="AH427" t="str">
            <v>500.628.220  Chemist Manager</v>
          </cell>
        </row>
        <row r="428">
          <cell r="AH428" t="str">
            <v>500.628.343  Chemist Senior</v>
          </cell>
        </row>
        <row r="429">
          <cell r="AH429" t="str">
            <v>500.628.353  Chemist Intermediate</v>
          </cell>
        </row>
        <row r="430">
          <cell r="AH430" t="str">
            <v>500.628.363  Chemist</v>
          </cell>
        </row>
        <row r="431">
          <cell r="AH431" t="str">
            <v>510.000.120  Top Engineering Executive</v>
          </cell>
        </row>
        <row r="432">
          <cell r="AH432" t="str">
            <v>510.100.220  Engineering Manager</v>
          </cell>
        </row>
        <row r="433">
          <cell r="AH433" t="str">
            <v xml:space="preserve">510.100.410  Technician (Highly Skilled) </v>
          </cell>
        </row>
        <row r="434">
          <cell r="AH434" t="str">
            <v xml:space="preserve">510.100.420  Technician (Skilled) </v>
          </cell>
        </row>
        <row r="435">
          <cell r="AH435" t="str">
            <v xml:space="preserve">510.100.430  Technician (Entry) </v>
          </cell>
        </row>
        <row r="436">
          <cell r="AH436" t="str">
            <v>510.130.220  Technology Transfer Manager</v>
          </cell>
        </row>
        <row r="437">
          <cell r="AH437" t="str">
            <v>510.130.340  Senior Technology Transfer Engineer</v>
          </cell>
        </row>
        <row r="438">
          <cell r="AH438" t="str">
            <v>510.130.350  Technology Transfer Engineer</v>
          </cell>
        </row>
        <row r="439">
          <cell r="AH439" t="str">
            <v>510.130.360  Technology Transfer Engineer Entry</v>
          </cell>
        </row>
        <row r="440">
          <cell r="AH440" t="str">
            <v>510.240.130  Head of EHS</v>
          </cell>
        </row>
        <row r="441">
          <cell r="AH441" t="str">
            <v>510.240.220  Environment Health &amp; Safety Manager</v>
          </cell>
        </row>
        <row r="442">
          <cell r="AH442" t="str">
            <v>510.240.320  Corporate Doctor</v>
          </cell>
        </row>
        <row r="443">
          <cell r="AH443" t="str">
            <v>510.240.350  Corporate Nurse</v>
          </cell>
        </row>
        <row r="444">
          <cell r="AH444" t="str">
            <v>510.415.130  Head of Systems Engineering</v>
          </cell>
        </row>
        <row r="445">
          <cell r="AH445" t="str">
            <v>510.415.220  Systems Engineering Manager</v>
          </cell>
        </row>
        <row r="446">
          <cell r="AH446" t="str">
            <v>510.415.340  Senior Systems Engineer</v>
          </cell>
        </row>
        <row r="447">
          <cell r="AH447" t="str">
            <v>510.415.350  Systems Engineer</v>
          </cell>
        </row>
        <row r="448">
          <cell r="AH448" t="str">
            <v>510.415.360  Systems Engineer (Entry)</v>
          </cell>
        </row>
        <row r="449">
          <cell r="AH449" t="str">
            <v>510.496.130  Head of Application Eng.</v>
          </cell>
        </row>
        <row r="450">
          <cell r="AH450" t="str">
            <v>510.496.220  Application Engineering Manager</v>
          </cell>
        </row>
        <row r="451">
          <cell r="AH451" t="str">
            <v>510.496.340  Senior Application Engineer</v>
          </cell>
        </row>
        <row r="452">
          <cell r="AH452" t="str">
            <v>510.496.350  Application Engineer</v>
          </cell>
        </row>
        <row r="453">
          <cell r="AH453" t="str">
            <v>510.496.360  Application Engineer (Entry)</v>
          </cell>
        </row>
        <row r="454">
          <cell r="AH454" t="str">
            <v>510.640.220  Test Engineering Manager</v>
          </cell>
        </row>
        <row r="455">
          <cell r="AH455" t="str">
            <v>510.640.230  Test Engineering Supervisor</v>
          </cell>
        </row>
        <row r="456">
          <cell r="AH456" t="str">
            <v>510.640.350  Test Engineer</v>
          </cell>
        </row>
        <row r="457">
          <cell r="AH457" t="str">
            <v>510.640.420  Testing Technician</v>
          </cell>
        </row>
        <row r="458">
          <cell r="AH458" t="str">
            <v>510.644.340  Chemical Engineer Senior</v>
          </cell>
        </row>
        <row r="459">
          <cell r="AH459" t="str">
            <v>510.644.350  Chemical Engineer</v>
          </cell>
        </row>
        <row r="460">
          <cell r="AH460" t="str">
            <v>510.652.130  Head of Technical Services</v>
          </cell>
        </row>
        <row r="461">
          <cell r="AH461" t="str">
            <v>510.652.131  Head of Customer Engineering</v>
          </cell>
        </row>
        <row r="462">
          <cell r="AH462" t="str">
            <v>510.652.220  Technical Service Manager</v>
          </cell>
        </row>
        <row r="463">
          <cell r="AH463" t="str">
            <v>510.652.221  Customer Engineering Manager</v>
          </cell>
        </row>
        <row r="464">
          <cell r="AH464" t="str">
            <v>510.652.340  Senior Technical Services Engineer</v>
          </cell>
        </row>
        <row r="465">
          <cell r="AH465" t="str">
            <v>510.652.341  Senior Customer Engineer</v>
          </cell>
        </row>
        <row r="466">
          <cell r="AH466" t="str">
            <v>510.652.350  Technical Service Engineer</v>
          </cell>
        </row>
        <row r="467">
          <cell r="AH467" t="str">
            <v>510.652.351  Customer Engineer</v>
          </cell>
        </row>
        <row r="468">
          <cell r="AH468" t="str">
            <v>510.652.360  Technical Service Engineer (Entry)</v>
          </cell>
        </row>
        <row r="469">
          <cell r="AH469" t="str">
            <v>510.652.361  Customer Engineer (Entry)</v>
          </cell>
        </row>
        <row r="470">
          <cell r="AH470" t="str">
            <v>510.652.410  Technician (Highly Skilled)</v>
          </cell>
        </row>
        <row r="471">
          <cell r="AH471" t="str">
            <v>510.652.420  Technician (Skilled)</v>
          </cell>
        </row>
        <row r="472">
          <cell r="AH472" t="str">
            <v>510.652.430  Technician (Entry)</v>
          </cell>
        </row>
        <row r="473">
          <cell r="AH473" t="str">
            <v>510.656.350  Draftsman</v>
          </cell>
        </row>
        <row r="474">
          <cell r="AH474" t="str">
            <v xml:space="preserve">510.656.351  CAD Designer </v>
          </cell>
        </row>
        <row r="475">
          <cell r="AH475" t="str">
            <v>510.660.220  Electrical / Instrument Engineering Manager</v>
          </cell>
        </row>
        <row r="476">
          <cell r="AH476" t="str">
            <v>510.660.340  Electrical / Instrument Engineer Senior</v>
          </cell>
        </row>
        <row r="477">
          <cell r="AH477" t="str">
            <v>510.660.350  Electrical / Instrument Engineer</v>
          </cell>
        </row>
        <row r="478">
          <cell r="AH478" t="str">
            <v>510.660.360  Electrical / Instrument Engineer Entry</v>
          </cell>
        </row>
        <row r="479">
          <cell r="AH479" t="str">
            <v>510.660.410  Electrician (Highly Skilled)</v>
          </cell>
        </row>
        <row r="480">
          <cell r="AH480" t="str">
            <v>510.664.340  Electronic Engineer Senior</v>
          </cell>
        </row>
        <row r="481">
          <cell r="AH481" t="str">
            <v>510.664.350  Electronic Engineer</v>
          </cell>
        </row>
        <row r="482">
          <cell r="AH482" t="str">
            <v>510.664.360  Electronic Engineer Entry</v>
          </cell>
        </row>
        <row r="483">
          <cell r="AH483" t="str">
            <v>510.668.230  Environment Supervisor</v>
          </cell>
        </row>
        <row r="484">
          <cell r="AH484" t="str">
            <v>510.668.340  Environmental Engineer - Senior</v>
          </cell>
        </row>
        <row r="485">
          <cell r="AH485" t="str">
            <v>510.668.350  Environment Engineer / Analyst</v>
          </cell>
        </row>
        <row r="486">
          <cell r="AH486" t="str">
            <v>510.668.360  Environment Officer</v>
          </cell>
        </row>
        <row r="487">
          <cell r="AH487" t="str">
            <v>510.676.220  Industrial Engineering Manager</v>
          </cell>
        </row>
        <row r="488">
          <cell r="AH488" t="str">
            <v>510.676.340  Senior Industrial Engineer</v>
          </cell>
        </row>
        <row r="489">
          <cell r="AH489" t="str">
            <v>510.676.350  Industrial Engineer</v>
          </cell>
        </row>
        <row r="490">
          <cell r="AH490" t="str">
            <v>510.680.410  Instrumentation Technician (Highly Skilled)</v>
          </cell>
        </row>
        <row r="491">
          <cell r="AH491" t="str">
            <v>510.682.220  Molding &amp; Tool Designer Manager</v>
          </cell>
        </row>
        <row r="492">
          <cell r="AH492" t="str">
            <v>510.682.340  Senior Molding &amp; Tool Designer Engineer</v>
          </cell>
        </row>
        <row r="493">
          <cell r="AH493" t="str">
            <v>510.682.350  Molding &amp; Tool Designer Engineer</v>
          </cell>
        </row>
        <row r="494">
          <cell r="AH494" t="str">
            <v>510.682.360  Molding &amp; Tool Designer Engineer - Entry</v>
          </cell>
        </row>
        <row r="495">
          <cell r="AH495" t="str">
            <v>510.691.410  Welder (Highly Skilled)</v>
          </cell>
        </row>
        <row r="496">
          <cell r="AH496" t="str">
            <v>510.692.224  Product Engineering Manager</v>
          </cell>
        </row>
        <row r="497">
          <cell r="AH497" t="str">
            <v>510.692.225  Automation Manager</v>
          </cell>
        </row>
        <row r="498">
          <cell r="AH498" t="str">
            <v>510.692.344  Senior Product Engineer</v>
          </cell>
        </row>
        <row r="499">
          <cell r="AH499" t="str">
            <v>510.692.345  Automation Engineer - Senior</v>
          </cell>
        </row>
        <row r="500">
          <cell r="AH500" t="str">
            <v>510.692.350  Product Engineer</v>
          </cell>
        </row>
        <row r="501">
          <cell r="AH501" t="str">
            <v>510.692.355  Automation Engineer - Experienced</v>
          </cell>
        </row>
        <row r="502">
          <cell r="AH502" t="str">
            <v>510.692.364  Product Engineer - Entry</v>
          </cell>
        </row>
        <row r="503">
          <cell r="AH503" t="str">
            <v>510.692.365  Automation Engineer - Entry</v>
          </cell>
        </row>
        <row r="504">
          <cell r="AH504" t="str">
            <v>510.696.340  Packaging Engineer Senior</v>
          </cell>
        </row>
        <row r="505">
          <cell r="AH505" t="str">
            <v>510.696.350  Packaging Engineer</v>
          </cell>
        </row>
        <row r="506">
          <cell r="AH506" t="str">
            <v>510.696.360  Packaging Engineer Entry</v>
          </cell>
        </row>
        <row r="507">
          <cell r="AH507" t="str">
            <v>510.700.220  Petroleum Engineering Manager</v>
          </cell>
        </row>
        <row r="508">
          <cell r="AH508" t="str">
            <v>510.700.221  Reservoir Engineering Manager</v>
          </cell>
        </row>
        <row r="509">
          <cell r="AH509" t="str">
            <v>510.700.340  Senior Petroleum Engineering</v>
          </cell>
        </row>
        <row r="510">
          <cell r="AH510" t="str">
            <v>510.700.341  Senior Reservoir Engineer</v>
          </cell>
        </row>
        <row r="511">
          <cell r="AH511" t="str">
            <v>510.700.350  Petroleum Engineer</v>
          </cell>
        </row>
        <row r="512">
          <cell r="AH512" t="str">
            <v>510.700.351  Reservoir Engineer</v>
          </cell>
        </row>
        <row r="513">
          <cell r="AH513" t="str">
            <v>510.700.360  Junior Petroleum Engineer</v>
          </cell>
        </row>
        <row r="514">
          <cell r="AH514" t="str">
            <v>510.700.361  Junior Reservoir Engineer</v>
          </cell>
        </row>
        <row r="515">
          <cell r="AH515" t="str">
            <v>510.700.420  Petroleum Technician</v>
          </cell>
        </row>
        <row r="516">
          <cell r="AH516" t="str">
            <v>510.704.130  Head of Manufacturing Engineering</v>
          </cell>
        </row>
        <row r="517">
          <cell r="AH517" t="str">
            <v>510.704.221  Manufacturing Engineering Manager</v>
          </cell>
        </row>
        <row r="518">
          <cell r="AH518" t="str">
            <v>510.704.340  Senior Process Engineer</v>
          </cell>
        </row>
        <row r="519">
          <cell r="AH519" t="str">
            <v>510.704.350  Process Engineer</v>
          </cell>
        </row>
        <row r="520">
          <cell r="AH520" t="str">
            <v>510.704.360  Process Engineer (Entry)</v>
          </cell>
        </row>
        <row r="521">
          <cell r="AH521" t="str">
            <v>510.715.130  Head of Hardware Development</v>
          </cell>
        </row>
        <row r="522">
          <cell r="AH522" t="str">
            <v>510.715.220  Hardware Development Manager</v>
          </cell>
        </row>
        <row r="523">
          <cell r="AH523" t="str">
            <v>510.715.340  Senior Hardware Development Engineer</v>
          </cell>
        </row>
        <row r="524">
          <cell r="AH524" t="str">
            <v>510.715.350  Hardware Development Engineer</v>
          </cell>
        </row>
        <row r="525">
          <cell r="AH525" t="str">
            <v>510.715.360  Hardware Development Engineer Entry</v>
          </cell>
        </row>
        <row r="526">
          <cell r="AH526" t="str">
            <v>510.800.210  Chief Drilling Engineer</v>
          </cell>
        </row>
        <row r="527">
          <cell r="AH527" t="str">
            <v>510.800.340  Senior Drilling Engineer</v>
          </cell>
        </row>
        <row r="528">
          <cell r="AH528" t="str">
            <v>510.800.350  Drilling Engineer</v>
          </cell>
        </row>
        <row r="529">
          <cell r="AH529" t="str">
            <v>510.800.420  Drilling Technician</v>
          </cell>
        </row>
        <row r="530">
          <cell r="AH530" t="str">
            <v>510.928.130  Head of Facilities Engineering</v>
          </cell>
        </row>
        <row r="531">
          <cell r="AH531" t="str">
            <v>510.928.220  Facilities Manager</v>
          </cell>
        </row>
        <row r="532">
          <cell r="AH532" t="str">
            <v>510.928.230  Facilities Supervisor</v>
          </cell>
        </row>
        <row r="533">
          <cell r="AH533" t="str">
            <v>510.928.351  Facilities Engineer</v>
          </cell>
        </row>
        <row r="534">
          <cell r="AH534" t="str">
            <v>510.928.354  Facilities Officer</v>
          </cell>
        </row>
        <row r="535">
          <cell r="AH535" t="str">
            <v>510.928.361  Junior Facilities Engineer</v>
          </cell>
        </row>
        <row r="536">
          <cell r="AH536" t="str">
            <v>510.928.410  Facilities Technician</v>
          </cell>
        </row>
        <row r="537">
          <cell r="AH537" t="str">
            <v>520.104.220  Project Engineering Manager</v>
          </cell>
        </row>
        <row r="538">
          <cell r="AH538" t="str">
            <v>520.104.340  Senior Project Engineer</v>
          </cell>
        </row>
        <row r="539">
          <cell r="AH539" t="str">
            <v>520.104.350  Project Engineer</v>
          </cell>
        </row>
        <row r="540">
          <cell r="AH540" t="str">
            <v>520.104.360  Project Engineer (Entry)</v>
          </cell>
        </row>
        <row r="541">
          <cell r="AH541" t="str">
            <v>550.380.410  Telecommunication Technician</v>
          </cell>
        </row>
        <row r="542">
          <cell r="AH542" t="str">
            <v>550.662.240  Leadman</v>
          </cell>
        </row>
        <row r="543">
          <cell r="AH543" t="str">
            <v>550.662.420  Cable Splicer / Cable Jointer / Tester</v>
          </cell>
        </row>
        <row r="544">
          <cell r="AH544" t="str">
            <v>550.684.130  Head of Maintenance Engineering</v>
          </cell>
        </row>
        <row r="545">
          <cell r="AH545" t="str">
            <v>550.684.220  Maintenance Manager</v>
          </cell>
        </row>
        <row r="546">
          <cell r="AH546" t="str">
            <v>550.684.240  Maintenance Supervisor</v>
          </cell>
        </row>
        <row r="547">
          <cell r="AH547" t="str">
            <v>550.684.350  Maintenance Engineer</v>
          </cell>
        </row>
        <row r="548">
          <cell r="AH548" t="str">
            <v>550.684.410  Maintenance Technician - Senior</v>
          </cell>
        </row>
        <row r="549">
          <cell r="AH549" t="str">
            <v>550.684.420  Maintenance Technician - Experienced</v>
          </cell>
        </row>
        <row r="550">
          <cell r="AH550" t="str">
            <v>550.684.421  Mechanic (Heavy Equipment)</v>
          </cell>
        </row>
        <row r="551">
          <cell r="AH551" t="str">
            <v>550.684.422  Mechanic (Piping)</v>
          </cell>
        </row>
        <row r="552">
          <cell r="AH552" t="str">
            <v xml:space="preserve">600.100.130  Plant Manager </v>
          </cell>
        </row>
        <row r="553">
          <cell r="AH553" t="str">
            <v>600.132.423  Control Room Operator</v>
          </cell>
        </row>
        <row r="554">
          <cell r="AH554" t="str">
            <v>600.724.130  Head of Production</v>
          </cell>
        </row>
        <row r="555">
          <cell r="AH555" t="str">
            <v>600.724.220  Production Manager</v>
          </cell>
        </row>
        <row r="556">
          <cell r="AH556" t="str">
            <v>600.724.230  Production Supervisor / Superintendent</v>
          </cell>
        </row>
        <row r="557">
          <cell r="AH557" t="str">
            <v>600.724.240  Line Supervisor</v>
          </cell>
        </row>
        <row r="558">
          <cell r="AH558" t="str">
            <v>600.724.330  Group Leader</v>
          </cell>
        </row>
        <row r="559">
          <cell r="AH559" t="str">
            <v>600.724.350  Production Engineer</v>
          </cell>
        </row>
        <row r="560">
          <cell r="AH560" t="str">
            <v>600.724.410  Prod. Worker (Highly Skilled)</v>
          </cell>
        </row>
        <row r="561">
          <cell r="AH561" t="str">
            <v>600.724.420  Prod. Worker (Skilled)</v>
          </cell>
        </row>
        <row r="562">
          <cell r="AH562" t="str">
            <v>600.724.421  Production Technician</v>
          </cell>
        </row>
        <row r="563">
          <cell r="AH563" t="str">
            <v>600.724.430  Prod. Worker (Entry)</v>
          </cell>
        </row>
        <row r="564">
          <cell r="AH564" t="str">
            <v>600.725.220  Production Planning Control Manager</v>
          </cell>
        </row>
        <row r="565">
          <cell r="AH565" t="str">
            <v>600.725.230  Production Planning Control Supervisor</v>
          </cell>
        </row>
        <row r="566">
          <cell r="AH566" t="str">
            <v>600.725.350  Production Controller</v>
          </cell>
        </row>
        <row r="567">
          <cell r="AH567" t="str">
            <v>600.725.420  Production Clerk</v>
          </cell>
        </row>
        <row r="568">
          <cell r="AH568" t="str">
            <v>610.000.120  Head of Supply &amp; Logistics/ Top Executive</v>
          </cell>
        </row>
        <row r="569">
          <cell r="AH569" t="str">
            <v>610.100.220  Supply Chain Manager</v>
          </cell>
        </row>
        <row r="570">
          <cell r="AH570" t="str">
            <v>610.100.221  Logistics Manager</v>
          </cell>
        </row>
        <row r="571">
          <cell r="AH571" t="str">
            <v>610.100.230  Logistics Superintendent</v>
          </cell>
        </row>
        <row r="572">
          <cell r="AH572" t="str">
            <v>610.100.350  Logistics Officer</v>
          </cell>
        </row>
        <row r="573">
          <cell r="AH573" t="str">
            <v>610.100.420  Logistics Assistant</v>
          </cell>
        </row>
        <row r="574">
          <cell r="AH574" t="str">
            <v>610.124.220  Supplier Quality Manager</v>
          </cell>
        </row>
        <row r="575">
          <cell r="AH575" t="str">
            <v>610.124.340  Sr. Supplier Quality Engineer (SQE)</v>
          </cell>
        </row>
        <row r="576">
          <cell r="AH576" t="str">
            <v>610.124.350  Supplier Quality Engineer (SQE)</v>
          </cell>
        </row>
        <row r="577">
          <cell r="AH577" t="str">
            <v>610.572.130  Head of Purchasing</v>
          </cell>
        </row>
        <row r="578">
          <cell r="AH578" t="str">
            <v>610.572.220  Purchasing Manager</v>
          </cell>
        </row>
        <row r="579">
          <cell r="AH579" t="str">
            <v>610.572.230  Purchasing Supervisor</v>
          </cell>
        </row>
        <row r="580">
          <cell r="AH580" t="str">
            <v>610.572.340  Buyer - Senior</v>
          </cell>
        </row>
        <row r="581">
          <cell r="AH581" t="str">
            <v>610.572.350  Buyer</v>
          </cell>
        </row>
        <row r="582">
          <cell r="AH582" t="str">
            <v>610.572.360  Assistant Buyer</v>
          </cell>
        </row>
        <row r="583">
          <cell r="AH583" t="str">
            <v>610.580.341  Senior Planner</v>
          </cell>
        </row>
        <row r="584">
          <cell r="AH584" t="str">
            <v>610.580.351  Planner</v>
          </cell>
        </row>
        <row r="585">
          <cell r="AH585" t="str">
            <v>610.592.220  Materials Manager</v>
          </cell>
        </row>
        <row r="586">
          <cell r="AH586" t="str">
            <v>610.592.230  Materials Superintendent</v>
          </cell>
        </row>
        <row r="587">
          <cell r="AH587" t="str">
            <v>610.592.240  Materials Supervisor</v>
          </cell>
        </row>
        <row r="588">
          <cell r="AH588" t="str">
            <v>610.596.220  Procurement Manager</v>
          </cell>
        </row>
        <row r="589">
          <cell r="AH589" t="str">
            <v>610.596.231  Procurement Supervisor</v>
          </cell>
        </row>
        <row r="590">
          <cell r="AH590" t="str">
            <v>610.596.350  Procurement Engineer</v>
          </cell>
        </row>
        <row r="591">
          <cell r="AH591" t="str">
            <v>610.600.431  Forklift Operator</v>
          </cell>
        </row>
        <row r="592">
          <cell r="AH592" t="str">
            <v>610.604.220  Traffic &amp; Distribution Manager</v>
          </cell>
        </row>
        <row r="593">
          <cell r="AH593" t="str">
            <v>610.604.223  Vessel/ Flight Planning Manager</v>
          </cell>
        </row>
        <row r="594">
          <cell r="AH594" t="str">
            <v>610.604.230  Traffic &amp; Distribution Superintendent</v>
          </cell>
        </row>
        <row r="595">
          <cell r="AH595" t="str">
            <v>610.604.240  Traffic &amp; Distribution Supervisor</v>
          </cell>
        </row>
        <row r="596">
          <cell r="AH596" t="str">
            <v>610.604.350  Traffic &amp; Distribution Analyst - Experienced</v>
          </cell>
        </row>
        <row r="597">
          <cell r="AH597" t="str">
            <v>610.604.425  Delivery Driver</v>
          </cell>
        </row>
        <row r="598">
          <cell r="AH598" t="str">
            <v>610.604.426  Vessel / Flight Planner</v>
          </cell>
        </row>
        <row r="599">
          <cell r="AH599" t="str">
            <v>610.604.430  Traffic &amp; Distribution Co-Ordinator</v>
          </cell>
        </row>
        <row r="600">
          <cell r="AH600" t="str">
            <v>610.610.220  Customs Clearance Manager</v>
          </cell>
        </row>
        <row r="601">
          <cell r="AH601" t="str">
            <v>610.610.230  Customs Clearance Supervisor</v>
          </cell>
        </row>
        <row r="602">
          <cell r="AH602" t="str">
            <v>610.610.350  Customs Clearance Specialist</v>
          </cell>
        </row>
        <row r="603">
          <cell r="AH603" t="str">
            <v>610.610.431  Customs Clearance Clerk</v>
          </cell>
        </row>
        <row r="604">
          <cell r="AH604" t="str">
            <v>610.616.220  Warehouse Manager</v>
          </cell>
        </row>
        <row r="605">
          <cell r="AH605" t="str">
            <v>610.616.240  Warehouse Supervisor</v>
          </cell>
        </row>
        <row r="606">
          <cell r="AH606" t="str">
            <v>610.616.420  Storekeeper</v>
          </cell>
        </row>
        <row r="607">
          <cell r="AH607" t="str">
            <v>610.616.430  Warehouse Clerk</v>
          </cell>
        </row>
        <row r="608">
          <cell r="AH608" t="str">
            <v>610.616.431  Store Assistant</v>
          </cell>
        </row>
        <row r="609">
          <cell r="AH609" t="str">
            <v>620.000.120  Head of Quality Assurance</v>
          </cell>
        </row>
        <row r="610">
          <cell r="AH610" t="str">
            <v>620.100.210  QA Manager</v>
          </cell>
        </row>
        <row r="611">
          <cell r="AH611" t="str">
            <v>620.100.220  Master Black Belt</v>
          </cell>
        </row>
        <row r="612">
          <cell r="AH612" t="str">
            <v>620.100.230  Black Belt</v>
          </cell>
        </row>
        <row r="613">
          <cell r="AH613" t="str">
            <v>620.124.221  Service Assurance Manager</v>
          </cell>
        </row>
        <row r="614">
          <cell r="AH614" t="str">
            <v>620.124.230  QA Inspector</v>
          </cell>
        </row>
        <row r="615">
          <cell r="AH615" t="str">
            <v>620.124.340  Senior Quality Engineer</v>
          </cell>
        </row>
        <row r="616">
          <cell r="AH616" t="str">
            <v>620.124.350  Quality Engineer</v>
          </cell>
        </row>
        <row r="617">
          <cell r="AH617" t="str">
            <v>620.124.352  Service Quality Executive</v>
          </cell>
        </row>
        <row r="618">
          <cell r="AH618" t="str">
            <v>620.128.220  Quality Control Manager</v>
          </cell>
        </row>
        <row r="619">
          <cell r="AH619" t="str">
            <v>620.128.230  Quality Control Supervisor</v>
          </cell>
        </row>
        <row r="620">
          <cell r="AH620" t="str">
            <v>620.128.340  Quality Control Engineer-Senior</v>
          </cell>
        </row>
        <row r="621">
          <cell r="AH621" t="str">
            <v>620.128.350  Quality Control Engineer</v>
          </cell>
        </row>
        <row r="622">
          <cell r="AH622" t="str">
            <v>620.128.410  Quality Control Technician - Senior</v>
          </cell>
        </row>
        <row r="623">
          <cell r="AH623" t="str">
            <v>620.128.420  Quality Control Technician - Experienced</v>
          </cell>
        </row>
        <row r="624">
          <cell r="AH624" t="str">
            <v>620.636.220  Laboratory Manager</v>
          </cell>
        </row>
        <row r="625">
          <cell r="AH625" t="str">
            <v>620.636.230  Laboratory Supervisor</v>
          </cell>
        </row>
        <row r="626">
          <cell r="AH626" t="str">
            <v>620.636.350  Laboratory Analyst</v>
          </cell>
        </row>
        <row r="627">
          <cell r="AH627" t="str">
            <v>620.636.421  Laboratory Technician</v>
          </cell>
        </row>
        <row r="628">
          <cell r="AH628" t="str">
            <v>620.640.220  Yield / Failure Analysis Manager</v>
          </cell>
        </row>
        <row r="629">
          <cell r="AH629" t="str">
            <v>620.640.340  Senior Yield / Failure Analysis Engineer</v>
          </cell>
        </row>
        <row r="630">
          <cell r="AH630" t="str">
            <v>620.640.350  Yield / Failure Analysis Engineer</v>
          </cell>
        </row>
        <row r="631">
          <cell r="AH631" t="str">
            <v>620.640.360  Yield / Failure Engineer Entry</v>
          </cell>
        </row>
        <row r="632">
          <cell r="AH632" t="str">
            <v>700.724.220  Mining Production Manager</v>
          </cell>
        </row>
        <row r="633">
          <cell r="AH633" t="str">
            <v>700.724.230  Mining Production Superintendent</v>
          </cell>
        </row>
        <row r="634">
          <cell r="AH634" t="str">
            <v>700.724.240  Mining Production Supervisor</v>
          </cell>
        </row>
        <row r="635">
          <cell r="AH635" t="str">
            <v>700.724.241  Mining Production Leading Hand</v>
          </cell>
        </row>
        <row r="636">
          <cell r="AH636" t="str">
            <v>700.724.420  Heavy Equipment Operator</v>
          </cell>
        </row>
        <row r="637">
          <cell r="AH637" t="str">
            <v>700.800.421  Driller</v>
          </cell>
        </row>
        <row r="638">
          <cell r="AH638" t="str">
            <v>700.802.210  Chief Geologist</v>
          </cell>
        </row>
        <row r="639">
          <cell r="AH639" t="str">
            <v>700.802.340  Senior Geologist</v>
          </cell>
        </row>
        <row r="640">
          <cell r="AH640" t="str">
            <v>700.802.350  Geologist</v>
          </cell>
        </row>
        <row r="641">
          <cell r="AH641" t="str">
            <v>700.802.360  Junior Geologist</v>
          </cell>
        </row>
        <row r="642">
          <cell r="AH642" t="str">
            <v>700.802.420  Sampler</v>
          </cell>
        </row>
        <row r="643">
          <cell r="AH643" t="str">
            <v>700.804.210  Chief Geophysicist</v>
          </cell>
        </row>
        <row r="644">
          <cell r="AH644" t="str">
            <v>700.804.340  Senior Geophysicist</v>
          </cell>
        </row>
        <row r="645">
          <cell r="AH645" t="str">
            <v>700.804.350  Geophysicist</v>
          </cell>
        </row>
        <row r="646">
          <cell r="AH646" t="str">
            <v>700.804.360  Junior Geophysicist</v>
          </cell>
        </row>
        <row r="647">
          <cell r="AH647" t="str">
            <v>760.124.220  Quality Manager</v>
          </cell>
        </row>
        <row r="648">
          <cell r="AH648" t="str">
            <v>760.200.130  Head of Regulatory Affairs</v>
          </cell>
        </row>
        <row r="649">
          <cell r="AH649" t="str">
            <v>760.200.220  Regulatory Affairs Manager</v>
          </cell>
        </row>
        <row r="650">
          <cell r="AH650" t="str">
            <v>760.200.340  Senior Regulatory Affairs Specialist</v>
          </cell>
        </row>
        <row r="651">
          <cell r="AH651" t="str">
            <v>760.200.350  Regulatory Affairs Specialist</v>
          </cell>
        </row>
        <row r="652">
          <cell r="AH652" t="str">
            <v>760.200.360  Regulatory Affairs Specialist Entry</v>
          </cell>
        </row>
        <row r="653">
          <cell r="AH653" t="str">
            <v>760.220.220  Clinical Trial Recruitment Manager</v>
          </cell>
        </row>
        <row r="654">
          <cell r="AH654" t="str">
            <v>760.220.350  Clinical Trial Recruitment Specialist</v>
          </cell>
        </row>
        <row r="655">
          <cell r="AH655" t="str">
            <v>760.220.360  Clinical Trial Recruitment Associate</v>
          </cell>
        </row>
        <row r="656">
          <cell r="AH656" t="str">
            <v>760.396.220  Data Management Manager</v>
          </cell>
        </row>
        <row r="657">
          <cell r="AH657" t="str">
            <v>760.396.230  Data Management Team Leader</v>
          </cell>
        </row>
        <row r="658">
          <cell r="AH658" t="str">
            <v>760.396.350  Data Management Specialist</v>
          </cell>
        </row>
        <row r="659">
          <cell r="AH659" t="str">
            <v>760.396.360  Data Management Associate</v>
          </cell>
        </row>
        <row r="660">
          <cell r="AH660" t="str">
            <v>760.490.130  Head of Pharmaceutical Sales</v>
          </cell>
        </row>
        <row r="661">
          <cell r="AH661" t="str">
            <v>760.490.131  Head of Oncology Sales</v>
          </cell>
        </row>
        <row r="662">
          <cell r="AH662" t="str">
            <v>760.490.132  Head of Medical Sales</v>
          </cell>
        </row>
        <row r="663">
          <cell r="AH663" t="str">
            <v>760.490.133  Head of Hospital Sales</v>
          </cell>
        </row>
        <row r="664">
          <cell r="AH664" t="str">
            <v>760.490.211  Area Hospital Sales Manager</v>
          </cell>
        </row>
        <row r="665">
          <cell r="AH665" t="str">
            <v>760.490.212  Area Medical Sales Manager</v>
          </cell>
        </row>
        <row r="666">
          <cell r="AH666" t="str">
            <v>760.490.213  Area Pharmaceutical Sales Manager</v>
          </cell>
        </row>
        <row r="667">
          <cell r="AH667" t="str">
            <v>760.490.214  Area Oncology Sales Manager</v>
          </cell>
        </row>
        <row r="668">
          <cell r="AH668" t="str">
            <v>760.490.220  Pharmaceutical Sales Manager</v>
          </cell>
        </row>
        <row r="669">
          <cell r="AH669" t="str">
            <v>760.490.221  Oncology Sales Manager</v>
          </cell>
        </row>
        <row r="670">
          <cell r="AH670" t="str">
            <v>760.490.222  Medical Sales Manager</v>
          </cell>
        </row>
        <row r="671">
          <cell r="AH671" t="str">
            <v>760.490.223  Hospital Sales Manager</v>
          </cell>
        </row>
        <row r="672">
          <cell r="AH672" t="str">
            <v>760.490.224  Account Manager - Medical Sales</v>
          </cell>
        </row>
        <row r="673">
          <cell r="AH673" t="str">
            <v>760.490.226  Regional Hospital Sales Manager</v>
          </cell>
        </row>
        <row r="674">
          <cell r="AH674" t="str">
            <v>760.490.227  Regional Medical Sales Manager</v>
          </cell>
        </row>
        <row r="675">
          <cell r="AH675" t="str">
            <v>760.490.228  Account Manager - Hospital Sales</v>
          </cell>
        </row>
        <row r="676">
          <cell r="AH676" t="str">
            <v>760.490.229  Regional Pharmaceutical Sales Manager</v>
          </cell>
        </row>
        <row r="677">
          <cell r="AH677" t="str">
            <v>760.490.230  Pharmaceutical Sales Supervisor</v>
          </cell>
        </row>
        <row r="678">
          <cell r="AH678" t="str">
            <v>760.490.231  Oncology Sales Supervisor</v>
          </cell>
        </row>
        <row r="679">
          <cell r="AH679" t="str">
            <v>760.490.232  Medical Sales Supervisor</v>
          </cell>
        </row>
        <row r="680">
          <cell r="AH680" t="str">
            <v>760.490.233  Hospital Sales Supervisor</v>
          </cell>
        </row>
        <row r="681">
          <cell r="AH681" t="str">
            <v>760.490.340  Senior Pharmaceutical Sales Representative (Prescription / OTC)</v>
          </cell>
        </row>
        <row r="682">
          <cell r="AH682" t="str">
            <v>760.490.342  Senior Medical Sales Representative / Specialist</v>
          </cell>
        </row>
        <row r="683">
          <cell r="AH683" t="str">
            <v>760.490.343  Senior Hospital Sales Representative / Specialist</v>
          </cell>
        </row>
        <row r="684">
          <cell r="AH684" t="str">
            <v>760.490.344  Senior Sales Rep. - Oncology Sales</v>
          </cell>
        </row>
        <row r="685">
          <cell r="AH685" t="str">
            <v>760.490.350  Pharmaceutical Sales Representative (Prescription / OTC)</v>
          </cell>
        </row>
        <row r="686">
          <cell r="AH686" t="str">
            <v>760.490.352  Medical Sales Representative / Specialist</v>
          </cell>
        </row>
        <row r="687">
          <cell r="AH687" t="str">
            <v>760.490.353  Hospital Sales Representative / Specialist</v>
          </cell>
        </row>
        <row r="688">
          <cell r="AH688" t="str">
            <v>760.490.354  Sales Rep. - Oncology Sales</v>
          </cell>
        </row>
        <row r="689">
          <cell r="AH689" t="str">
            <v>760.490.360  Pharmaceutical Sales Trainee</v>
          </cell>
        </row>
        <row r="690">
          <cell r="AH690" t="str">
            <v>760.490.362  Medical Sales Trainee</v>
          </cell>
        </row>
        <row r="691">
          <cell r="AH691" t="str">
            <v>760.490.363  Hospital Sales Trainees</v>
          </cell>
        </row>
        <row r="692">
          <cell r="AH692" t="str">
            <v>760.490.364  Sales Trainee - Oncology Sales</v>
          </cell>
        </row>
        <row r="693">
          <cell r="AH693" t="str">
            <v>760.628.340  Pharmacokinetics Scientist - Senior</v>
          </cell>
        </row>
        <row r="694">
          <cell r="AH694" t="str">
            <v>760.628.350  Pharmacokinetics Scientist - Intermediate</v>
          </cell>
        </row>
        <row r="695">
          <cell r="AH695" t="str">
            <v>760.628.360  Pharmacokinetics Scientist - Associate</v>
          </cell>
        </row>
        <row r="696">
          <cell r="AH696" t="str">
            <v>760.864.220  Biostatistician Manager</v>
          </cell>
        </row>
        <row r="697">
          <cell r="AH697" t="str">
            <v>760.864.340  Biostatistician Senior</v>
          </cell>
        </row>
        <row r="698">
          <cell r="AH698" t="str">
            <v>760.864.350  Biostatistician Intermediate</v>
          </cell>
        </row>
        <row r="699">
          <cell r="AH699" t="str">
            <v>760.864.360  Biostatistician Entry</v>
          </cell>
        </row>
        <row r="700">
          <cell r="AH700" t="str">
            <v>760.866.130  Head of Clinical Research</v>
          </cell>
        </row>
        <row r="701">
          <cell r="AH701" t="str">
            <v>760.866.220  Clinical Research Manager</v>
          </cell>
        </row>
        <row r="702">
          <cell r="AH702" t="str">
            <v>760.866.222  Clinical Research Unit Manager (Research Nurse)</v>
          </cell>
        </row>
        <row r="703">
          <cell r="AH703" t="str">
            <v>760.866.232  Clinical Research Unit Team Leader (Research Nurse)</v>
          </cell>
        </row>
        <row r="704">
          <cell r="AH704" t="str">
            <v>760.866.340  Senior Clinical Research Specialist</v>
          </cell>
        </row>
        <row r="705">
          <cell r="AH705" t="str">
            <v>760.866.350  Clinical Research Specialist</v>
          </cell>
        </row>
        <row r="706">
          <cell r="AH706" t="str">
            <v>760.866.352  Clinical Research Unit Nurse</v>
          </cell>
        </row>
        <row r="707">
          <cell r="AH707" t="str">
            <v>760.866.360  Clinical Research Specialist Entry</v>
          </cell>
        </row>
        <row r="708">
          <cell r="AH708" t="str">
            <v>760.866.362  Clinical Research Unit Nurse Associate</v>
          </cell>
        </row>
        <row r="709">
          <cell r="AH709" t="str">
            <v>760.868.220  Health Economics Manager</v>
          </cell>
        </row>
        <row r="710">
          <cell r="AH710" t="str">
            <v>760.868.340  Health Economist Senior</v>
          </cell>
        </row>
        <row r="711">
          <cell r="AH711" t="str">
            <v>760.868.350  Health Economist</v>
          </cell>
        </row>
        <row r="712">
          <cell r="AH712" t="str">
            <v>760.870.120  Medical Director</v>
          </cell>
        </row>
        <row r="713">
          <cell r="AH713" t="str">
            <v>760.870.220  Medical Affairs Manager</v>
          </cell>
        </row>
        <row r="714">
          <cell r="AH714" t="str">
            <v>760.870.351  Medical Writer</v>
          </cell>
        </row>
        <row r="715">
          <cell r="AH715" t="str">
            <v>760.870.352  Medical Executive</v>
          </cell>
        </row>
        <row r="716">
          <cell r="AH716" t="str">
            <v>760.870.353  Medical Affairs Executive</v>
          </cell>
        </row>
        <row r="717">
          <cell r="AH717" t="str">
            <v>760.870.420  Medical Affairs Administrator</v>
          </cell>
        </row>
        <row r="718">
          <cell r="AH718" t="str">
            <v>760.872.340  Microbiologist Senior</v>
          </cell>
        </row>
        <row r="719">
          <cell r="AH719" t="str">
            <v>760.872.350  Microbiologist</v>
          </cell>
        </row>
        <row r="720">
          <cell r="AH720" t="str">
            <v>760.872.360  Microbiologist Entry</v>
          </cell>
        </row>
        <row r="721">
          <cell r="AH721" t="str">
            <v>760.874.220  Nutritional Manager</v>
          </cell>
        </row>
        <row r="722">
          <cell r="AH722" t="str">
            <v>760.874.350  Nutritionist</v>
          </cell>
        </row>
        <row r="723">
          <cell r="AH723" t="str">
            <v>760.876.341  Clinical Pharmacologist - Senior</v>
          </cell>
        </row>
        <row r="724">
          <cell r="AH724" t="str">
            <v>760.876.350  Pharmacist</v>
          </cell>
        </row>
        <row r="725">
          <cell r="AH725" t="str">
            <v>760.876.351  Clinical Pharmacologist - Intermediate</v>
          </cell>
        </row>
        <row r="726">
          <cell r="AH726" t="str">
            <v>760.876.361  Clinical Pharmacologist - Associate</v>
          </cell>
        </row>
        <row r="727">
          <cell r="AH727" t="str">
            <v>760.878.130  Head of Reimbursement</v>
          </cell>
        </row>
        <row r="728">
          <cell r="AH728" t="str">
            <v>760.878.220  Reimbursement Manager</v>
          </cell>
        </row>
        <row r="729">
          <cell r="AH729" t="str">
            <v>760.878.230  Regional Reimbursement Supervisor</v>
          </cell>
        </row>
        <row r="730">
          <cell r="AH730" t="str">
            <v>760.878.350  Regional Reimbursement Executive</v>
          </cell>
        </row>
        <row r="731">
          <cell r="AH731" t="str">
            <v>760.880.220  Validation Manager</v>
          </cell>
        </row>
        <row r="732">
          <cell r="AH732" t="str">
            <v>760.880.340  Validation Specialist Senior</v>
          </cell>
        </row>
        <row r="733">
          <cell r="AH733" t="str">
            <v>760.880.341  Validation Engineer Senior</v>
          </cell>
        </row>
        <row r="734">
          <cell r="AH734" t="str">
            <v>760.880.350  Validation Specialist Intermediate</v>
          </cell>
        </row>
        <row r="735">
          <cell r="AH735" t="str">
            <v>760.880.351  Validation Engineer Intermediate</v>
          </cell>
        </row>
        <row r="736">
          <cell r="AH736" t="str">
            <v>760.880.360  Validation Specialist Associate</v>
          </cell>
        </row>
        <row r="737">
          <cell r="AH737" t="str">
            <v>760.880.361  Validation Engineer Associate</v>
          </cell>
        </row>
        <row r="738">
          <cell r="AH738" t="str">
            <v>760.883.220  Patient Education Manager</v>
          </cell>
        </row>
        <row r="739">
          <cell r="AH739" t="str">
            <v>760.883.350  Patient Education Executive</v>
          </cell>
        </row>
        <row r="740">
          <cell r="AH740" t="str">
            <v>840.490.130  Head of Sales - Computer Sales</v>
          </cell>
        </row>
        <row r="741">
          <cell r="AH741" t="str">
            <v>840.490.220  Sales Manager - Computer Sales</v>
          </cell>
        </row>
        <row r="742">
          <cell r="AH742" t="str">
            <v>840.490.222  Account Manager - Computer Sales</v>
          </cell>
        </row>
        <row r="743">
          <cell r="AH743" t="str">
            <v>840.490.340  Senior Sales Representative - Computer</v>
          </cell>
        </row>
        <row r="744">
          <cell r="AH744" t="str">
            <v>840.490.350  Sales Representative - Computer</v>
          </cell>
        </row>
        <row r="745">
          <cell r="AH745" t="str">
            <v>840.490.360  Sales Trainee - Computer</v>
          </cell>
        </row>
        <row r="746">
          <cell r="AH746" t="str">
            <v>850.490.130  Head of Sales - Chemical</v>
          </cell>
        </row>
        <row r="747">
          <cell r="AH747" t="str">
            <v>850.490.211  Area Chemical Sales Manager</v>
          </cell>
        </row>
        <row r="748">
          <cell r="AH748" t="str">
            <v>850.490.220  Sales Manager - Chemical</v>
          </cell>
        </row>
        <row r="749">
          <cell r="AH749" t="str">
            <v>850.490.221  Account Manager - Chemical</v>
          </cell>
        </row>
        <row r="750">
          <cell r="AH750" t="str">
            <v>850.490.222  Regional Chemical Sales Manager</v>
          </cell>
        </row>
        <row r="751">
          <cell r="AH751" t="str">
            <v>850.490.340  Senior Sales Representative - Chemical</v>
          </cell>
        </row>
        <row r="752">
          <cell r="AH752" t="str">
            <v>850.490.350  Sales Representative - Chemical</v>
          </cell>
        </row>
        <row r="753">
          <cell r="AH753" t="str">
            <v>850.490.360  Sales Trainee - Chemical</v>
          </cell>
        </row>
      </sheetData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教育輔導日期預定表 (確定版)"/>
      <sheetName val="教育輔導日期預定表 (調整版)"/>
      <sheetName val="教育輔導日期預定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iPath進階課程課題說明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附表_Data相關連結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T_COLD_設備横展開AI進度管理"/>
    </sheetNames>
    <sheetDataSet>
      <sheetData sheetId="0">
        <row r="4">
          <cell r="I4" t="str">
            <v>完成百分比%</v>
          </cell>
          <cell r="K4" t="str">
            <v>年度
起始日期</v>
          </cell>
          <cell r="L4" t="str">
            <v>Days to Start</v>
          </cell>
          <cell r="M4" t="str">
            <v>完成日數</v>
          </cell>
          <cell r="N4" t="str">
            <v>未完日數</v>
          </cell>
          <cell r="O4" t="str">
            <v>延遲日數</v>
          </cell>
        </row>
        <row r="5">
          <cell r="C5" t="str">
            <v>横切刃先荷重、同調測定方法</v>
          </cell>
          <cell r="D5" t="str">
            <v>作業標準書準備→提出</v>
          </cell>
          <cell r="K5">
            <v>46023</v>
          </cell>
          <cell r="L5">
            <v>0</v>
          </cell>
          <cell r="M5">
            <v>0</v>
          </cell>
          <cell r="N5">
            <v>120</v>
          </cell>
          <cell r="O5">
            <v>31</v>
          </cell>
        </row>
        <row r="6">
          <cell r="D6" t="str">
            <v>計畫表作成</v>
          </cell>
          <cell r="K6">
            <v>46023</v>
          </cell>
          <cell r="L6">
            <v>0</v>
          </cell>
          <cell r="M6">
            <v>0</v>
          </cell>
          <cell r="N6">
            <v>120</v>
          </cell>
          <cell r="O6">
            <v>31</v>
          </cell>
        </row>
        <row r="7">
          <cell r="C7" t="str">
            <v>縦切機刃先荷重測定方法</v>
          </cell>
          <cell r="D7" t="str">
            <v>計畫表做成</v>
          </cell>
          <cell r="K7">
            <v>46023</v>
          </cell>
          <cell r="L7">
            <v>0</v>
          </cell>
          <cell r="M7">
            <v>0</v>
          </cell>
          <cell r="N7">
            <v>120</v>
          </cell>
          <cell r="O7">
            <v>31</v>
          </cell>
        </row>
        <row r="8">
          <cell r="D8" t="str">
            <v>治具購入</v>
          </cell>
          <cell r="K8">
            <v>46023</v>
          </cell>
          <cell r="L8">
            <v>0</v>
          </cell>
          <cell r="M8">
            <v>0</v>
          </cell>
          <cell r="N8">
            <v>120</v>
          </cell>
          <cell r="O8">
            <v>31</v>
          </cell>
        </row>
        <row r="9">
          <cell r="D9" t="str">
            <v>工程變更</v>
          </cell>
          <cell r="K9">
            <v>46023</v>
          </cell>
          <cell r="L9">
            <v>0</v>
          </cell>
          <cell r="M9">
            <v>0</v>
          </cell>
          <cell r="N9">
            <v>120</v>
          </cell>
          <cell r="O9">
            <v>31</v>
          </cell>
        </row>
        <row r="10">
          <cell r="C10" t="str">
            <v>本線、Br H/Oストッパー安全対策</v>
          </cell>
          <cell r="D10" t="str">
            <v>設備技術現況進度確認</v>
          </cell>
          <cell r="K10">
            <v>46023</v>
          </cell>
          <cell r="L10">
            <v>0</v>
          </cell>
          <cell r="M10">
            <v>0</v>
          </cell>
          <cell r="N10">
            <v>120</v>
          </cell>
          <cell r="O10">
            <v>31</v>
          </cell>
        </row>
        <row r="11">
          <cell r="D11" t="str">
            <v>安全教育的實施</v>
          </cell>
          <cell r="K11">
            <v>46023</v>
          </cell>
          <cell r="L11">
            <v>0</v>
          </cell>
          <cell r="M11">
            <v>0</v>
          </cell>
          <cell r="N11">
            <v>120</v>
          </cell>
          <cell r="O11">
            <v>31</v>
          </cell>
        </row>
        <row r="12">
          <cell r="D12" t="str">
            <v>各窯作業標準書的做成</v>
          </cell>
          <cell r="K12">
            <v>46023</v>
          </cell>
          <cell r="L12">
            <v>0</v>
          </cell>
          <cell r="M12">
            <v>0</v>
          </cell>
          <cell r="N12">
            <v>120</v>
          </cell>
          <cell r="O12">
            <v>31</v>
          </cell>
        </row>
        <row r="13">
          <cell r="D13" t="str">
            <v>最終完成期限確認</v>
          </cell>
          <cell r="K13">
            <v>46023</v>
          </cell>
          <cell r="L13">
            <v>0</v>
          </cell>
          <cell r="M13">
            <v>0</v>
          </cell>
          <cell r="N13">
            <v>120</v>
          </cell>
          <cell r="O13">
            <v>31</v>
          </cell>
        </row>
        <row r="14">
          <cell r="C14" t="str">
            <v>特殊ボルト経過観察</v>
          </cell>
          <cell r="D14" t="str">
            <v>未完成窯爐的確認</v>
          </cell>
          <cell r="K14">
            <v>46023</v>
          </cell>
          <cell r="L14">
            <v>0</v>
          </cell>
          <cell r="M14">
            <v>0</v>
          </cell>
          <cell r="N14">
            <v>120</v>
          </cell>
          <cell r="O14">
            <v>31</v>
          </cell>
        </row>
        <row r="15">
          <cell r="D15" t="str">
            <v>維護管理的確認週期</v>
          </cell>
          <cell r="K15">
            <v>46023</v>
          </cell>
          <cell r="L15">
            <v>0</v>
          </cell>
          <cell r="M15">
            <v>0</v>
          </cell>
          <cell r="N15">
            <v>120</v>
          </cell>
          <cell r="O15">
            <v>31</v>
          </cell>
        </row>
        <row r="16">
          <cell r="C16" t="str">
            <v>其他</v>
          </cell>
          <cell r="D16" t="str">
            <v>各窯設備異常情報共有</v>
          </cell>
          <cell r="K16">
            <v>46023</v>
          </cell>
          <cell r="L16">
            <v>0</v>
          </cell>
          <cell r="M16">
            <v>0</v>
          </cell>
          <cell r="N16">
            <v>120</v>
          </cell>
          <cell r="O16">
            <v>31</v>
          </cell>
        </row>
        <row r="17">
          <cell r="D17" t="str">
            <v>縱切機下降作業標準共有(其他據點)</v>
          </cell>
          <cell r="K17">
            <v>46023</v>
          </cell>
          <cell r="L17">
            <v>0</v>
          </cell>
          <cell r="M17">
            <v>0</v>
          </cell>
          <cell r="N17">
            <v>120</v>
          </cell>
          <cell r="O17">
            <v>31</v>
          </cell>
        </row>
        <row r="18">
          <cell r="D18" t="str">
            <v>橫展開管理表做成共有</v>
          </cell>
          <cell r="I18">
            <v>1</v>
          </cell>
          <cell r="K18">
            <v>46023</v>
          </cell>
          <cell r="L18">
            <v>18</v>
          </cell>
          <cell r="M18">
            <v>7</v>
          </cell>
          <cell r="N18">
            <v>0</v>
          </cell>
          <cell r="O1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s://agc.box.com/s/km2pi8u8vn4r4uszmghmvpktrr9vn3yz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s://agc.box.com/s/wai0nmhk5z8jyt9pmmogy8tskux7c09r" TargetMode="External"/><Relationship Id="rId1" Type="http://schemas.openxmlformats.org/officeDocument/2006/relationships/hyperlink" Target="https://agc.box.com/s/mwt24bpoht2bax6dr83mzodiitccdsbf" TargetMode="External"/><Relationship Id="rId6" Type="http://schemas.openxmlformats.org/officeDocument/2006/relationships/hyperlink" Target="http://t183fdl05tom/isop/ADT-ISOP.jsp" TargetMode="External"/><Relationship Id="rId5" Type="http://schemas.openxmlformats.org/officeDocument/2006/relationships/hyperlink" Target="https://agc.box.com/s/ttcs5ft1zg7fyuyjycw0uerr3hlrnanc" TargetMode="External"/><Relationship Id="rId4" Type="http://schemas.openxmlformats.org/officeDocument/2006/relationships/hyperlink" Target="https://agc.box.com/s/pj3w8k6ymwc3571rzy3aaukveuc67qw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t183fdl05tom/isop/ADT-ISOP.jsp" TargetMode="External"/><Relationship Id="rId2" Type="http://schemas.openxmlformats.org/officeDocument/2006/relationships/hyperlink" Target="https://agc.box.com/s/wai0nmhk5z8jyt9pmmogy8tskux7c09r" TargetMode="External"/><Relationship Id="rId1" Type="http://schemas.openxmlformats.org/officeDocument/2006/relationships/hyperlink" Target="https://agc.box.com/s/mwt24bpoht2bax6dr83mzodiitccdsbf" TargetMode="External"/><Relationship Id="rId4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bc-20139c5c-1d8f.cloud.databricks.com/sql/dashboardsv3/01f1866d7d5e147696969033a85c7b64?o=870368917523656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4"/>
  <sheetViews>
    <sheetView topLeftCell="A10" workbookViewId="0">
      <selection activeCell="B15" sqref="B15:M15"/>
    </sheetView>
  </sheetViews>
  <sheetFormatPr defaultRowHeight="15.75"/>
  <cols>
    <col min="1" max="1" width="4.5703125" customWidth="1"/>
    <col min="2" max="2" width="14.42578125" bestFit="1" customWidth="1"/>
    <col min="3" max="3" width="9.7109375" customWidth="1"/>
    <col min="4" max="13" width="11.7109375" customWidth="1"/>
  </cols>
  <sheetData>
    <row r="2" spans="2:13" ht="16.5"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88" t="s">
        <v>7</v>
      </c>
      <c r="K2" s="88"/>
      <c r="L2" s="88"/>
      <c r="M2" s="88"/>
    </row>
    <row r="3" spans="2:13" ht="16.5">
      <c r="B3" s="95" t="s">
        <v>8</v>
      </c>
      <c r="C3" s="4" t="s">
        <v>9</v>
      </c>
      <c r="D3" s="101" t="s">
        <v>10</v>
      </c>
      <c r="E3" s="102"/>
      <c r="F3" s="102"/>
      <c r="G3" s="102"/>
      <c r="H3" s="102"/>
      <c r="I3" s="102"/>
      <c r="J3" s="102"/>
      <c r="K3" s="102"/>
      <c r="L3" s="102"/>
      <c r="M3" s="103"/>
    </row>
    <row r="4" spans="2:13" ht="16.5">
      <c r="B4" s="96"/>
      <c r="C4" s="5" t="s">
        <v>11</v>
      </c>
      <c r="D4" s="101" t="s">
        <v>12</v>
      </c>
      <c r="E4" s="102"/>
      <c r="F4" s="102"/>
      <c r="G4" s="102"/>
      <c r="H4" s="102"/>
      <c r="I4" s="102"/>
      <c r="J4" s="102"/>
      <c r="K4" s="102"/>
      <c r="L4" s="102"/>
      <c r="M4" s="103"/>
    </row>
    <row r="5" spans="2:13" ht="16.5">
      <c r="B5" s="4" t="s">
        <v>13</v>
      </c>
      <c r="C5" s="4" t="s">
        <v>14</v>
      </c>
      <c r="D5" s="101" t="s">
        <v>15</v>
      </c>
      <c r="E5" s="102"/>
      <c r="F5" s="102"/>
      <c r="G5" s="102"/>
      <c r="H5" s="102"/>
      <c r="I5" s="102"/>
      <c r="J5" s="102"/>
      <c r="K5" s="102"/>
      <c r="L5" s="102"/>
      <c r="M5" s="103"/>
    </row>
    <row r="6" spans="2:13" ht="16.5">
      <c r="B6" s="4" t="s">
        <v>16</v>
      </c>
      <c r="C6" s="4" t="s">
        <v>17</v>
      </c>
      <c r="D6" s="5" t="s">
        <v>18</v>
      </c>
      <c r="E6" s="5" t="s">
        <v>19</v>
      </c>
      <c r="F6" s="5" t="s">
        <v>42</v>
      </c>
      <c r="G6" s="5" t="s">
        <v>20</v>
      </c>
      <c r="H6" s="5" t="s">
        <v>21</v>
      </c>
      <c r="I6" s="5" t="s">
        <v>22</v>
      </c>
      <c r="J6" s="101" t="s">
        <v>23</v>
      </c>
      <c r="K6" s="102"/>
      <c r="L6" s="102"/>
      <c r="M6" s="103"/>
    </row>
    <row r="7" spans="2:13" ht="16.5">
      <c r="B7" s="97" t="s">
        <v>38</v>
      </c>
      <c r="C7" s="6" t="s">
        <v>50</v>
      </c>
      <c r="D7" s="98" t="s">
        <v>49</v>
      </c>
      <c r="E7" s="99"/>
      <c r="F7" s="99"/>
      <c r="G7" s="99"/>
      <c r="H7" s="99"/>
      <c r="I7" s="100"/>
      <c r="J7" s="9"/>
      <c r="K7" s="10"/>
      <c r="L7" s="10"/>
      <c r="M7" s="11"/>
    </row>
    <row r="8" spans="2:13" ht="16.5" customHeight="1">
      <c r="B8" s="97"/>
      <c r="C8" s="6" t="s">
        <v>45</v>
      </c>
      <c r="D8" s="101" t="s">
        <v>46</v>
      </c>
      <c r="E8" s="102"/>
      <c r="F8" s="102"/>
      <c r="G8" s="102"/>
      <c r="H8" s="102"/>
      <c r="I8" s="103"/>
      <c r="J8" s="12"/>
      <c r="K8" s="13"/>
      <c r="L8" s="13"/>
      <c r="M8" s="14"/>
    </row>
    <row r="9" spans="2:13" ht="16.5">
      <c r="B9" s="4" t="s">
        <v>24</v>
      </c>
      <c r="C9" s="4" t="s">
        <v>25</v>
      </c>
      <c r="D9" s="5" t="s">
        <v>26</v>
      </c>
      <c r="E9" s="5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15"/>
      <c r="K9" s="16"/>
      <c r="L9" s="16"/>
      <c r="M9" s="17"/>
    </row>
    <row r="10" spans="2:13" ht="16.5">
      <c r="B10" s="4" t="s">
        <v>32</v>
      </c>
      <c r="C10" s="89" t="s">
        <v>45</v>
      </c>
      <c r="D10" s="5" t="s">
        <v>33</v>
      </c>
      <c r="E10" s="5" t="s">
        <v>65</v>
      </c>
      <c r="F10" s="5" t="s">
        <v>34</v>
      </c>
      <c r="G10" s="5" t="s">
        <v>35</v>
      </c>
      <c r="H10" s="5" t="s">
        <v>36</v>
      </c>
      <c r="I10" s="5" t="s">
        <v>37</v>
      </c>
      <c r="J10" s="7" t="s">
        <v>39</v>
      </c>
      <c r="K10" s="5" t="s">
        <v>40</v>
      </c>
      <c r="L10" s="7" t="s">
        <v>41</v>
      </c>
      <c r="M10" s="5" t="s">
        <v>53</v>
      </c>
    </row>
    <row r="11" spans="2:13" ht="16.5">
      <c r="B11" s="92" t="s">
        <v>58</v>
      </c>
      <c r="C11" s="90"/>
      <c r="D11" s="5"/>
      <c r="E11" s="5"/>
      <c r="F11" s="5"/>
      <c r="G11" s="5"/>
      <c r="H11" s="5"/>
      <c r="I11" s="5"/>
      <c r="J11" s="5" t="s">
        <v>51</v>
      </c>
      <c r="K11" s="5" t="s">
        <v>52</v>
      </c>
      <c r="L11" s="8" t="s">
        <v>56</v>
      </c>
      <c r="M11" s="8" t="s">
        <v>54</v>
      </c>
    </row>
    <row r="12" spans="2:13" ht="16.5">
      <c r="B12" s="93"/>
      <c r="C12" s="90"/>
      <c r="D12" s="5"/>
      <c r="E12" s="5"/>
      <c r="F12" s="5"/>
      <c r="G12" s="5"/>
      <c r="H12" s="5"/>
      <c r="I12" s="5"/>
      <c r="J12" s="30" t="s">
        <v>66</v>
      </c>
      <c r="K12" s="8"/>
      <c r="L12" s="8" t="s">
        <v>48</v>
      </c>
      <c r="M12" s="8" t="s">
        <v>55</v>
      </c>
    </row>
    <row r="13" spans="2:13" ht="16.5">
      <c r="B13" s="93"/>
      <c r="C13" s="90"/>
      <c r="D13" s="5"/>
      <c r="E13" s="5"/>
      <c r="F13" s="5"/>
      <c r="G13" s="5"/>
      <c r="H13" s="5"/>
      <c r="I13" s="5"/>
      <c r="J13" s="5"/>
      <c r="K13" s="8"/>
      <c r="L13" s="8" t="s">
        <v>57</v>
      </c>
      <c r="M13" s="8"/>
    </row>
    <row r="14" spans="2:13" ht="16.5">
      <c r="B14" s="94"/>
      <c r="C14" s="91"/>
      <c r="D14" s="5"/>
      <c r="E14" s="5"/>
      <c r="F14" s="5"/>
      <c r="G14" s="5"/>
      <c r="H14" s="5"/>
      <c r="I14" s="5"/>
      <c r="J14" s="5"/>
      <c r="K14" s="8"/>
      <c r="L14" s="8"/>
      <c r="M14" s="8"/>
    </row>
    <row r="15" spans="2:13" s="1" customFormat="1" ht="16.5">
      <c r="B15" s="21" t="s">
        <v>44</v>
      </c>
      <c r="C15" s="18" t="s">
        <v>45</v>
      </c>
      <c r="D15" s="19" t="s">
        <v>47</v>
      </c>
      <c r="E15" s="19" t="s">
        <v>61</v>
      </c>
      <c r="F15" s="19" t="s">
        <v>63</v>
      </c>
      <c r="G15" s="19"/>
      <c r="H15" s="19" t="s">
        <v>60</v>
      </c>
      <c r="I15" s="19"/>
      <c r="J15" s="19"/>
      <c r="K15" s="20"/>
      <c r="L15" s="20"/>
      <c r="M15" s="20"/>
    </row>
    <row r="16" spans="2:13" s="1" customFormat="1" ht="16.5">
      <c r="B16" s="22" t="s">
        <v>43</v>
      </c>
      <c r="C16" s="22" t="s">
        <v>45</v>
      </c>
      <c r="D16" s="23" t="s">
        <v>59</v>
      </c>
      <c r="E16" s="23"/>
      <c r="F16" s="23"/>
      <c r="G16" s="23"/>
      <c r="H16" s="23"/>
      <c r="I16" s="23"/>
      <c r="J16" s="23"/>
      <c r="K16" s="24"/>
      <c r="L16" s="24"/>
      <c r="M16" s="24"/>
    </row>
    <row r="20" spans="2:13" ht="16.5">
      <c r="B20" s="2"/>
      <c r="C20" s="3" t="s">
        <v>0</v>
      </c>
      <c r="D20" s="3" t="s">
        <v>1</v>
      </c>
      <c r="E20" s="3" t="s">
        <v>2</v>
      </c>
      <c r="F20" s="3" t="s">
        <v>3</v>
      </c>
      <c r="G20" s="3" t="s">
        <v>4</v>
      </c>
      <c r="H20" s="3" t="s">
        <v>5</v>
      </c>
      <c r="I20" s="3" t="s">
        <v>6</v>
      </c>
      <c r="J20" s="88" t="s">
        <v>7</v>
      </c>
      <c r="K20" s="88"/>
      <c r="L20" s="88"/>
      <c r="M20" s="88"/>
    </row>
    <row r="21" spans="2:13" ht="16.5">
      <c r="B21" s="95" t="s">
        <v>8</v>
      </c>
      <c r="C21" s="4" t="s">
        <v>9</v>
      </c>
      <c r="D21" s="101" t="s">
        <v>10</v>
      </c>
      <c r="E21" s="102"/>
      <c r="F21" s="102"/>
      <c r="G21" s="102"/>
      <c r="H21" s="102"/>
      <c r="I21" s="102"/>
      <c r="J21" s="102"/>
      <c r="K21" s="102"/>
      <c r="L21" s="102"/>
      <c r="M21" s="103"/>
    </row>
    <row r="22" spans="2:13" ht="16.5">
      <c r="B22" s="96"/>
      <c r="C22" s="5" t="s">
        <v>11</v>
      </c>
      <c r="D22" s="101" t="s">
        <v>12</v>
      </c>
      <c r="E22" s="102"/>
      <c r="F22" s="102"/>
      <c r="G22" s="102"/>
      <c r="H22" s="102"/>
      <c r="I22" s="102"/>
      <c r="J22" s="102"/>
      <c r="K22" s="102"/>
      <c r="L22" s="102"/>
      <c r="M22" s="103"/>
    </row>
    <row r="23" spans="2:13" ht="16.5">
      <c r="B23" s="4" t="s">
        <v>13</v>
      </c>
      <c r="C23" s="4" t="s">
        <v>14</v>
      </c>
      <c r="D23" s="101" t="s">
        <v>15</v>
      </c>
      <c r="E23" s="102"/>
      <c r="F23" s="102"/>
      <c r="G23" s="102"/>
      <c r="H23" s="102"/>
      <c r="I23" s="102"/>
      <c r="J23" s="102"/>
      <c r="K23" s="102"/>
      <c r="L23" s="102"/>
      <c r="M23" s="103"/>
    </row>
    <row r="24" spans="2:13" ht="16.5">
      <c r="B24" s="4" t="s">
        <v>16</v>
      </c>
      <c r="C24" s="4" t="s">
        <v>17</v>
      </c>
      <c r="D24" s="5" t="s">
        <v>18</v>
      </c>
      <c r="E24" s="5" t="s">
        <v>19</v>
      </c>
      <c r="F24" s="5" t="s">
        <v>42</v>
      </c>
      <c r="G24" s="5" t="s">
        <v>20</v>
      </c>
      <c r="H24" s="5" t="s">
        <v>21</v>
      </c>
      <c r="I24" s="5" t="s">
        <v>22</v>
      </c>
      <c r="J24" s="101" t="s">
        <v>23</v>
      </c>
      <c r="K24" s="102"/>
      <c r="L24" s="102"/>
      <c r="M24" s="103"/>
    </row>
    <row r="25" spans="2:13" ht="16.5">
      <c r="B25" s="97" t="s">
        <v>38</v>
      </c>
      <c r="C25" s="6" t="s">
        <v>50</v>
      </c>
      <c r="D25" s="98" t="s">
        <v>49</v>
      </c>
      <c r="E25" s="99"/>
      <c r="F25" s="99"/>
      <c r="G25" s="99"/>
      <c r="H25" s="99"/>
      <c r="I25" s="100"/>
      <c r="J25" s="9"/>
      <c r="K25" s="10"/>
      <c r="L25" s="10"/>
      <c r="M25" s="11"/>
    </row>
    <row r="26" spans="2:13" ht="16.5">
      <c r="B26" s="97"/>
      <c r="C26" s="6" t="s">
        <v>45</v>
      </c>
      <c r="D26" s="101" t="s">
        <v>46</v>
      </c>
      <c r="E26" s="102"/>
      <c r="F26" s="102"/>
      <c r="G26" s="102"/>
      <c r="H26" s="102"/>
      <c r="I26" s="103"/>
      <c r="J26" s="12"/>
      <c r="K26" s="13"/>
      <c r="L26" s="13"/>
      <c r="M26" s="14"/>
    </row>
    <row r="27" spans="2:13" ht="16.5">
      <c r="B27" s="4" t="s">
        <v>24</v>
      </c>
      <c r="C27" s="4" t="s">
        <v>25</v>
      </c>
      <c r="D27" s="27" t="s">
        <v>33</v>
      </c>
      <c r="E27" s="5" t="s">
        <v>27</v>
      </c>
      <c r="F27" s="25" t="s">
        <v>26</v>
      </c>
      <c r="G27" s="5" t="s">
        <v>29</v>
      </c>
      <c r="H27" s="25" t="s">
        <v>28</v>
      </c>
      <c r="I27" s="5" t="s">
        <v>31</v>
      </c>
      <c r="J27" s="15"/>
      <c r="K27" s="16"/>
      <c r="L27" s="16"/>
      <c r="M27" s="17"/>
    </row>
    <row r="28" spans="2:13" ht="16.5">
      <c r="B28" s="4" t="s">
        <v>32</v>
      </c>
      <c r="C28" s="89" t="s">
        <v>45</v>
      </c>
      <c r="D28" s="25" t="s">
        <v>59</v>
      </c>
      <c r="E28" s="5" t="s">
        <v>65</v>
      </c>
      <c r="F28" s="5" t="s">
        <v>34</v>
      </c>
      <c r="G28" s="5" t="s">
        <v>35</v>
      </c>
      <c r="H28" s="5" t="s">
        <v>36</v>
      </c>
      <c r="I28" s="5" t="s">
        <v>37</v>
      </c>
      <c r="J28" s="7" t="s">
        <v>39</v>
      </c>
      <c r="K28" s="5" t="s">
        <v>40</v>
      </c>
      <c r="L28" s="7" t="s">
        <v>41</v>
      </c>
      <c r="M28" s="25" t="s">
        <v>62</v>
      </c>
    </row>
    <row r="29" spans="2:13" ht="16.5">
      <c r="B29" s="92" t="s">
        <v>58</v>
      </c>
      <c r="C29" s="90"/>
      <c r="D29" s="5"/>
      <c r="E29" s="5"/>
      <c r="F29" s="5"/>
      <c r="G29" s="5"/>
      <c r="H29" s="5"/>
      <c r="I29" s="5"/>
      <c r="J29" s="5" t="s">
        <v>51</v>
      </c>
      <c r="K29" s="5" t="s">
        <v>52</v>
      </c>
      <c r="L29" s="8" t="s">
        <v>57</v>
      </c>
      <c r="M29" s="8"/>
    </row>
    <row r="30" spans="2:13" ht="16.5">
      <c r="B30" s="93"/>
      <c r="C30" s="90"/>
      <c r="D30" s="5"/>
      <c r="E30" s="5"/>
      <c r="F30" s="5"/>
      <c r="G30" s="5"/>
      <c r="H30" s="5"/>
      <c r="I30" s="5"/>
      <c r="J30" s="5"/>
      <c r="K30" s="8"/>
      <c r="L30" s="8"/>
      <c r="M30" s="8"/>
    </row>
    <row r="31" spans="2:13" ht="16.5">
      <c r="B31" s="93"/>
      <c r="C31" s="90"/>
      <c r="D31" s="5"/>
      <c r="E31" s="5"/>
      <c r="F31" s="5"/>
      <c r="G31" s="5"/>
      <c r="H31" s="5"/>
      <c r="I31" s="5"/>
      <c r="J31" s="5"/>
      <c r="K31" s="8"/>
      <c r="L31" s="8"/>
      <c r="M31" s="8"/>
    </row>
    <row r="32" spans="2:13" ht="16.5">
      <c r="B32" s="94"/>
      <c r="C32" s="91"/>
      <c r="D32" s="5"/>
      <c r="E32" s="5"/>
      <c r="F32" s="5"/>
      <c r="G32" s="5"/>
      <c r="H32" s="5"/>
      <c r="I32" s="5"/>
      <c r="J32" s="5"/>
      <c r="K32" s="8"/>
      <c r="L32" s="8"/>
      <c r="M32" s="8"/>
    </row>
    <row r="33" spans="2:13" ht="16.5">
      <c r="B33" s="21" t="s">
        <v>44</v>
      </c>
      <c r="C33" s="18" t="s">
        <v>45</v>
      </c>
      <c r="D33" s="19" t="s">
        <v>47</v>
      </c>
      <c r="E33" s="19" t="s">
        <v>61</v>
      </c>
      <c r="F33" s="19" t="s">
        <v>63</v>
      </c>
      <c r="G33" s="19" t="s">
        <v>64</v>
      </c>
      <c r="H33" s="19" t="s">
        <v>60</v>
      </c>
      <c r="I33" s="19"/>
      <c r="J33" s="19"/>
      <c r="K33" s="20"/>
      <c r="L33" s="20"/>
      <c r="M33" s="20"/>
    </row>
    <row r="34" spans="2:13" ht="16.5">
      <c r="B34" s="22" t="s">
        <v>43</v>
      </c>
      <c r="C34" s="22" t="s">
        <v>45</v>
      </c>
      <c r="D34" s="23"/>
      <c r="E34" s="23"/>
      <c r="F34" s="26"/>
      <c r="G34" s="23"/>
      <c r="H34" s="26"/>
      <c r="I34" s="23"/>
      <c r="J34" s="23"/>
      <c r="K34" s="24"/>
      <c r="L34" s="24"/>
      <c r="M34" s="24"/>
    </row>
  </sheetData>
  <mergeCells count="22">
    <mergeCell ref="C28:C32"/>
    <mergeCell ref="B29:B32"/>
    <mergeCell ref="B21:B22"/>
    <mergeCell ref="D21:M21"/>
    <mergeCell ref="D22:M22"/>
    <mergeCell ref="D23:M23"/>
    <mergeCell ref="B25:B26"/>
    <mergeCell ref="D25:I25"/>
    <mergeCell ref="D26:I26"/>
    <mergeCell ref="J24:M24"/>
    <mergeCell ref="J2:M2"/>
    <mergeCell ref="D3:M3"/>
    <mergeCell ref="D4:M4"/>
    <mergeCell ref="D5:M5"/>
    <mergeCell ref="J6:M6"/>
    <mergeCell ref="J20:M20"/>
    <mergeCell ref="C10:C14"/>
    <mergeCell ref="B11:B14"/>
    <mergeCell ref="B3:B4"/>
    <mergeCell ref="B7:B8"/>
    <mergeCell ref="D7:I7"/>
    <mergeCell ref="D8:I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818A-5202-4082-9080-18B55BDA2D17}">
  <dimension ref="A1:S96"/>
  <sheetViews>
    <sheetView workbookViewId="0">
      <selection activeCell="D17" sqref="D17"/>
    </sheetView>
  </sheetViews>
  <sheetFormatPr defaultRowHeight="15.75"/>
  <cols>
    <col min="1" max="1" width="4.5703125" customWidth="1"/>
    <col min="2" max="2" width="14.42578125" bestFit="1" customWidth="1"/>
    <col min="3" max="27" width="11.7109375" customWidth="1"/>
  </cols>
  <sheetData>
    <row r="1" spans="2:12" s="45" customFormat="1" ht="18">
      <c r="B1" s="46" t="s">
        <v>98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2:12" s="1" customFormat="1"/>
    <row r="3" spans="2:12" s="31" customFormat="1" ht="18">
      <c r="B3" s="44" t="s">
        <v>136</v>
      </c>
    </row>
    <row r="4" spans="2:12" s="1" customFormat="1" ht="16.5">
      <c r="B4" s="47" t="s">
        <v>96</v>
      </c>
    </row>
    <row r="5" spans="2:12" s="1" customFormat="1" ht="16.5">
      <c r="B5" s="47" t="s">
        <v>97</v>
      </c>
    </row>
    <row r="6" spans="2:12" ht="16.5">
      <c r="H6" s="49"/>
    </row>
    <row r="7" spans="2:12" s="31" customFormat="1" ht="16.5">
      <c r="B7" s="51" t="s">
        <v>110</v>
      </c>
      <c r="H7" s="49"/>
    </row>
    <row r="8" spans="2:12" s="31" customFormat="1" ht="17.25">
      <c r="B8" s="58" t="s">
        <v>113</v>
      </c>
      <c r="H8" s="49"/>
    </row>
    <row r="9" spans="2:12" s="31" customFormat="1" ht="16.5">
      <c r="B9" s="59" t="s">
        <v>124</v>
      </c>
      <c r="H9" s="49"/>
    </row>
    <row r="10" spans="2:12" s="31" customFormat="1" ht="16.5">
      <c r="B10" s="57" t="s">
        <v>123</v>
      </c>
      <c r="H10" s="49"/>
    </row>
    <row r="11" spans="2:12" s="31" customFormat="1" ht="16.5">
      <c r="H11" s="49"/>
    </row>
    <row r="12" spans="2:12" s="31" customFormat="1" ht="16.5">
      <c r="B12" s="48" t="s">
        <v>102</v>
      </c>
      <c r="C12" s="61" t="s">
        <v>116</v>
      </c>
      <c r="D12" s="57"/>
      <c r="E12" s="48"/>
      <c r="F12" s="48" t="s">
        <v>125</v>
      </c>
      <c r="H12" s="49"/>
    </row>
    <row r="13" spans="2:12" s="31" customFormat="1" ht="16.5">
      <c r="B13" s="50" t="s">
        <v>61</v>
      </c>
      <c r="C13" s="62" t="s">
        <v>95</v>
      </c>
      <c r="D13" s="59" t="s">
        <v>126</v>
      </c>
      <c r="E13" s="48"/>
      <c r="F13" s="47" t="s">
        <v>121</v>
      </c>
      <c r="H13" s="49"/>
    </row>
    <row r="14" spans="2:12" s="31" customFormat="1" ht="16.5">
      <c r="B14" s="50" t="s">
        <v>47</v>
      </c>
      <c r="C14" s="62" t="s">
        <v>117</v>
      </c>
      <c r="D14" s="57" t="s">
        <v>126</v>
      </c>
      <c r="E14" s="48"/>
      <c r="F14" s="47" t="s">
        <v>149</v>
      </c>
      <c r="H14" s="49"/>
    </row>
    <row r="15" spans="2:12" s="31" customFormat="1" ht="16.5">
      <c r="B15" s="50" t="s">
        <v>63</v>
      </c>
      <c r="C15" s="62" t="s">
        <v>118</v>
      </c>
      <c r="D15" s="57" t="s">
        <v>126</v>
      </c>
      <c r="E15" s="48"/>
      <c r="F15" s="47" t="s">
        <v>133</v>
      </c>
      <c r="H15" s="49"/>
    </row>
    <row r="16" spans="2:12" s="31" customFormat="1" ht="16.5">
      <c r="B16" s="50" t="s">
        <v>60</v>
      </c>
      <c r="C16" s="62" t="s">
        <v>119</v>
      </c>
      <c r="D16" s="57" t="s">
        <v>126</v>
      </c>
      <c r="E16" s="48"/>
      <c r="F16" s="47" t="s">
        <v>122</v>
      </c>
      <c r="H16" s="49"/>
    </row>
    <row r="17" spans="2:8" s="31" customFormat="1" ht="16.5">
      <c r="B17" s="50" t="s">
        <v>30</v>
      </c>
      <c r="C17" s="41" t="s">
        <v>120</v>
      </c>
      <c r="D17" s="57" t="s">
        <v>137</v>
      </c>
      <c r="F17" s="47" t="s">
        <v>150</v>
      </c>
      <c r="H17" s="49"/>
    </row>
    <row r="18" spans="2:8" s="31" customFormat="1" ht="16.5">
      <c r="B18" s="57"/>
      <c r="C18" s="71"/>
      <c r="D18" s="57"/>
      <c r="F18" s="47"/>
      <c r="H18" s="49"/>
    </row>
    <row r="19" spans="2:8" s="31" customFormat="1" ht="16.5">
      <c r="B19" s="57"/>
      <c r="C19" s="71"/>
      <c r="D19" s="57"/>
      <c r="F19" s="47"/>
      <c r="H19" s="49"/>
    </row>
    <row r="20" spans="2:8" s="31" customFormat="1" ht="17.25">
      <c r="B20" s="58" t="s">
        <v>127</v>
      </c>
      <c r="H20" s="49"/>
    </row>
    <row r="21" spans="2:8" s="47" customFormat="1" ht="16.5">
      <c r="B21" s="72" t="s">
        <v>186</v>
      </c>
      <c r="H21" s="49"/>
    </row>
    <row r="22" spans="2:8" s="47" customFormat="1" ht="16.5">
      <c r="B22" s="47" t="s">
        <v>102</v>
      </c>
      <c r="C22" s="47" t="s">
        <v>103</v>
      </c>
      <c r="D22" s="47" t="s">
        <v>104</v>
      </c>
    </row>
    <row r="23" spans="2:8" s="47" customFormat="1" ht="16.5">
      <c r="B23" s="50" t="s">
        <v>99</v>
      </c>
      <c r="C23" s="50" t="s">
        <v>105</v>
      </c>
      <c r="D23" s="50" t="s">
        <v>152</v>
      </c>
    </row>
    <row r="24" spans="2:8" s="47" customFormat="1" ht="16.5">
      <c r="B24" s="50" t="s">
        <v>33</v>
      </c>
      <c r="C24" s="50" t="s">
        <v>106</v>
      </c>
      <c r="D24" s="50" t="s">
        <v>105</v>
      </c>
    </row>
    <row r="25" spans="2:8" s="47" customFormat="1" ht="16.5">
      <c r="B25" s="50" t="s">
        <v>59</v>
      </c>
      <c r="C25" s="50" t="s">
        <v>109</v>
      </c>
      <c r="D25" s="50" t="s">
        <v>106</v>
      </c>
    </row>
    <row r="26" spans="2:8" s="47" customFormat="1" ht="16.5"/>
    <row r="27" spans="2:8" s="47" customFormat="1" ht="16.5">
      <c r="B27" s="51" t="s">
        <v>189</v>
      </c>
      <c r="C27" s="57"/>
      <c r="D27" s="57"/>
    </row>
    <row r="28" spans="2:8" s="47" customFormat="1" ht="16.5">
      <c r="B28" s="47" t="s">
        <v>102</v>
      </c>
      <c r="C28" s="47" t="s">
        <v>103</v>
      </c>
      <c r="D28" s="47" t="s">
        <v>104</v>
      </c>
    </row>
    <row r="29" spans="2:8" s="48" customFormat="1" ht="16.5">
      <c r="B29" s="50" t="s">
        <v>100</v>
      </c>
      <c r="C29" s="50" t="s">
        <v>107</v>
      </c>
      <c r="D29" s="50" t="s">
        <v>153</v>
      </c>
    </row>
    <row r="30" spans="2:8" s="48" customFormat="1" ht="16.5">
      <c r="B30" s="50" t="s">
        <v>71</v>
      </c>
      <c r="C30" s="50" t="s">
        <v>152</v>
      </c>
      <c r="D30" s="50" t="s">
        <v>107</v>
      </c>
    </row>
    <row r="31" spans="2:8" s="48" customFormat="1" ht="16.5"/>
    <row r="32" spans="2:8" s="48" customFormat="1" ht="16.5">
      <c r="B32" s="51" t="s">
        <v>190</v>
      </c>
    </row>
    <row r="33" spans="2:13" s="48" customFormat="1" ht="16.5">
      <c r="B33" s="50" t="s">
        <v>101</v>
      </c>
      <c r="C33" s="50" t="s">
        <v>108</v>
      </c>
      <c r="D33" s="50" t="s">
        <v>153</v>
      </c>
    </row>
    <row r="34" spans="2:13" s="48" customFormat="1" ht="16.5">
      <c r="B34" s="50" t="s">
        <v>73</v>
      </c>
      <c r="C34" s="50" t="s">
        <v>153</v>
      </c>
      <c r="D34" s="50" t="s">
        <v>108</v>
      </c>
    </row>
    <row r="35" spans="2:13" s="48" customFormat="1" ht="16.5"/>
    <row r="36" spans="2:13" s="31" customFormat="1" ht="16.5">
      <c r="B36" s="57"/>
    </row>
    <row r="37" spans="2:13" s="1" customFormat="1">
      <c r="B37" s="1" t="s">
        <v>114</v>
      </c>
    </row>
    <row r="38" spans="2:13" ht="16.5">
      <c r="B38" s="2"/>
      <c r="C38" s="29" t="s">
        <v>0</v>
      </c>
      <c r="D38" s="29" t="s">
        <v>1</v>
      </c>
      <c r="E38" s="29" t="s">
        <v>2</v>
      </c>
      <c r="F38" s="29" t="s">
        <v>3</v>
      </c>
      <c r="G38" s="29" t="s">
        <v>4</v>
      </c>
      <c r="H38" s="29" t="s">
        <v>5</v>
      </c>
      <c r="I38" s="29" t="s">
        <v>6</v>
      </c>
      <c r="J38" s="88" t="s">
        <v>7</v>
      </c>
      <c r="K38" s="88"/>
      <c r="L38" s="88"/>
      <c r="M38" s="88"/>
    </row>
    <row r="39" spans="2:13" ht="16.5">
      <c r="B39" s="95" t="s">
        <v>8</v>
      </c>
      <c r="C39" s="28" t="s">
        <v>9</v>
      </c>
      <c r="D39" s="101" t="s">
        <v>10</v>
      </c>
      <c r="E39" s="102"/>
      <c r="F39" s="102"/>
      <c r="G39" s="102"/>
      <c r="H39" s="102"/>
      <c r="I39" s="102"/>
      <c r="J39" s="102"/>
      <c r="K39" s="102"/>
      <c r="L39" s="102"/>
      <c r="M39" s="103"/>
    </row>
    <row r="40" spans="2:13" ht="16.5">
      <c r="B40" s="96"/>
      <c r="C40" s="5" t="s">
        <v>11</v>
      </c>
      <c r="D40" s="101" t="s">
        <v>12</v>
      </c>
      <c r="E40" s="102"/>
      <c r="F40" s="102"/>
      <c r="G40" s="102"/>
      <c r="H40" s="102"/>
      <c r="I40" s="102"/>
      <c r="J40" s="102"/>
      <c r="K40" s="102"/>
      <c r="L40" s="102"/>
      <c r="M40" s="103"/>
    </row>
    <row r="41" spans="2:13" ht="16.5">
      <c r="B41" s="28" t="s">
        <v>13</v>
      </c>
      <c r="C41" s="28" t="s">
        <v>14</v>
      </c>
      <c r="D41" s="101" t="s">
        <v>15</v>
      </c>
      <c r="E41" s="102"/>
      <c r="F41" s="102"/>
      <c r="G41" s="102"/>
      <c r="H41" s="102"/>
      <c r="I41" s="102"/>
      <c r="J41" s="102"/>
      <c r="K41" s="102"/>
      <c r="L41" s="102"/>
      <c r="M41" s="103"/>
    </row>
    <row r="42" spans="2:13" ht="16.5">
      <c r="B42" s="28" t="s">
        <v>16</v>
      </c>
      <c r="C42" s="28" t="s">
        <v>17</v>
      </c>
      <c r="D42" s="5" t="s">
        <v>18</v>
      </c>
      <c r="E42" s="5" t="s">
        <v>19</v>
      </c>
      <c r="F42" s="5" t="s">
        <v>42</v>
      </c>
      <c r="G42" s="5" t="s">
        <v>20</v>
      </c>
      <c r="H42" s="5" t="s">
        <v>21</v>
      </c>
      <c r="I42" s="5" t="s">
        <v>22</v>
      </c>
      <c r="J42" s="101" t="s">
        <v>23</v>
      </c>
      <c r="K42" s="102"/>
      <c r="L42" s="102"/>
      <c r="M42" s="103"/>
    </row>
    <row r="43" spans="2:13" ht="16.5">
      <c r="B43" s="97" t="s">
        <v>38</v>
      </c>
      <c r="C43" s="6" t="s">
        <v>50</v>
      </c>
      <c r="D43" s="98" t="s">
        <v>49</v>
      </c>
      <c r="E43" s="99"/>
      <c r="F43" s="99"/>
      <c r="G43" s="99"/>
      <c r="H43" s="99"/>
      <c r="I43" s="100"/>
      <c r="J43" s="9"/>
      <c r="K43" s="10"/>
      <c r="L43" s="10"/>
      <c r="M43" s="11"/>
    </row>
    <row r="44" spans="2:13" ht="16.5" customHeight="1">
      <c r="B44" s="97"/>
      <c r="C44" s="6" t="s">
        <v>45</v>
      </c>
      <c r="D44" s="101" t="s">
        <v>46</v>
      </c>
      <c r="E44" s="102"/>
      <c r="F44" s="102"/>
      <c r="G44" s="102"/>
      <c r="H44" s="102"/>
      <c r="I44" s="103"/>
      <c r="J44" s="12"/>
      <c r="K44" s="13"/>
      <c r="L44" s="13"/>
      <c r="M44" s="14"/>
    </row>
    <row r="45" spans="2:13" ht="16.5">
      <c r="B45" s="28" t="s">
        <v>24</v>
      </c>
      <c r="C45" s="28" t="s">
        <v>25</v>
      </c>
      <c r="D45" s="5" t="s">
        <v>71</v>
      </c>
      <c r="E45" s="5" t="s">
        <v>27</v>
      </c>
      <c r="F45" s="5" t="s">
        <v>73</v>
      </c>
      <c r="G45" s="5" t="s">
        <v>29</v>
      </c>
      <c r="H45" s="5" t="s">
        <v>74</v>
      </c>
      <c r="I45" s="5" t="s">
        <v>31</v>
      </c>
      <c r="J45" s="15"/>
      <c r="K45" s="16"/>
      <c r="L45" s="16"/>
      <c r="M45" s="17"/>
    </row>
    <row r="46" spans="2:13" ht="16.5">
      <c r="B46" s="28" t="s">
        <v>32</v>
      </c>
      <c r="C46" s="89" t="s">
        <v>45</v>
      </c>
      <c r="D46" s="5" t="s">
        <v>72</v>
      </c>
      <c r="E46" s="5" t="s">
        <v>65</v>
      </c>
      <c r="F46" s="5" t="s">
        <v>34</v>
      </c>
      <c r="G46" s="5" t="s">
        <v>35</v>
      </c>
      <c r="H46" s="5" t="s">
        <v>36</v>
      </c>
      <c r="I46" s="5" t="s">
        <v>37</v>
      </c>
      <c r="J46" s="7" t="s">
        <v>39</v>
      </c>
      <c r="K46" s="5" t="s">
        <v>40</v>
      </c>
      <c r="L46" s="7" t="s">
        <v>41</v>
      </c>
      <c r="M46" s="5" t="s">
        <v>53</v>
      </c>
    </row>
    <row r="47" spans="2:13" ht="16.5">
      <c r="B47" s="92" t="s">
        <v>58</v>
      </c>
      <c r="C47" s="90"/>
      <c r="D47" s="5"/>
      <c r="E47" s="5"/>
      <c r="F47" s="5"/>
      <c r="G47" s="5"/>
      <c r="H47" s="5"/>
      <c r="I47" s="5"/>
      <c r="J47" s="5" t="s">
        <v>51</v>
      </c>
      <c r="K47" s="5" t="s">
        <v>52</v>
      </c>
      <c r="L47" s="8" t="s">
        <v>56</v>
      </c>
      <c r="M47" s="8" t="s">
        <v>54</v>
      </c>
    </row>
    <row r="48" spans="2:13" ht="16.5">
      <c r="B48" s="93"/>
      <c r="C48" s="90"/>
      <c r="D48" s="5"/>
      <c r="E48" s="5"/>
      <c r="F48" s="5"/>
      <c r="G48" s="5"/>
      <c r="H48" s="5"/>
      <c r="I48" s="5"/>
      <c r="J48" s="30" t="s">
        <v>66</v>
      </c>
      <c r="K48" s="8"/>
      <c r="L48" s="8" t="s">
        <v>48</v>
      </c>
      <c r="M48" s="8" t="s">
        <v>55</v>
      </c>
    </row>
    <row r="49" spans="2:13" ht="16.5">
      <c r="B49" s="93"/>
      <c r="C49" s="90"/>
      <c r="D49" s="5"/>
      <c r="E49" s="5"/>
      <c r="F49" s="5"/>
      <c r="G49" s="5"/>
      <c r="H49" s="5"/>
      <c r="I49" s="5"/>
      <c r="J49" s="5"/>
      <c r="K49" s="8"/>
      <c r="L49" s="8" t="s">
        <v>57</v>
      </c>
      <c r="M49" s="8"/>
    </row>
    <row r="50" spans="2:13" ht="16.5">
      <c r="B50" s="94"/>
      <c r="C50" s="91"/>
      <c r="D50" s="5"/>
      <c r="E50" s="5"/>
      <c r="F50" s="5"/>
      <c r="G50" s="5"/>
      <c r="H50" s="5"/>
      <c r="I50" s="5"/>
      <c r="J50" s="5"/>
      <c r="K50" s="8"/>
      <c r="L50" s="8"/>
      <c r="M50" s="8"/>
    </row>
    <row r="51" spans="2:13" s="1" customFormat="1" ht="16.5">
      <c r="B51" s="22" t="s">
        <v>43</v>
      </c>
      <c r="C51" s="22" t="s">
        <v>45</v>
      </c>
      <c r="D51" s="43" t="s">
        <v>67</v>
      </c>
      <c r="E51" s="23"/>
      <c r="F51" s="43" t="s">
        <v>71</v>
      </c>
      <c r="G51" s="23"/>
      <c r="H51" s="43" t="s">
        <v>73</v>
      </c>
      <c r="I51" s="23"/>
      <c r="J51" s="23"/>
      <c r="K51" s="24"/>
      <c r="L51" s="24"/>
      <c r="M51" s="24"/>
    </row>
    <row r="54" spans="2:13" ht="16.5">
      <c r="B54" s="1" t="s">
        <v>115</v>
      </c>
    </row>
    <row r="55" spans="2:13" ht="16.5">
      <c r="B55" s="2"/>
      <c r="C55" s="33" t="s">
        <v>0</v>
      </c>
      <c r="D55" s="33" t="s">
        <v>1</v>
      </c>
      <c r="E55" s="33" t="s">
        <v>2</v>
      </c>
      <c r="F55" s="33" t="s">
        <v>3</v>
      </c>
      <c r="G55" s="33" t="s">
        <v>4</v>
      </c>
      <c r="H55" s="33" t="s">
        <v>5</v>
      </c>
      <c r="I55" s="33" t="s">
        <v>6</v>
      </c>
      <c r="J55" s="88" t="s">
        <v>7</v>
      </c>
      <c r="K55" s="88"/>
      <c r="L55" s="88"/>
      <c r="M55" s="88"/>
    </row>
    <row r="56" spans="2:13" ht="16.5">
      <c r="B56" s="95" t="s">
        <v>8</v>
      </c>
      <c r="C56" s="32" t="s">
        <v>9</v>
      </c>
      <c r="D56" s="101" t="s">
        <v>10</v>
      </c>
      <c r="E56" s="102"/>
      <c r="F56" s="102"/>
      <c r="G56" s="102"/>
      <c r="H56" s="102"/>
      <c r="I56" s="102"/>
      <c r="J56" s="102"/>
      <c r="K56" s="102"/>
      <c r="L56" s="102"/>
      <c r="M56" s="103"/>
    </row>
    <row r="57" spans="2:13" ht="16.5">
      <c r="B57" s="96"/>
      <c r="C57" s="5" t="s">
        <v>11</v>
      </c>
      <c r="D57" s="101" t="s">
        <v>12</v>
      </c>
      <c r="E57" s="102"/>
      <c r="F57" s="102"/>
      <c r="G57" s="102"/>
      <c r="H57" s="102"/>
      <c r="I57" s="102"/>
      <c r="J57" s="102"/>
      <c r="K57" s="102"/>
      <c r="L57" s="102"/>
      <c r="M57" s="103"/>
    </row>
    <row r="58" spans="2:13" ht="16.5">
      <c r="B58" s="32" t="s">
        <v>13</v>
      </c>
      <c r="C58" s="32" t="s">
        <v>14</v>
      </c>
      <c r="D58" s="101" t="s">
        <v>15</v>
      </c>
      <c r="E58" s="102"/>
      <c r="F58" s="102"/>
      <c r="G58" s="102"/>
      <c r="H58" s="102"/>
      <c r="I58" s="102"/>
      <c r="J58" s="102"/>
      <c r="K58" s="102"/>
      <c r="L58" s="102"/>
      <c r="M58" s="103"/>
    </row>
    <row r="59" spans="2:13" ht="16.5">
      <c r="B59" s="32" t="s">
        <v>16</v>
      </c>
      <c r="C59" s="32" t="s">
        <v>17</v>
      </c>
      <c r="D59" s="5" t="s">
        <v>18</v>
      </c>
      <c r="E59" s="5" t="s">
        <v>19</v>
      </c>
      <c r="F59" s="5" t="s">
        <v>42</v>
      </c>
      <c r="G59" s="5" t="s">
        <v>20</v>
      </c>
      <c r="H59" s="5" t="s">
        <v>21</v>
      </c>
      <c r="I59" s="5" t="s">
        <v>22</v>
      </c>
      <c r="J59" s="101" t="s">
        <v>23</v>
      </c>
      <c r="K59" s="102"/>
      <c r="L59" s="102"/>
      <c r="M59" s="103"/>
    </row>
    <row r="60" spans="2:13" ht="16.5">
      <c r="B60" s="97" t="s">
        <v>38</v>
      </c>
      <c r="C60" s="6" t="s">
        <v>50</v>
      </c>
      <c r="D60" s="98" t="s">
        <v>49</v>
      </c>
      <c r="E60" s="99"/>
      <c r="F60" s="99"/>
      <c r="G60" s="99"/>
      <c r="H60" s="99"/>
      <c r="I60" s="100"/>
      <c r="J60" s="9"/>
      <c r="K60" s="10"/>
      <c r="L60" s="10"/>
      <c r="M60" s="11"/>
    </row>
    <row r="61" spans="2:13" ht="16.5">
      <c r="B61" s="97"/>
      <c r="C61" s="6" t="s">
        <v>45</v>
      </c>
      <c r="D61" s="101" t="s">
        <v>46</v>
      </c>
      <c r="E61" s="102"/>
      <c r="F61" s="102"/>
      <c r="G61" s="102"/>
      <c r="H61" s="102"/>
      <c r="I61" s="103"/>
      <c r="J61" s="12"/>
      <c r="K61" s="13"/>
      <c r="L61" s="13"/>
      <c r="M61" s="14"/>
    </row>
    <row r="62" spans="2:13" ht="16.5">
      <c r="B62" s="32" t="s">
        <v>24</v>
      </c>
      <c r="C62" s="32" t="s">
        <v>25</v>
      </c>
      <c r="D62" s="25" t="s">
        <v>33</v>
      </c>
      <c r="E62" s="5" t="s">
        <v>27</v>
      </c>
      <c r="F62" s="25" t="s">
        <v>26</v>
      </c>
      <c r="G62" s="5" t="s">
        <v>29</v>
      </c>
      <c r="H62" s="25" t="s">
        <v>73</v>
      </c>
      <c r="I62" s="5" t="s">
        <v>31</v>
      </c>
      <c r="J62" s="15"/>
      <c r="K62" s="16"/>
      <c r="L62" s="16"/>
      <c r="M62" s="17"/>
    </row>
    <row r="63" spans="2:13" ht="16.5">
      <c r="B63" s="32" t="s">
        <v>32</v>
      </c>
      <c r="C63" s="89" t="s">
        <v>45</v>
      </c>
      <c r="D63" s="25" t="s">
        <v>59</v>
      </c>
      <c r="E63" s="5" t="s">
        <v>65</v>
      </c>
      <c r="F63" s="5" t="s">
        <v>34</v>
      </c>
      <c r="G63" s="5" t="s">
        <v>35</v>
      </c>
      <c r="H63" s="5" t="s">
        <v>36</v>
      </c>
      <c r="I63" s="5" t="s">
        <v>37</v>
      </c>
      <c r="J63" s="7" t="s">
        <v>39</v>
      </c>
      <c r="K63" s="5" t="s">
        <v>40</v>
      </c>
      <c r="L63" s="7" t="s">
        <v>41</v>
      </c>
      <c r="M63" s="5" t="s">
        <v>112</v>
      </c>
    </row>
    <row r="64" spans="2:13" ht="16.5">
      <c r="B64" s="92" t="s">
        <v>58</v>
      </c>
      <c r="C64" s="90"/>
      <c r="D64" s="5"/>
      <c r="E64" s="5"/>
      <c r="F64" s="5"/>
      <c r="G64" s="5"/>
      <c r="H64" s="5"/>
      <c r="I64" s="5"/>
      <c r="J64" s="5" t="s">
        <v>51</v>
      </c>
      <c r="K64" s="5" t="s">
        <v>52</v>
      </c>
      <c r="L64" s="8" t="s">
        <v>57</v>
      </c>
      <c r="M64" s="8"/>
    </row>
    <row r="65" spans="1:19" ht="16.5">
      <c r="B65" s="93"/>
      <c r="C65" s="90"/>
      <c r="D65" s="5"/>
      <c r="E65" s="5"/>
      <c r="F65" s="5"/>
      <c r="G65" s="5"/>
      <c r="H65" s="5"/>
      <c r="I65" s="5"/>
      <c r="J65" s="30" t="s">
        <v>66</v>
      </c>
      <c r="K65" s="8"/>
      <c r="L65" s="8"/>
      <c r="M65" s="8"/>
    </row>
    <row r="66" spans="1:19" ht="16.5">
      <c r="B66" s="93"/>
      <c r="C66" s="90"/>
      <c r="D66" s="5"/>
      <c r="E66" s="5"/>
      <c r="F66" s="5"/>
      <c r="G66" s="5"/>
      <c r="H66" s="5"/>
      <c r="I66" s="5"/>
      <c r="J66" s="5"/>
      <c r="K66" s="8"/>
      <c r="L66" s="8"/>
      <c r="M66" s="8"/>
    </row>
    <row r="67" spans="1:19" ht="16.5">
      <c r="B67" s="94"/>
      <c r="C67" s="91"/>
      <c r="D67" s="5"/>
      <c r="E67" s="5"/>
      <c r="F67" s="5"/>
      <c r="G67" s="5"/>
      <c r="H67" s="5"/>
      <c r="I67" s="5"/>
      <c r="J67" s="5"/>
      <c r="K67" s="8"/>
      <c r="L67" s="8"/>
      <c r="M67" s="8"/>
    </row>
    <row r="68" spans="1:19" s="1" customFormat="1" ht="16.5">
      <c r="B68" s="21" t="s">
        <v>44</v>
      </c>
      <c r="C68" s="18" t="s">
        <v>45</v>
      </c>
      <c r="D68" s="60" t="s">
        <v>61</v>
      </c>
      <c r="E68" s="60" t="s">
        <v>47</v>
      </c>
      <c r="F68" s="60" t="s">
        <v>63</v>
      </c>
      <c r="G68" s="60" t="s">
        <v>60</v>
      </c>
      <c r="H68" s="60" t="s">
        <v>101</v>
      </c>
      <c r="I68" s="19"/>
      <c r="J68" s="19"/>
      <c r="K68" s="20"/>
      <c r="L68" s="20"/>
      <c r="M68" s="20"/>
    </row>
    <row r="69" spans="1:19" s="52" customFormat="1" ht="16.5">
      <c r="B69" s="53"/>
      <c r="C69" s="54"/>
      <c r="D69" s="55"/>
      <c r="E69" s="55"/>
      <c r="F69" s="55"/>
      <c r="G69" s="55"/>
      <c r="H69" s="55"/>
      <c r="I69" s="55"/>
      <c r="J69" s="55"/>
      <c r="K69" s="56"/>
      <c r="L69" s="56"/>
      <c r="M69" s="56"/>
    </row>
    <row r="70" spans="1:19" s="1" customFormat="1"/>
    <row r="71" spans="1:19" s="1" customFormat="1" ht="17.25">
      <c r="B71" s="51" t="s">
        <v>111</v>
      </c>
    </row>
    <row r="72" spans="1:19" s="1" customFormat="1" ht="16.5">
      <c r="B72" s="72" t="s">
        <v>154</v>
      </c>
    </row>
    <row r="73" spans="1:19" s="1" customFormat="1">
      <c r="B73" s="110" t="s">
        <v>68</v>
      </c>
      <c r="C73" s="110"/>
      <c r="D73" s="110"/>
      <c r="E73" s="35" t="s">
        <v>75</v>
      </c>
      <c r="F73" s="35" t="s">
        <v>76</v>
      </c>
      <c r="G73" s="35" t="s">
        <v>77</v>
      </c>
      <c r="H73" s="35" t="s">
        <v>144</v>
      </c>
      <c r="I73" s="41" t="s">
        <v>156</v>
      </c>
      <c r="J73" s="41" t="s">
        <v>157</v>
      </c>
      <c r="K73" s="41" t="s">
        <v>89</v>
      </c>
      <c r="L73" s="41" t="s">
        <v>90</v>
      </c>
      <c r="M73" s="68" t="s">
        <v>91</v>
      </c>
      <c r="N73" s="41" t="s">
        <v>92</v>
      </c>
      <c r="O73" s="41" t="s">
        <v>93</v>
      </c>
      <c r="P73" s="41" t="s">
        <v>94</v>
      </c>
    </row>
    <row r="74" spans="1:19" s="1" customFormat="1">
      <c r="B74" s="109" t="s">
        <v>69</v>
      </c>
      <c r="C74" s="107"/>
      <c r="D74" s="107"/>
      <c r="E74" s="37" t="s">
        <v>83</v>
      </c>
      <c r="F74" s="34"/>
      <c r="G74" s="34"/>
      <c r="H74" s="36"/>
      <c r="I74" s="34"/>
      <c r="J74" s="34"/>
      <c r="K74" s="34"/>
      <c r="L74" s="34"/>
      <c r="M74" s="42"/>
      <c r="N74" s="42"/>
      <c r="O74" s="42"/>
      <c r="P74" s="42"/>
    </row>
    <row r="75" spans="1:19" s="1" customFormat="1">
      <c r="B75" s="109" t="s">
        <v>70</v>
      </c>
      <c r="C75" s="107"/>
      <c r="D75" s="107"/>
      <c r="E75" s="34"/>
      <c r="F75" s="37" t="s">
        <v>158</v>
      </c>
      <c r="G75" s="75"/>
      <c r="H75" s="36"/>
      <c r="I75" s="34"/>
      <c r="J75" s="34"/>
      <c r="K75" s="34"/>
      <c r="M75" s="42"/>
      <c r="N75" s="39" t="s">
        <v>160</v>
      </c>
      <c r="O75" s="42"/>
      <c r="P75" s="42"/>
    </row>
    <row r="76" spans="1:19" s="31" customFormat="1">
      <c r="A76" s="113" t="s">
        <v>95</v>
      </c>
      <c r="B76" s="107" t="s">
        <v>78</v>
      </c>
      <c r="C76" s="107"/>
      <c r="D76" s="107"/>
      <c r="E76" s="42"/>
      <c r="F76" s="67"/>
      <c r="G76" s="64" t="s">
        <v>84</v>
      </c>
      <c r="H76" s="42"/>
      <c r="I76" s="42"/>
      <c r="J76" s="42"/>
      <c r="K76" s="42"/>
      <c r="L76" s="42"/>
      <c r="M76" s="42"/>
      <c r="N76" s="42"/>
      <c r="O76" s="42"/>
      <c r="P76" s="42"/>
      <c r="Q76" s="1"/>
      <c r="R76" s="1"/>
      <c r="S76" s="1"/>
    </row>
    <row r="77" spans="1:19" s="31" customFormat="1">
      <c r="A77" s="106"/>
      <c r="B77" s="107" t="s">
        <v>82</v>
      </c>
      <c r="C77" s="107"/>
      <c r="D77" s="107"/>
      <c r="E77" s="42"/>
      <c r="F77" s="42"/>
      <c r="G77" s="64" t="s">
        <v>85</v>
      </c>
      <c r="H77" s="42"/>
      <c r="I77" s="42"/>
      <c r="J77" s="42"/>
      <c r="K77" s="42"/>
      <c r="L77" s="67"/>
      <c r="M77" s="65" t="s">
        <v>159</v>
      </c>
      <c r="N77" s="42"/>
      <c r="O77" s="42"/>
      <c r="P77" s="42"/>
      <c r="Q77" s="1"/>
      <c r="R77" s="1"/>
      <c r="S77" s="1"/>
    </row>
    <row r="78" spans="1:19" s="31" customFormat="1">
      <c r="A78" s="106"/>
      <c r="B78" s="107" t="s">
        <v>141</v>
      </c>
      <c r="C78" s="107"/>
      <c r="D78" s="107"/>
      <c r="E78" s="42"/>
      <c r="F78" s="42"/>
      <c r="G78" s="64" t="s">
        <v>86</v>
      </c>
      <c r="H78" s="42"/>
      <c r="I78" s="42"/>
      <c r="J78" s="42"/>
      <c r="K78" s="42"/>
      <c r="L78" s="67"/>
      <c r="M78" s="65" t="s">
        <v>159</v>
      </c>
      <c r="N78" s="42"/>
      <c r="O78" s="42"/>
      <c r="P78" s="42"/>
      <c r="Q78" s="1"/>
      <c r="R78" s="1"/>
      <c r="S78" s="1"/>
    </row>
    <row r="79" spans="1:19" s="31" customFormat="1" ht="15" customHeight="1">
      <c r="A79" s="106"/>
      <c r="B79" s="108" t="s">
        <v>142</v>
      </c>
      <c r="C79" s="108"/>
      <c r="D79" s="108"/>
      <c r="E79" s="42"/>
      <c r="F79" s="42"/>
      <c r="G79" s="67"/>
      <c r="H79" s="38" t="s">
        <v>167</v>
      </c>
      <c r="I79" s="40"/>
      <c r="J79" s="40"/>
      <c r="K79" s="40"/>
      <c r="L79" s="40"/>
      <c r="M79" s="40"/>
      <c r="N79" s="40"/>
      <c r="O79" s="42"/>
      <c r="P79" s="42"/>
      <c r="Q79" s="1"/>
      <c r="R79" s="1"/>
      <c r="S79" s="1"/>
    </row>
    <row r="80" spans="1:19" s="31" customFormat="1" ht="15" customHeight="1">
      <c r="A80" s="106"/>
      <c r="B80" s="108" t="s">
        <v>143</v>
      </c>
      <c r="C80" s="108"/>
      <c r="D80" s="108"/>
      <c r="E80" s="42"/>
      <c r="F80" s="42"/>
      <c r="G80" s="67"/>
      <c r="H80" s="38" t="s">
        <v>167</v>
      </c>
      <c r="I80" s="40"/>
      <c r="J80" s="40"/>
      <c r="K80" s="40"/>
      <c r="L80" s="40"/>
      <c r="M80" s="40"/>
      <c r="N80" s="40"/>
      <c r="O80" s="42"/>
      <c r="P80" s="42"/>
      <c r="Q80" s="1"/>
      <c r="R80" s="1"/>
      <c r="S80" s="1"/>
    </row>
    <row r="81" spans="1:19" s="31" customFormat="1" ht="15" customHeight="1">
      <c r="A81" s="111" t="s">
        <v>140</v>
      </c>
      <c r="B81" s="108" t="s">
        <v>138</v>
      </c>
      <c r="C81" s="108"/>
      <c r="D81" s="108"/>
      <c r="E81" s="67"/>
      <c r="F81" s="67"/>
      <c r="G81" s="67"/>
      <c r="H81" s="66" t="s">
        <v>145</v>
      </c>
      <c r="I81" s="67"/>
      <c r="J81" s="39" t="s">
        <v>148</v>
      </c>
      <c r="K81" s="67"/>
      <c r="L81" s="67"/>
      <c r="M81" s="67"/>
      <c r="N81" s="67"/>
      <c r="O81" s="67"/>
      <c r="P81" s="67"/>
      <c r="Q81" s="1"/>
      <c r="R81" s="1"/>
      <c r="S81" s="1"/>
    </row>
    <row r="82" spans="1:19" s="31" customFormat="1" ht="15" customHeight="1">
      <c r="A82" s="111"/>
      <c r="B82" s="108" t="s">
        <v>139</v>
      </c>
      <c r="C82" s="108"/>
      <c r="D82" s="108"/>
      <c r="E82" s="67"/>
      <c r="F82" s="67"/>
      <c r="G82" s="67"/>
      <c r="H82" s="66" t="s">
        <v>146</v>
      </c>
      <c r="I82" s="67"/>
      <c r="J82" s="65" t="s">
        <v>147</v>
      </c>
      <c r="K82" s="67"/>
      <c r="L82" s="67"/>
      <c r="M82" s="67"/>
      <c r="N82" s="67"/>
      <c r="O82" s="67"/>
      <c r="P82" s="67"/>
      <c r="Q82" s="1"/>
      <c r="R82" s="1"/>
      <c r="S82" s="1"/>
    </row>
    <row r="83" spans="1:19" s="31" customFormat="1" ht="1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4"/>
      <c r="Q83" s="1"/>
      <c r="R83" s="1"/>
      <c r="S83" s="1"/>
    </row>
    <row r="84" spans="1:19" s="31" customFormat="1" ht="1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4"/>
      <c r="Q84" s="1"/>
      <c r="R84" s="1"/>
      <c r="S84" s="1"/>
    </row>
    <row r="85" spans="1:19" s="31" customFormat="1" ht="15" customHeight="1">
      <c r="A85" s="73"/>
      <c r="B85" s="72" t="s">
        <v>155</v>
      </c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4"/>
      <c r="Q85" s="74"/>
      <c r="R85" s="74"/>
      <c r="S85" s="74"/>
    </row>
    <row r="86" spans="1:19" s="1" customFormat="1" ht="15" customHeight="1">
      <c r="B86" s="110" t="s">
        <v>68</v>
      </c>
      <c r="C86" s="110"/>
      <c r="D86" s="110"/>
      <c r="E86" s="41" t="s">
        <v>161</v>
      </c>
      <c r="F86" s="41" t="s">
        <v>90</v>
      </c>
      <c r="G86" s="41" t="s">
        <v>91</v>
      </c>
      <c r="H86" s="41" t="s">
        <v>92</v>
      </c>
      <c r="I86" s="41" t="s">
        <v>93</v>
      </c>
      <c r="J86" s="41" t="s">
        <v>94</v>
      </c>
      <c r="K86" s="41" t="s">
        <v>162</v>
      </c>
      <c r="L86" s="41" t="s">
        <v>163</v>
      </c>
      <c r="M86" s="41" t="s">
        <v>164</v>
      </c>
      <c r="N86" s="70" t="s">
        <v>165</v>
      </c>
      <c r="O86" s="41" t="s">
        <v>169</v>
      </c>
      <c r="P86" s="41" t="s">
        <v>170</v>
      </c>
      <c r="Q86" s="74"/>
      <c r="R86" s="74"/>
      <c r="S86" s="74"/>
    </row>
    <row r="87" spans="1:19" s="31" customFormat="1" ht="15" customHeight="1">
      <c r="A87" s="105" t="s">
        <v>118</v>
      </c>
      <c r="B87" s="107" t="s">
        <v>79</v>
      </c>
      <c r="C87" s="107"/>
      <c r="D87" s="107"/>
      <c r="E87" s="69"/>
      <c r="F87" s="64" t="s">
        <v>87</v>
      </c>
      <c r="G87" s="69"/>
      <c r="H87" s="42"/>
      <c r="I87" s="42"/>
      <c r="J87" s="42"/>
      <c r="K87" s="42"/>
      <c r="L87" s="39" t="s">
        <v>191</v>
      </c>
      <c r="M87" s="69"/>
      <c r="N87" s="78"/>
      <c r="O87" s="69"/>
      <c r="P87" s="69"/>
      <c r="Q87" s="74"/>
      <c r="R87" s="74"/>
      <c r="S87" s="74"/>
    </row>
    <row r="88" spans="1:19" s="31" customFormat="1" ht="15" customHeight="1">
      <c r="A88" s="105"/>
      <c r="B88" s="112" t="s">
        <v>81</v>
      </c>
      <c r="C88" s="112"/>
      <c r="D88" s="112"/>
      <c r="E88" s="67"/>
      <c r="F88" s="67"/>
      <c r="G88" s="69"/>
      <c r="H88" s="38" t="s">
        <v>197</v>
      </c>
      <c r="I88" s="40"/>
      <c r="J88" s="40"/>
      <c r="K88" s="40"/>
      <c r="L88" s="40"/>
      <c r="M88" s="78"/>
      <c r="N88" s="67"/>
      <c r="O88" s="69"/>
      <c r="P88" s="69"/>
      <c r="Q88" s="74"/>
      <c r="R88" s="74"/>
      <c r="S88" s="74"/>
    </row>
    <row r="89" spans="1:19" s="31" customFormat="1" ht="15" customHeight="1">
      <c r="A89" s="113"/>
      <c r="B89" s="107" t="s">
        <v>166</v>
      </c>
      <c r="C89" s="107"/>
      <c r="D89" s="107"/>
      <c r="E89" s="42"/>
      <c r="F89" s="42"/>
      <c r="G89" s="67"/>
      <c r="H89" s="67"/>
      <c r="I89" s="67"/>
      <c r="J89" s="67"/>
      <c r="K89" s="39" t="s">
        <v>192</v>
      </c>
      <c r="L89" s="42"/>
      <c r="M89" s="78"/>
      <c r="N89" s="42"/>
      <c r="O89" s="69"/>
      <c r="P89" s="69"/>
      <c r="Q89" s="74"/>
      <c r="R89" s="74"/>
      <c r="S89" s="74"/>
    </row>
    <row r="90" spans="1:19" s="31" customFormat="1" ht="15" customHeight="1">
      <c r="O90" s="73"/>
      <c r="P90" s="74"/>
      <c r="Q90" s="74"/>
      <c r="R90" s="74"/>
      <c r="S90" s="74"/>
    </row>
    <row r="91" spans="1:19" s="1" customFormat="1">
      <c r="Q91" s="81"/>
      <c r="R91" s="81"/>
      <c r="S91" s="81"/>
    </row>
    <row r="92" spans="1:19" s="1" customFormat="1" ht="16.5">
      <c r="A92" s="82"/>
      <c r="B92" s="51" t="s">
        <v>173</v>
      </c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1"/>
    </row>
    <row r="93" spans="1:19" s="1" customFormat="1">
      <c r="B93" s="104" t="s">
        <v>68</v>
      </c>
      <c r="C93" s="104"/>
      <c r="D93" s="104"/>
      <c r="E93" s="83" t="s">
        <v>93</v>
      </c>
      <c r="F93" s="83" t="s">
        <v>94</v>
      </c>
      <c r="G93" s="83" t="s">
        <v>162</v>
      </c>
      <c r="H93" s="83" t="s">
        <v>163</v>
      </c>
      <c r="I93" s="83" t="s">
        <v>164</v>
      </c>
      <c r="J93" s="80" t="s">
        <v>165</v>
      </c>
      <c r="K93" s="83" t="s">
        <v>169</v>
      </c>
      <c r="L93" s="83" t="s">
        <v>170</v>
      </c>
      <c r="M93" s="84" t="s">
        <v>193</v>
      </c>
      <c r="N93" s="84" t="s">
        <v>194</v>
      </c>
      <c r="O93" s="84" t="s">
        <v>195</v>
      </c>
      <c r="P93" s="84" t="s">
        <v>196</v>
      </c>
    </row>
    <row r="94" spans="1:19" s="1" customFormat="1">
      <c r="A94" s="105" t="s">
        <v>118</v>
      </c>
      <c r="B94" s="107" t="s">
        <v>80</v>
      </c>
      <c r="C94" s="107"/>
      <c r="D94" s="107"/>
      <c r="E94" s="69"/>
      <c r="F94" s="64" t="s">
        <v>88</v>
      </c>
      <c r="G94" s="69"/>
      <c r="H94" s="69"/>
      <c r="I94" s="69"/>
      <c r="J94" s="69"/>
      <c r="K94" s="69"/>
      <c r="L94" s="69"/>
      <c r="M94" s="69"/>
      <c r="N94" s="65" t="s">
        <v>183</v>
      </c>
      <c r="O94" s="69"/>
      <c r="P94" s="69"/>
    </row>
    <row r="95" spans="1:19" s="31" customFormat="1">
      <c r="A95" s="105"/>
      <c r="B95" s="108" t="s">
        <v>185</v>
      </c>
      <c r="C95" s="108"/>
      <c r="D95" s="108"/>
      <c r="E95" s="69"/>
      <c r="F95" s="69"/>
      <c r="G95" s="69"/>
      <c r="H95" s="40" t="s">
        <v>181</v>
      </c>
      <c r="I95" s="40"/>
      <c r="J95" s="40"/>
      <c r="K95" s="40"/>
      <c r="L95" s="40"/>
      <c r="M95" s="40"/>
      <c r="N95" s="69"/>
      <c r="O95" s="69"/>
      <c r="P95" s="69"/>
    </row>
    <row r="96" spans="1:19" s="31" customFormat="1">
      <c r="A96" s="106"/>
      <c r="B96" s="107" t="s">
        <v>184</v>
      </c>
      <c r="C96" s="107"/>
      <c r="D96" s="107"/>
      <c r="E96" s="69"/>
      <c r="F96" s="69"/>
      <c r="G96" s="69"/>
      <c r="H96" s="69"/>
      <c r="I96" s="69"/>
      <c r="J96" s="69"/>
      <c r="K96" s="69"/>
      <c r="L96" s="69"/>
      <c r="M96" s="65" t="s">
        <v>182</v>
      </c>
      <c r="N96" s="69"/>
      <c r="O96" s="69"/>
      <c r="P96" s="69"/>
    </row>
  </sheetData>
  <mergeCells count="44">
    <mergeCell ref="B88:D88"/>
    <mergeCell ref="A76:A80"/>
    <mergeCell ref="A87:A89"/>
    <mergeCell ref="B79:D79"/>
    <mergeCell ref="B80:D80"/>
    <mergeCell ref="B89:D89"/>
    <mergeCell ref="B76:D76"/>
    <mergeCell ref="B77:D77"/>
    <mergeCell ref="B78:D78"/>
    <mergeCell ref="B87:D87"/>
    <mergeCell ref="B86:D86"/>
    <mergeCell ref="B56:B57"/>
    <mergeCell ref="D56:M56"/>
    <mergeCell ref="D57:M57"/>
    <mergeCell ref="D58:M58"/>
    <mergeCell ref="A81:A82"/>
    <mergeCell ref="B81:D81"/>
    <mergeCell ref="B82:D82"/>
    <mergeCell ref="J38:M38"/>
    <mergeCell ref="B39:B40"/>
    <mergeCell ref="D39:M39"/>
    <mergeCell ref="D40:M40"/>
    <mergeCell ref="D41:M41"/>
    <mergeCell ref="J42:M42"/>
    <mergeCell ref="B74:D74"/>
    <mergeCell ref="B73:D73"/>
    <mergeCell ref="B75:D75"/>
    <mergeCell ref="B43:B44"/>
    <mergeCell ref="D43:I43"/>
    <mergeCell ref="D44:I44"/>
    <mergeCell ref="C46:C50"/>
    <mergeCell ref="B47:B50"/>
    <mergeCell ref="J59:M59"/>
    <mergeCell ref="B60:B61"/>
    <mergeCell ref="D60:I60"/>
    <mergeCell ref="D61:I61"/>
    <mergeCell ref="C63:C67"/>
    <mergeCell ref="B64:B67"/>
    <mergeCell ref="J55:M55"/>
    <mergeCell ref="B93:D93"/>
    <mergeCell ref="A94:A96"/>
    <mergeCell ref="B94:D94"/>
    <mergeCell ref="B95:D95"/>
    <mergeCell ref="B96:D9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7C1D-87EB-4FE9-A9B1-8D18268FB468}">
  <dimension ref="A1:S97"/>
  <sheetViews>
    <sheetView topLeftCell="A25" workbookViewId="0">
      <selection activeCell="F31" sqref="F31"/>
    </sheetView>
  </sheetViews>
  <sheetFormatPr defaultRowHeight="15.75"/>
  <cols>
    <col min="1" max="1" width="4.5703125" customWidth="1"/>
    <col min="2" max="2" width="14.42578125" bestFit="1" customWidth="1"/>
    <col min="3" max="27" width="11.7109375" customWidth="1"/>
  </cols>
  <sheetData>
    <row r="1" spans="1:12" s="45" customFormat="1" ht="18">
      <c r="B1" s="46" t="s">
        <v>98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s="1" customFormat="1"/>
    <row r="3" spans="1:12" s="31" customFormat="1" ht="18">
      <c r="A3" s="1"/>
      <c r="B3" s="63" t="s">
        <v>205</v>
      </c>
    </row>
    <row r="4" spans="1:12" s="1" customFormat="1" ht="16.5">
      <c r="A4" s="31"/>
      <c r="B4" s="47" t="s">
        <v>96</v>
      </c>
    </row>
    <row r="5" spans="1:12" s="1" customFormat="1" ht="16.5">
      <c r="A5" s="31"/>
      <c r="B5" s="47" t="s">
        <v>97</v>
      </c>
    </row>
    <row r="6" spans="1:12" ht="16.5">
      <c r="A6" s="31"/>
      <c r="B6" s="31"/>
      <c r="H6" s="49"/>
    </row>
    <row r="7" spans="1:12" s="31" customFormat="1" ht="16.5">
      <c r="B7" s="72" t="s">
        <v>203</v>
      </c>
      <c r="H7" s="49"/>
    </row>
    <row r="8" spans="1:12" s="31" customFormat="1" ht="16.5">
      <c r="B8" s="57" t="s">
        <v>204</v>
      </c>
      <c r="H8" s="49"/>
    </row>
    <row r="9" spans="1:12" s="31" customFormat="1" ht="16.5">
      <c r="B9" s="57" t="s">
        <v>123</v>
      </c>
      <c r="H9" s="49"/>
    </row>
    <row r="10" spans="1:12" s="31" customFormat="1" ht="16.5">
      <c r="B10" s="57"/>
      <c r="H10" s="49"/>
    </row>
    <row r="11" spans="1:12" s="31" customFormat="1" ht="17.25">
      <c r="B11" s="86" t="s">
        <v>201</v>
      </c>
      <c r="H11" s="49"/>
    </row>
    <row r="12" spans="1:12" s="31" customFormat="1" ht="16.5">
      <c r="B12" s="48" t="s">
        <v>102</v>
      </c>
      <c r="C12" s="61" t="s">
        <v>116</v>
      </c>
      <c r="D12" s="57"/>
      <c r="E12" s="48"/>
      <c r="G12" s="48" t="s">
        <v>125</v>
      </c>
      <c r="H12" s="49"/>
    </row>
    <row r="13" spans="1:12" s="31" customFormat="1" ht="16.5">
      <c r="B13" s="50" t="s">
        <v>64</v>
      </c>
      <c r="C13" s="62" t="s">
        <v>95</v>
      </c>
      <c r="D13" s="59" t="s">
        <v>126</v>
      </c>
      <c r="E13" s="48"/>
      <c r="G13" s="47" t="s">
        <v>121</v>
      </c>
      <c r="H13" s="49"/>
    </row>
    <row r="14" spans="1:12" s="31" customFormat="1" ht="16.5">
      <c r="B14" s="50" t="s">
        <v>47</v>
      </c>
      <c r="C14" s="62" t="s">
        <v>117</v>
      </c>
      <c r="D14" s="57" t="s">
        <v>126</v>
      </c>
      <c r="E14" s="48"/>
      <c r="G14" s="47" t="s">
        <v>149</v>
      </c>
      <c r="H14" s="49"/>
    </row>
    <row r="15" spans="1:12" s="31" customFormat="1" ht="16.5">
      <c r="B15" s="50" t="s">
        <v>63</v>
      </c>
      <c r="C15" s="62" t="s">
        <v>118</v>
      </c>
      <c r="D15" s="57" t="s">
        <v>126</v>
      </c>
      <c r="E15" s="48"/>
      <c r="G15" s="47" t="s">
        <v>133</v>
      </c>
      <c r="H15" s="49"/>
    </row>
    <row r="16" spans="1:12" s="31" customFormat="1" ht="16.5">
      <c r="B16" s="50" t="s">
        <v>54</v>
      </c>
      <c r="C16" s="62" t="s">
        <v>119</v>
      </c>
      <c r="D16" s="57" t="s">
        <v>126</v>
      </c>
      <c r="E16" s="48"/>
      <c r="G16" s="47" t="s">
        <v>122</v>
      </c>
      <c r="H16" s="49"/>
    </row>
    <row r="17" spans="2:8" s="31" customFormat="1" ht="16.5">
      <c r="B17" s="50" t="s">
        <v>60</v>
      </c>
      <c r="C17" s="83" t="s">
        <v>120</v>
      </c>
      <c r="D17" s="57" t="s">
        <v>126</v>
      </c>
      <c r="G17" s="47" t="s">
        <v>150</v>
      </c>
      <c r="H17" s="49"/>
    </row>
    <row r="18" spans="2:8" s="31" customFormat="1" ht="16.5">
      <c r="B18" s="57"/>
      <c r="C18" s="71"/>
      <c r="D18" s="57"/>
      <c r="F18" s="47"/>
      <c r="H18" s="49"/>
    </row>
    <row r="19" spans="2:8" s="31" customFormat="1" ht="16.5">
      <c r="B19" s="57"/>
      <c r="C19" s="71"/>
      <c r="D19" s="57"/>
      <c r="F19" s="47"/>
      <c r="H19" s="49"/>
    </row>
    <row r="20" spans="2:8" s="31" customFormat="1" ht="17.25">
      <c r="B20" s="58" t="s">
        <v>202</v>
      </c>
      <c r="H20" s="49"/>
    </row>
    <row r="21" spans="2:8" s="47" customFormat="1" ht="16.5">
      <c r="B21" s="72" t="s">
        <v>186</v>
      </c>
      <c r="H21" s="49"/>
    </row>
    <row r="22" spans="2:8" s="47" customFormat="1" ht="16.5">
      <c r="B22" s="47" t="s">
        <v>102</v>
      </c>
      <c r="C22" s="47" t="s">
        <v>103</v>
      </c>
      <c r="D22" s="47" t="s">
        <v>104</v>
      </c>
    </row>
    <row r="23" spans="2:8" s="47" customFormat="1" ht="16.5">
      <c r="B23" s="50" t="s">
        <v>71</v>
      </c>
      <c r="C23" s="50" t="s">
        <v>105</v>
      </c>
      <c r="D23" s="50" t="s">
        <v>152</v>
      </c>
    </row>
    <row r="24" spans="2:8" s="47" customFormat="1" ht="16.5">
      <c r="B24" s="50" t="s">
        <v>33</v>
      </c>
      <c r="C24" s="50" t="s">
        <v>106</v>
      </c>
      <c r="D24" s="50" t="s">
        <v>105</v>
      </c>
    </row>
    <row r="25" spans="2:8" s="47" customFormat="1" ht="16.5">
      <c r="B25" s="50" t="s">
        <v>59</v>
      </c>
      <c r="C25" s="50" t="s">
        <v>109</v>
      </c>
      <c r="D25" s="50" t="s">
        <v>106</v>
      </c>
    </row>
    <row r="26" spans="2:8" s="47" customFormat="1" ht="16.5"/>
    <row r="27" spans="2:8" s="47" customFormat="1" ht="16.5">
      <c r="B27" s="72" t="s">
        <v>187</v>
      </c>
      <c r="C27" s="57"/>
      <c r="D27" s="57"/>
    </row>
    <row r="28" spans="2:8" s="47" customFormat="1" ht="16.5">
      <c r="B28" s="47" t="s">
        <v>102</v>
      </c>
      <c r="C28" s="47" t="s">
        <v>103</v>
      </c>
      <c r="D28" s="47" t="s">
        <v>104</v>
      </c>
    </row>
    <row r="29" spans="2:8" s="48" customFormat="1" ht="16.5">
      <c r="B29" s="50" t="s">
        <v>73</v>
      </c>
      <c r="C29" s="50" t="s">
        <v>107</v>
      </c>
      <c r="D29" s="50" t="s">
        <v>153</v>
      </c>
    </row>
    <row r="30" spans="2:8" s="48" customFormat="1" ht="16.5">
      <c r="B30" s="50" t="s">
        <v>71</v>
      </c>
      <c r="C30" s="50" t="s">
        <v>152</v>
      </c>
      <c r="D30" s="50" t="s">
        <v>107</v>
      </c>
    </row>
    <row r="31" spans="2:8" s="48" customFormat="1" ht="16.5"/>
    <row r="32" spans="2:8" s="48" customFormat="1" ht="16.5">
      <c r="B32" s="72" t="s">
        <v>188</v>
      </c>
    </row>
    <row r="33" spans="2:13" s="48" customFormat="1" ht="16.5">
      <c r="B33" s="50" t="s">
        <v>74</v>
      </c>
      <c r="C33" s="50" t="s">
        <v>108</v>
      </c>
      <c r="D33" s="87" t="s">
        <v>206</v>
      </c>
    </row>
    <row r="34" spans="2:13" s="48" customFormat="1" ht="16.5">
      <c r="B34" s="50" t="s">
        <v>73</v>
      </c>
      <c r="C34" s="50" t="s">
        <v>153</v>
      </c>
      <c r="D34" s="50" t="s">
        <v>108</v>
      </c>
    </row>
    <row r="35" spans="2:13" s="48" customFormat="1" ht="16.5"/>
    <row r="36" spans="2:13" s="31" customFormat="1" ht="16.5">
      <c r="B36" s="57"/>
    </row>
    <row r="37" spans="2:13" s="1" customFormat="1">
      <c r="B37" s="1" t="s">
        <v>114</v>
      </c>
    </row>
    <row r="38" spans="2:13" ht="16.5">
      <c r="B38" s="2"/>
      <c r="C38" s="77" t="s">
        <v>0</v>
      </c>
      <c r="D38" s="77" t="s">
        <v>1</v>
      </c>
      <c r="E38" s="77" t="s">
        <v>2</v>
      </c>
      <c r="F38" s="77" t="s">
        <v>3</v>
      </c>
      <c r="G38" s="77" t="s">
        <v>4</v>
      </c>
      <c r="H38" s="77" t="s">
        <v>5</v>
      </c>
      <c r="I38" s="77" t="s">
        <v>6</v>
      </c>
      <c r="J38" s="88" t="s">
        <v>7</v>
      </c>
      <c r="K38" s="88"/>
      <c r="L38" s="88"/>
      <c r="M38" s="88"/>
    </row>
    <row r="39" spans="2:13" ht="16.5">
      <c r="B39" s="95" t="s">
        <v>8</v>
      </c>
      <c r="C39" s="76" t="s">
        <v>9</v>
      </c>
      <c r="D39" s="101" t="s">
        <v>10</v>
      </c>
      <c r="E39" s="102"/>
      <c r="F39" s="102"/>
      <c r="G39" s="102"/>
      <c r="H39" s="102"/>
      <c r="I39" s="102"/>
      <c r="J39" s="102"/>
      <c r="K39" s="102"/>
      <c r="L39" s="102"/>
      <c r="M39" s="103"/>
    </row>
    <row r="40" spans="2:13" ht="16.5">
      <c r="B40" s="96"/>
      <c r="C40" s="5" t="s">
        <v>11</v>
      </c>
      <c r="D40" s="101" t="s">
        <v>12</v>
      </c>
      <c r="E40" s="102"/>
      <c r="F40" s="102"/>
      <c r="G40" s="102"/>
      <c r="H40" s="102"/>
      <c r="I40" s="102"/>
      <c r="J40" s="102"/>
      <c r="K40" s="102"/>
      <c r="L40" s="102"/>
      <c r="M40" s="103"/>
    </row>
    <row r="41" spans="2:13" ht="16.5">
      <c r="B41" s="76" t="s">
        <v>13</v>
      </c>
      <c r="C41" s="76" t="s">
        <v>14</v>
      </c>
      <c r="D41" s="101" t="s">
        <v>15</v>
      </c>
      <c r="E41" s="102"/>
      <c r="F41" s="102"/>
      <c r="G41" s="102"/>
      <c r="H41" s="102"/>
      <c r="I41" s="102"/>
      <c r="J41" s="102"/>
      <c r="K41" s="102"/>
      <c r="L41" s="102"/>
      <c r="M41" s="103"/>
    </row>
    <row r="42" spans="2:13" ht="16.5">
      <c r="B42" s="76" t="s">
        <v>16</v>
      </c>
      <c r="C42" s="76" t="s">
        <v>17</v>
      </c>
      <c r="D42" s="5" t="s">
        <v>18</v>
      </c>
      <c r="E42" s="5" t="s">
        <v>19</v>
      </c>
      <c r="F42" s="5" t="s">
        <v>42</v>
      </c>
      <c r="G42" s="5" t="s">
        <v>20</v>
      </c>
      <c r="H42" s="5" t="s">
        <v>21</v>
      </c>
      <c r="I42" s="5" t="s">
        <v>22</v>
      </c>
      <c r="J42" s="101" t="s">
        <v>23</v>
      </c>
      <c r="K42" s="102"/>
      <c r="L42" s="102"/>
      <c r="M42" s="103"/>
    </row>
    <row r="43" spans="2:13" ht="16.5">
      <c r="B43" s="97" t="s">
        <v>38</v>
      </c>
      <c r="C43" s="6" t="s">
        <v>50</v>
      </c>
      <c r="D43" s="98" t="s">
        <v>49</v>
      </c>
      <c r="E43" s="99"/>
      <c r="F43" s="99"/>
      <c r="G43" s="99"/>
      <c r="H43" s="99"/>
      <c r="I43" s="100"/>
      <c r="J43" s="9"/>
      <c r="K43" s="10"/>
      <c r="L43" s="10"/>
      <c r="M43" s="11"/>
    </row>
    <row r="44" spans="2:13" ht="16.5" customHeight="1">
      <c r="B44" s="97"/>
      <c r="C44" s="6" t="s">
        <v>45</v>
      </c>
      <c r="D44" s="101" t="s">
        <v>46</v>
      </c>
      <c r="E44" s="102"/>
      <c r="F44" s="102"/>
      <c r="G44" s="102"/>
      <c r="H44" s="102"/>
      <c r="I44" s="103"/>
      <c r="J44" s="12"/>
      <c r="K44" s="13"/>
      <c r="L44" s="13"/>
      <c r="M44" s="14"/>
    </row>
    <row r="45" spans="2:13" ht="16.5">
      <c r="B45" s="76" t="s">
        <v>24</v>
      </c>
      <c r="C45" s="76" t="s">
        <v>25</v>
      </c>
      <c r="D45" s="5" t="s">
        <v>71</v>
      </c>
      <c r="E45" s="5" t="s">
        <v>27</v>
      </c>
      <c r="F45" s="5" t="s">
        <v>73</v>
      </c>
      <c r="G45" s="5" t="s">
        <v>29</v>
      </c>
      <c r="H45" s="5" t="s">
        <v>74</v>
      </c>
      <c r="I45" s="5" t="s">
        <v>31</v>
      </c>
      <c r="J45" s="15"/>
      <c r="K45" s="16"/>
      <c r="L45" s="16"/>
      <c r="M45" s="17"/>
    </row>
    <row r="46" spans="2:13" ht="16.5">
      <c r="B46" s="76" t="s">
        <v>32</v>
      </c>
      <c r="C46" s="89" t="s">
        <v>45</v>
      </c>
      <c r="D46" s="5" t="s">
        <v>72</v>
      </c>
      <c r="E46" s="5" t="s">
        <v>65</v>
      </c>
      <c r="F46" s="5" t="s">
        <v>34</v>
      </c>
      <c r="G46" s="5" t="s">
        <v>35</v>
      </c>
      <c r="H46" s="5" t="s">
        <v>36</v>
      </c>
      <c r="I46" s="5" t="s">
        <v>37</v>
      </c>
      <c r="J46" s="7" t="s">
        <v>39</v>
      </c>
      <c r="K46" s="5" t="s">
        <v>40</v>
      </c>
      <c r="L46" s="7" t="s">
        <v>41</v>
      </c>
      <c r="M46" s="5" t="s">
        <v>53</v>
      </c>
    </row>
    <row r="47" spans="2:13" ht="16.5">
      <c r="B47" s="92" t="s">
        <v>58</v>
      </c>
      <c r="C47" s="90"/>
      <c r="D47" s="5"/>
      <c r="E47" s="5"/>
      <c r="F47" s="5"/>
      <c r="G47" s="5"/>
      <c r="H47" s="5"/>
      <c r="I47" s="5"/>
      <c r="J47" s="5" t="s">
        <v>51</v>
      </c>
      <c r="K47" s="5" t="s">
        <v>52</v>
      </c>
      <c r="L47" s="8" t="s">
        <v>56</v>
      </c>
      <c r="M47" s="8" t="s">
        <v>54</v>
      </c>
    </row>
    <row r="48" spans="2:13" ht="16.5">
      <c r="B48" s="93"/>
      <c r="C48" s="90"/>
      <c r="D48" s="5"/>
      <c r="E48" s="5"/>
      <c r="F48" s="5"/>
      <c r="G48" s="5"/>
      <c r="H48" s="5"/>
      <c r="I48" s="5"/>
      <c r="J48" s="30" t="s">
        <v>66</v>
      </c>
      <c r="K48" s="8"/>
      <c r="L48" s="8" t="s">
        <v>48</v>
      </c>
      <c r="M48" s="8" t="s">
        <v>55</v>
      </c>
    </row>
    <row r="49" spans="2:13" ht="16.5">
      <c r="B49" s="93"/>
      <c r="C49" s="90"/>
      <c r="D49" s="5"/>
      <c r="E49" s="5"/>
      <c r="F49" s="5"/>
      <c r="G49" s="5"/>
      <c r="H49" s="5"/>
      <c r="I49" s="5"/>
      <c r="J49" s="5"/>
      <c r="K49" s="8"/>
      <c r="L49" s="8" t="s">
        <v>57</v>
      </c>
      <c r="M49" s="8"/>
    </row>
    <row r="50" spans="2:13" ht="16.5">
      <c r="B50" s="94"/>
      <c r="C50" s="91"/>
      <c r="D50" s="5"/>
      <c r="E50" s="5"/>
      <c r="F50" s="5"/>
      <c r="G50" s="5"/>
      <c r="H50" s="5"/>
      <c r="I50" s="5"/>
      <c r="J50" s="5"/>
      <c r="K50" s="8"/>
      <c r="L50" s="8"/>
      <c r="M50" s="8"/>
    </row>
    <row r="51" spans="2:13" s="1" customFormat="1" ht="16.5">
      <c r="B51" s="22" t="s">
        <v>43</v>
      </c>
      <c r="C51" s="22" t="s">
        <v>45</v>
      </c>
      <c r="D51" s="43" t="s">
        <v>67</v>
      </c>
      <c r="E51" s="23"/>
      <c r="F51" s="43" t="s">
        <v>71</v>
      </c>
      <c r="G51" s="23"/>
      <c r="H51" s="43" t="s">
        <v>73</v>
      </c>
      <c r="I51" s="23"/>
      <c r="J51" s="23"/>
      <c r="K51" s="24"/>
      <c r="L51" s="24"/>
      <c r="M51" s="24"/>
    </row>
    <row r="55" spans="2:13" ht="16.5">
      <c r="B55" s="1" t="s">
        <v>115</v>
      </c>
    </row>
    <row r="56" spans="2:13" ht="16.5">
      <c r="B56" s="2"/>
      <c r="C56" s="77" t="s">
        <v>0</v>
      </c>
      <c r="D56" s="77" t="s">
        <v>1</v>
      </c>
      <c r="E56" s="77" t="s">
        <v>2</v>
      </c>
      <c r="F56" s="77" t="s">
        <v>3</v>
      </c>
      <c r="G56" s="77" t="s">
        <v>4</v>
      </c>
      <c r="H56" s="77" t="s">
        <v>5</v>
      </c>
      <c r="I56" s="77" t="s">
        <v>6</v>
      </c>
      <c r="J56" s="88" t="s">
        <v>7</v>
      </c>
      <c r="K56" s="88"/>
      <c r="L56" s="88"/>
      <c r="M56" s="88"/>
    </row>
    <row r="57" spans="2:13" ht="16.5">
      <c r="B57" s="95" t="s">
        <v>8</v>
      </c>
      <c r="C57" s="76" t="s">
        <v>9</v>
      </c>
      <c r="D57" s="101" t="s">
        <v>10</v>
      </c>
      <c r="E57" s="102"/>
      <c r="F57" s="102"/>
      <c r="G57" s="102"/>
      <c r="H57" s="102"/>
      <c r="I57" s="102"/>
      <c r="J57" s="102"/>
      <c r="K57" s="102"/>
      <c r="L57" s="102"/>
      <c r="M57" s="103"/>
    </row>
    <row r="58" spans="2:13" ht="16.5">
      <c r="B58" s="96"/>
      <c r="C58" s="5" t="s">
        <v>11</v>
      </c>
      <c r="D58" s="101" t="s">
        <v>12</v>
      </c>
      <c r="E58" s="102"/>
      <c r="F58" s="102"/>
      <c r="G58" s="102"/>
      <c r="H58" s="102"/>
      <c r="I58" s="102"/>
      <c r="J58" s="102"/>
      <c r="K58" s="102"/>
      <c r="L58" s="102"/>
      <c r="M58" s="103"/>
    </row>
    <row r="59" spans="2:13" ht="16.5">
      <c r="B59" s="76" t="s">
        <v>13</v>
      </c>
      <c r="C59" s="76" t="s">
        <v>14</v>
      </c>
      <c r="D59" s="101" t="s">
        <v>15</v>
      </c>
      <c r="E59" s="102"/>
      <c r="F59" s="102"/>
      <c r="G59" s="102"/>
      <c r="H59" s="102"/>
      <c r="I59" s="102"/>
      <c r="J59" s="102"/>
      <c r="K59" s="102"/>
      <c r="L59" s="102"/>
      <c r="M59" s="103"/>
    </row>
    <row r="60" spans="2:13" ht="16.5">
      <c r="B60" s="76" t="s">
        <v>16</v>
      </c>
      <c r="C60" s="76" t="s">
        <v>17</v>
      </c>
      <c r="D60" s="5" t="s">
        <v>18</v>
      </c>
      <c r="E60" s="5" t="s">
        <v>19</v>
      </c>
      <c r="F60" s="5" t="s">
        <v>42</v>
      </c>
      <c r="G60" s="5" t="s">
        <v>20</v>
      </c>
      <c r="H60" s="5" t="s">
        <v>21</v>
      </c>
      <c r="I60" s="5" t="s">
        <v>22</v>
      </c>
      <c r="J60" s="101" t="s">
        <v>23</v>
      </c>
      <c r="K60" s="102"/>
      <c r="L60" s="102"/>
      <c r="M60" s="103"/>
    </row>
    <row r="61" spans="2:13" ht="16.5">
      <c r="B61" s="97" t="s">
        <v>38</v>
      </c>
      <c r="C61" s="6" t="s">
        <v>50</v>
      </c>
      <c r="D61" s="98" t="s">
        <v>49</v>
      </c>
      <c r="E61" s="99"/>
      <c r="F61" s="99"/>
      <c r="G61" s="99"/>
      <c r="H61" s="99"/>
      <c r="I61" s="100"/>
      <c r="J61" s="9"/>
      <c r="K61" s="10"/>
      <c r="L61" s="10"/>
      <c r="M61" s="11"/>
    </row>
    <row r="62" spans="2:13" ht="16.5">
      <c r="B62" s="97"/>
      <c r="C62" s="6" t="s">
        <v>45</v>
      </c>
      <c r="D62" s="101" t="s">
        <v>46</v>
      </c>
      <c r="E62" s="102"/>
      <c r="F62" s="102"/>
      <c r="G62" s="102"/>
      <c r="H62" s="102"/>
      <c r="I62" s="103"/>
      <c r="J62" s="12"/>
      <c r="K62" s="13"/>
      <c r="L62" s="13"/>
      <c r="M62" s="14"/>
    </row>
    <row r="63" spans="2:13" ht="16.5">
      <c r="B63" s="76" t="s">
        <v>24</v>
      </c>
      <c r="C63" s="76" t="s">
        <v>25</v>
      </c>
      <c r="D63" s="25" t="s">
        <v>33</v>
      </c>
      <c r="E63" s="5" t="s">
        <v>27</v>
      </c>
      <c r="F63" s="25" t="s">
        <v>26</v>
      </c>
      <c r="G63" s="5" t="s">
        <v>29</v>
      </c>
      <c r="H63" s="25" t="s">
        <v>73</v>
      </c>
      <c r="I63" s="5" t="s">
        <v>31</v>
      </c>
      <c r="J63" s="15"/>
      <c r="K63" s="16"/>
      <c r="L63" s="16"/>
      <c r="M63" s="17"/>
    </row>
    <row r="64" spans="2:13" ht="16.5">
      <c r="B64" s="76" t="s">
        <v>32</v>
      </c>
      <c r="C64" s="89" t="s">
        <v>45</v>
      </c>
      <c r="D64" s="25" t="s">
        <v>59</v>
      </c>
      <c r="E64" s="5" t="s">
        <v>65</v>
      </c>
      <c r="F64" s="5" t="s">
        <v>34</v>
      </c>
      <c r="G64" s="5" t="s">
        <v>35</v>
      </c>
      <c r="H64" s="5" t="s">
        <v>36</v>
      </c>
      <c r="I64" s="5" t="s">
        <v>37</v>
      </c>
      <c r="J64" s="7" t="s">
        <v>39</v>
      </c>
      <c r="K64" s="5" t="s">
        <v>40</v>
      </c>
      <c r="L64" s="7" t="s">
        <v>41</v>
      </c>
      <c r="M64" s="25" t="s">
        <v>62</v>
      </c>
    </row>
    <row r="65" spans="1:19" ht="16.5">
      <c r="B65" s="92" t="s">
        <v>58</v>
      </c>
      <c r="C65" s="90"/>
      <c r="D65" s="5"/>
      <c r="E65" s="5"/>
      <c r="F65" s="5"/>
      <c r="G65" s="5"/>
      <c r="H65" s="5"/>
      <c r="I65" s="5"/>
      <c r="J65" s="5" t="s">
        <v>51</v>
      </c>
      <c r="K65" s="5" t="s">
        <v>52</v>
      </c>
      <c r="L65" s="8" t="s">
        <v>57</v>
      </c>
      <c r="M65" s="8"/>
    </row>
    <row r="66" spans="1:19" ht="16.5">
      <c r="B66" s="93"/>
      <c r="C66" s="90"/>
      <c r="D66" s="5"/>
      <c r="E66" s="5"/>
      <c r="F66" s="5"/>
      <c r="G66" s="5"/>
      <c r="H66" s="5"/>
      <c r="I66" s="5"/>
      <c r="J66" s="30" t="s">
        <v>66</v>
      </c>
      <c r="K66" s="8"/>
      <c r="L66" s="8"/>
      <c r="M66" s="8"/>
    </row>
    <row r="67" spans="1:19" ht="16.5">
      <c r="B67" s="93"/>
      <c r="C67" s="90"/>
      <c r="D67" s="5"/>
      <c r="E67" s="5"/>
      <c r="F67" s="5"/>
      <c r="G67" s="5"/>
      <c r="H67" s="5"/>
      <c r="I67" s="5"/>
      <c r="J67" s="5"/>
      <c r="K67" s="8"/>
      <c r="L67" s="8"/>
      <c r="M67" s="8"/>
    </row>
    <row r="68" spans="1:19" ht="16.5">
      <c r="B68" s="94"/>
      <c r="C68" s="91"/>
      <c r="D68" s="5"/>
      <c r="E68" s="5"/>
      <c r="F68" s="5"/>
      <c r="G68" s="5"/>
      <c r="H68" s="5"/>
      <c r="I68" s="5"/>
      <c r="J68" s="5"/>
      <c r="K68" s="8"/>
      <c r="L68" s="8"/>
      <c r="M68" s="8"/>
    </row>
    <row r="69" spans="1:19" s="1" customFormat="1" ht="16.5">
      <c r="B69" s="21" t="s">
        <v>44</v>
      </c>
      <c r="C69" s="18" t="s">
        <v>45</v>
      </c>
      <c r="D69" s="60" t="s">
        <v>64</v>
      </c>
      <c r="E69" s="60" t="s">
        <v>47</v>
      </c>
      <c r="F69" s="60" t="s">
        <v>63</v>
      </c>
      <c r="G69" s="60" t="s">
        <v>54</v>
      </c>
      <c r="H69" s="60" t="s">
        <v>60</v>
      </c>
      <c r="I69" s="19"/>
      <c r="J69" s="19"/>
      <c r="K69" s="20"/>
      <c r="L69" s="20"/>
      <c r="M69" s="20"/>
    </row>
    <row r="70" spans="1:19" s="52" customFormat="1" ht="16.5">
      <c r="B70" s="53"/>
      <c r="C70" s="54"/>
      <c r="D70" s="54"/>
      <c r="E70" s="54"/>
      <c r="F70" s="54"/>
      <c r="G70" s="54"/>
      <c r="H70" s="54"/>
      <c r="I70" s="54"/>
      <c r="J70" s="55"/>
      <c r="K70" s="56"/>
      <c r="L70" s="56"/>
      <c r="M70" s="56"/>
    </row>
    <row r="71" spans="1:19" s="1" customFormat="1"/>
    <row r="72" spans="1:19" s="1" customFormat="1" ht="17.25">
      <c r="B72" s="51" t="s">
        <v>111</v>
      </c>
    </row>
    <row r="73" spans="1:19" s="1" customFormat="1" ht="16.5">
      <c r="B73" s="72" t="s">
        <v>154</v>
      </c>
    </row>
    <row r="74" spans="1:19" s="1" customFormat="1">
      <c r="B74" s="110" t="s">
        <v>68</v>
      </c>
      <c r="C74" s="110"/>
      <c r="D74" s="110"/>
      <c r="E74" s="80" t="s">
        <v>75</v>
      </c>
      <c r="F74" s="80" t="s">
        <v>76</v>
      </c>
      <c r="G74" s="80" t="s">
        <v>77</v>
      </c>
      <c r="H74" s="80" t="s">
        <v>144</v>
      </c>
      <c r="I74" s="83" t="s">
        <v>156</v>
      </c>
      <c r="J74" s="83" t="s">
        <v>157</v>
      </c>
      <c r="K74" s="83" t="s">
        <v>89</v>
      </c>
      <c r="L74" s="83" t="s">
        <v>90</v>
      </c>
      <c r="M74" s="80" t="s">
        <v>91</v>
      </c>
      <c r="N74" s="83" t="s">
        <v>92</v>
      </c>
      <c r="O74" s="83" t="s">
        <v>93</v>
      </c>
      <c r="P74" s="83" t="s">
        <v>94</v>
      </c>
    </row>
    <row r="75" spans="1:19" s="1" customFormat="1">
      <c r="B75" s="109" t="s">
        <v>69</v>
      </c>
      <c r="C75" s="107"/>
      <c r="D75" s="107"/>
      <c r="E75" s="37" t="s">
        <v>83</v>
      </c>
      <c r="F75" s="79"/>
      <c r="G75" s="79"/>
      <c r="H75" s="79"/>
      <c r="I75" s="79"/>
      <c r="J75" s="79"/>
      <c r="K75" s="79"/>
      <c r="L75" s="79"/>
      <c r="M75" s="78"/>
      <c r="N75" s="78"/>
      <c r="O75" s="78"/>
      <c r="P75" s="78"/>
    </row>
    <row r="76" spans="1:19" s="1" customFormat="1">
      <c r="B76" s="109" t="s">
        <v>70</v>
      </c>
      <c r="C76" s="107"/>
      <c r="D76" s="107"/>
      <c r="E76" s="79"/>
      <c r="F76" s="37" t="s">
        <v>158</v>
      </c>
      <c r="G76" s="75"/>
      <c r="H76" s="79"/>
      <c r="I76" s="79"/>
      <c r="J76" s="79"/>
      <c r="K76" s="79"/>
      <c r="M76" s="78"/>
      <c r="N76" s="39" t="s">
        <v>160</v>
      </c>
      <c r="O76" s="78"/>
      <c r="P76" s="78"/>
    </row>
    <row r="77" spans="1:19" s="31" customFormat="1">
      <c r="A77" s="113" t="s">
        <v>95</v>
      </c>
      <c r="B77" s="107" t="s">
        <v>78</v>
      </c>
      <c r="C77" s="107"/>
      <c r="D77" s="107"/>
      <c r="E77" s="78"/>
      <c r="F77" s="78"/>
      <c r="G77" s="64" t="s">
        <v>84</v>
      </c>
      <c r="H77" s="78"/>
      <c r="I77" s="78"/>
      <c r="J77" s="78"/>
      <c r="K77" s="78"/>
      <c r="L77" s="78"/>
      <c r="M77" s="78"/>
      <c r="N77" s="78"/>
      <c r="O77" s="78"/>
      <c r="P77" s="78"/>
      <c r="Q77" s="1"/>
      <c r="R77" s="1"/>
      <c r="S77" s="1"/>
    </row>
    <row r="78" spans="1:19" s="31" customFormat="1">
      <c r="A78" s="106"/>
      <c r="B78" s="107" t="s">
        <v>82</v>
      </c>
      <c r="C78" s="107"/>
      <c r="D78" s="107"/>
      <c r="E78" s="78"/>
      <c r="F78" s="78"/>
      <c r="G78" s="64" t="s">
        <v>85</v>
      </c>
      <c r="H78" s="78"/>
      <c r="I78" s="78"/>
      <c r="J78" s="78"/>
      <c r="K78" s="78"/>
      <c r="L78" s="78"/>
      <c r="M78" s="65" t="s">
        <v>159</v>
      </c>
      <c r="N78" s="78"/>
      <c r="O78" s="78"/>
      <c r="P78" s="78"/>
      <c r="Q78" s="1"/>
      <c r="R78" s="1"/>
      <c r="S78" s="1"/>
    </row>
    <row r="79" spans="1:19" s="31" customFormat="1">
      <c r="A79" s="106"/>
      <c r="B79" s="107" t="s">
        <v>141</v>
      </c>
      <c r="C79" s="107"/>
      <c r="D79" s="107"/>
      <c r="E79" s="78"/>
      <c r="F79" s="78"/>
      <c r="G79" s="64" t="s">
        <v>86</v>
      </c>
      <c r="H79" s="78"/>
      <c r="I79" s="78"/>
      <c r="J79" s="78"/>
      <c r="K79" s="78"/>
      <c r="L79" s="78"/>
      <c r="M79" s="65" t="s">
        <v>159</v>
      </c>
      <c r="N79" s="78"/>
      <c r="O79" s="78"/>
      <c r="P79" s="78"/>
      <c r="Q79" s="1"/>
      <c r="R79" s="1"/>
      <c r="S79" s="1"/>
    </row>
    <row r="80" spans="1:19" s="31" customFormat="1" ht="15" customHeight="1">
      <c r="A80" s="106"/>
      <c r="B80" s="108" t="s">
        <v>142</v>
      </c>
      <c r="C80" s="108"/>
      <c r="D80" s="108"/>
      <c r="E80" s="78"/>
      <c r="F80" s="78"/>
      <c r="G80" s="78"/>
      <c r="H80" s="38" t="s">
        <v>167</v>
      </c>
      <c r="I80" s="40"/>
      <c r="J80" s="40"/>
      <c r="K80" s="40"/>
      <c r="L80" s="40"/>
      <c r="M80" s="40"/>
      <c r="N80" s="40"/>
      <c r="O80" s="78"/>
      <c r="P80" s="78"/>
      <c r="Q80" s="1"/>
      <c r="R80" s="1"/>
      <c r="S80" s="1"/>
    </row>
    <row r="81" spans="1:19" s="31" customFormat="1" ht="15" customHeight="1">
      <c r="A81" s="106"/>
      <c r="B81" s="108" t="s">
        <v>143</v>
      </c>
      <c r="C81" s="108"/>
      <c r="D81" s="108"/>
      <c r="E81" s="78"/>
      <c r="F81" s="78"/>
      <c r="G81" s="78"/>
      <c r="H81" s="38" t="s">
        <v>167</v>
      </c>
      <c r="I81" s="40"/>
      <c r="J81" s="40"/>
      <c r="K81" s="40"/>
      <c r="L81" s="40"/>
      <c r="M81" s="40"/>
      <c r="N81" s="40"/>
      <c r="O81" s="78"/>
      <c r="P81" s="78"/>
      <c r="Q81" s="1"/>
      <c r="R81" s="1"/>
      <c r="S81" s="1"/>
    </row>
    <row r="82" spans="1:19" s="31" customFormat="1" ht="15" customHeight="1">
      <c r="A82" s="111" t="s">
        <v>140</v>
      </c>
      <c r="B82" s="114" t="s">
        <v>198</v>
      </c>
      <c r="C82" s="115"/>
      <c r="D82" s="116"/>
      <c r="E82" s="78"/>
      <c r="F82" s="78"/>
      <c r="G82" s="78"/>
      <c r="H82" s="66" t="s">
        <v>200</v>
      </c>
      <c r="I82" s="78"/>
      <c r="J82" s="39" t="s">
        <v>148</v>
      </c>
      <c r="K82" s="78"/>
      <c r="L82" s="78"/>
      <c r="M82" s="78"/>
      <c r="N82" s="78"/>
      <c r="O82" s="78"/>
      <c r="P82" s="78"/>
      <c r="Q82" s="1"/>
      <c r="R82" s="1"/>
      <c r="S82" s="1"/>
    </row>
    <row r="83" spans="1:19" s="31" customFormat="1" ht="15" customHeight="1">
      <c r="A83" s="111"/>
      <c r="B83" s="117"/>
      <c r="C83" s="118"/>
      <c r="D83" s="119"/>
      <c r="E83" s="78"/>
      <c r="F83" s="78"/>
      <c r="G83" s="78"/>
      <c r="H83" s="85" t="s">
        <v>199</v>
      </c>
      <c r="I83" s="78"/>
      <c r="J83" s="65" t="s">
        <v>147</v>
      </c>
      <c r="K83" s="78"/>
      <c r="L83" s="78"/>
      <c r="M83" s="78"/>
      <c r="N83" s="78"/>
      <c r="O83" s="78"/>
      <c r="P83" s="78"/>
      <c r="Q83" s="1"/>
      <c r="R83" s="1"/>
      <c r="S83" s="1"/>
    </row>
    <row r="84" spans="1:19" s="31" customFormat="1" ht="1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4"/>
      <c r="Q84" s="1"/>
      <c r="R84" s="1"/>
      <c r="S84" s="1"/>
    </row>
    <row r="85" spans="1:19" s="31" customFormat="1" ht="1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4"/>
      <c r="Q85" s="1"/>
      <c r="R85" s="1"/>
      <c r="S85" s="1"/>
    </row>
    <row r="86" spans="1:19" s="31" customFormat="1" ht="15" customHeight="1">
      <c r="A86" s="73"/>
      <c r="B86" s="72" t="s">
        <v>155</v>
      </c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4"/>
      <c r="Q86" s="74"/>
      <c r="R86" s="74"/>
      <c r="S86" s="74"/>
    </row>
    <row r="87" spans="1:19" s="1" customFormat="1" ht="15" customHeight="1">
      <c r="B87" s="110" t="s">
        <v>68</v>
      </c>
      <c r="C87" s="110"/>
      <c r="D87" s="110"/>
      <c r="E87" s="83" t="s">
        <v>161</v>
      </c>
      <c r="F87" s="83" t="s">
        <v>90</v>
      </c>
      <c r="G87" s="83" t="s">
        <v>91</v>
      </c>
      <c r="H87" s="83" t="s">
        <v>92</v>
      </c>
      <c r="I87" s="83" t="s">
        <v>93</v>
      </c>
      <c r="J87" s="83" t="s">
        <v>94</v>
      </c>
      <c r="K87" s="83" t="s">
        <v>162</v>
      </c>
      <c r="L87" s="83" t="s">
        <v>163</v>
      </c>
      <c r="M87" s="83" t="s">
        <v>164</v>
      </c>
      <c r="N87" s="80" t="s">
        <v>165</v>
      </c>
      <c r="O87" s="83" t="s">
        <v>169</v>
      </c>
      <c r="P87" s="83" t="s">
        <v>170</v>
      </c>
      <c r="Q87" s="74"/>
      <c r="R87" s="74"/>
      <c r="S87" s="74"/>
    </row>
    <row r="88" spans="1:19" s="31" customFormat="1" ht="15" customHeight="1">
      <c r="A88" s="105" t="s">
        <v>118</v>
      </c>
      <c r="B88" s="107" t="s">
        <v>79</v>
      </c>
      <c r="C88" s="107"/>
      <c r="D88" s="107"/>
      <c r="E88" s="78"/>
      <c r="F88" s="64" t="s">
        <v>87</v>
      </c>
      <c r="G88" s="78"/>
      <c r="H88" s="78"/>
      <c r="I88" s="78"/>
      <c r="J88" s="78"/>
      <c r="K88" s="78"/>
      <c r="L88" s="78"/>
      <c r="M88" s="78"/>
      <c r="N88" s="39" t="s">
        <v>171</v>
      </c>
      <c r="O88" s="78"/>
      <c r="P88" s="78"/>
      <c r="Q88" s="74"/>
      <c r="R88" s="74"/>
      <c r="S88" s="74"/>
    </row>
    <row r="89" spans="1:19" s="31" customFormat="1" ht="15" customHeight="1">
      <c r="A89" s="105"/>
      <c r="B89" s="112" t="s">
        <v>81</v>
      </c>
      <c r="C89" s="112"/>
      <c r="D89" s="112"/>
      <c r="E89" s="78"/>
      <c r="F89" s="78"/>
      <c r="G89" s="78"/>
      <c r="H89" s="38" t="s">
        <v>168</v>
      </c>
      <c r="I89" s="40"/>
      <c r="J89" s="40"/>
      <c r="K89" s="40"/>
      <c r="L89" s="40"/>
      <c r="M89" s="40"/>
      <c r="N89" s="78"/>
      <c r="O89" s="78"/>
      <c r="P89" s="78"/>
      <c r="Q89" s="74"/>
      <c r="R89" s="74"/>
      <c r="S89" s="74"/>
    </row>
    <row r="90" spans="1:19" s="31" customFormat="1" ht="15" customHeight="1">
      <c r="A90" s="113"/>
      <c r="B90" s="107" t="s">
        <v>166</v>
      </c>
      <c r="C90" s="107"/>
      <c r="D90" s="107"/>
      <c r="E90" s="78"/>
      <c r="F90" s="78"/>
      <c r="G90" s="78"/>
      <c r="H90" s="78"/>
      <c r="I90" s="78"/>
      <c r="J90" s="78"/>
      <c r="K90" s="78"/>
      <c r="L90" s="78"/>
      <c r="M90" s="39" t="s">
        <v>172</v>
      </c>
      <c r="N90" s="78"/>
      <c r="O90" s="78"/>
      <c r="P90" s="78"/>
      <c r="Q90" s="74"/>
      <c r="R90" s="74"/>
      <c r="S90" s="74"/>
    </row>
    <row r="91" spans="1:19" s="31" customFormat="1" ht="15" customHeight="1">
      <c r="O91" s="73"/>
      <c r="P91" s="74"/>
      <c r="Q91" s="74"/>
      <c r="R91" s="74"/>
      <c r="S91" s="74"/>
    </row>
    <row r="92" spans="1:19" s="1" customFormat="1">
      <c r="Q92" s="81"/>
      <c r="R92" s="81"/>
      <c r="S92" s="81"/>
    </row>
    <row r="93" spans="1:19" s="1" customFormat="1" ht="16.5">
      <c r="A93" s="82"/>
      <c r="B93" s="51" t="s">
        <v>173</v>
      </c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1"/>
    </row>
    <row r="94" spans="1:19" s="1" customFormat="1">
      <c r="B94" s="104" t="s">
        <v>68</v>
      </c>
      <c r="C94" s="104"/>
      <c r="D94" s="104"/>
      <c r="E94" s="83" t="s">
        <v>174</v>
      </c>
      <c r="F94" s="83" t="s">
        <v>163</v>
      </c>
      <c r="G94" s="83" t="s">
        <v>164</v>
      </c>
      <c r="H94" s="83" t="s">
        <v>165</v>
      </c>
      <c r="I94" s="83" t="s">
        <v>169</v>
      </c>
      <c r="J94" s="83" t="s">
        <v>170</v>
      </c>
      <c r="K94" s="83" t="s">
        <v>175</v>
      </c>
      <c r="L94" s="83" t="s">
        <v>176</v>
      </c>
      <c r="M94" s="83" t="s">
        <v>177</v>
      </c>
      <c r="N94" s="83" t="s">
        <v>178</v>
      </c>
      <c r="O94" s="83" t="s">
        <v>179</v>
      </c>
      <c r="P94" s="83" t="s">
        <v>180</v>
      </c>
    </row>
    <row r="95" spans="1:19" s="1" customFormat="1">
      <c r="A95" s="105" t="s">
        <v>118</v>
      </c>
      <c r="B95" s="107" t="s">
        <v>80</v>
      </c>
      <c r="C95" s="107"/>
      <c r="D95" s="107"/>
      <c r="E95" s="78"/>
      <c r="F95" s="64" t="s">
        <v>88</v>
      </c>
      <c r="G95" s="78"/>
      <c r="H95" s="78"/>
      <c r="I95" s="78"/>
      <c r="J95" s="78"/>
      <c r="K95" s="78"/>
      <c r="L95" s="78"/>
      <c r="M95" s="78"/>
      <c r="N95" s="65" t="s">
        <v>183</v>
      </c>
      <c r="O95" s="78"/>
      <c r="P95" s="78"/>
    </row>
    <row r="96" spans="1:19" s="31" customFormat="1">
      <c r="A96" s="105"/>
      <c r="B96" s="108" t="s">
        <v>185</v>
      </c>
      <c r="C96" s="108"/>
      <c r="D96" s="108"/>
      <c r="E96" s="78"/>
      <c r="F96" s="78"/>
      <c r="G96" s="78"/>
      <c r="H96" s="40" t="s">
        <v>181</v>
      </c>
      <c r="I96" s="40"/>
      <c r="J96" s="40"/>
      <c r="K96" s="40"/>
      <c r="L96" s="40"/>
      <c r="M96" s="40"/>
      <c r="N96" s="78"/>
      <c r="O96" s="78"/>
      <c r="P96" s="78"/>
    </row>
    <row r="97" spans="1:16" s="31" customFormat="1">
      <c r="A97" s="106"/>
      <c r="B97" s="107" t="s">
        <v>184</v>
      </c>
      <c r="C97" s="107"/>
      <c r="D97" s="107"/>
      <c r="E97" s="78"/>
      <c r="F97" s="78"/>
      <c r="G97" s="78"/>
      <c r="H97" s="78"/>
      <c r="I97" s="78"/>
      <c r="J97" s="78"/>
      <c r="K97" s="78"/>
      <c r="L97" s="78"/>
      <c r="M97" s="65" t="s">
        <v>182</v>
      </c>
      <c r="N97" s="78"/>
      <c r="O97" s="78"/>
      <c r="P97" s="78"/>
    </row>
  </sheetData>
  <mergeCells count="43">
    <mergeCell ref="B94:D94"/>
    <mergeCell ref="A95:A97"/>
    <mergeCell ref="B95:D95"/>
    <mergeCell ref="B96:D96"/>
    <mergeCell ref="B97:D97"/>
    <mergeCell ref="B82:D83"/>
    <mergeCell ref="B81:D81"/>
    <mergeCell ref="A82:A83"/>
    <mergeCell ref="B87:D87"/>
    <mergeCell ref="A88:A90"/>
    <mergeCell ref="B88:D88"/>
    <mergeCell ref="B89:D89"/>
    <mergeCell ref="B90:D90"/>
    <mergeCell ref="A77:A81"/>
    <mergeCell ref="B77:D77"/>
    <mergeCell ref="B78:D78"/>
    <mergeCell ref="B79:D79"/>
    <mergeCell ref="B80:D80"/>
    <mergeCell ref="C64:C68"/>
    <mergeCell ref="B65:B68"/>
    <mergeCell ref="B74:D74"/>
    <mergeCell ref="B75:D75"/>
    <mergeCell ref="B76:D76"/>
    <mergeCell ref="B61:B62"/>
    <mergeCell ref="D61:I61"/>
    <mergeCell ref="D62:I62"/>
    <mergeCell ref="B43:B44"/>
    <mergeCell ref="D43:I43"/>
    <mergeCell ref="D44:I44"/>
    <mergeCell ref="C46:C50"/>
    <mergeCell ref="B47:B50"/>
    <mergeCell ref="B57:B58"/>
    <mergeCell ref="D57:M57"/>
    <mergeCell ref="D58:M58"/>
    <mergeCell ref="D59:M59"/>
    <mergeCell ref="J60:M60"/>
    <mergeCell ref="J56:M56"/>
    <mergeCell ref="J42:M42"/>
    <mergeCell ref="J38:M38"/>
    <mergeCell ref="B39:B40"/>
    <mergeCell ref="D39:M39"/>
    <mergeCell ref="D40:M40"/>
    <mergeCell ref="D41:M4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1638-8AF3-48AE-BAAD-274496F1F0BD}">
  <dimension ref="A1:M35"/>
  <sheetViews>
    <sheetView workbookViewId="0">
      <selection activeCell="E44" sqref="E44"/>
    </sheetView>
  </sheetViews>
  <sheetFormatPr defaultRowHeight="15.75"/>
  <cols>
    <col min="1" max="1" width="4.5703125" customWidth="1"/>
    <col min="2" max="2" width="14.42578125" bestFit="1" customWidth="1"/>
    <col min="3" max="27" width="11.7109375" customWidth="1"/>
  </cols>
  <sheetData>
    <row r="1" spans="1:12" s="45" customFormat="1" ht="18">
      <c r="B1" s="46" t="s">
        <v>98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s="1" customFormat="1"/>
    <row r="3" spans="1:12" s="31" customFormat="1" ht="18">
      <c r="A3" s="1"/>
      <c r="B3" s="63" t="s">
        <v>207</v>
      </c>
    </row>
    <row r="4" spans="1:12" s="1" customFormat="1" ht="16.5">
      <c r="A4" s="31"/>
      <c r="B4" s="49" t="s">
        <v>128</v>
      </c>
    </row>
    <row r="5" spans="1:12" s="1" customFormat="1" ht="16.5">
      <c r="A5" s="31"/>
      <c r="B5" s="49" t="s">
        <v>129</v>
      </c>
    </row>
    <row r="6" spans="1:12" ht="16.5">
      <c r="A6" s="31"/>
      <c r="B6" s="31"/>
      <c r="H6" s="49"/>
    </row>
    <row r="7" spans="1:12" s="31" customFormat="1" ht="16.5">
      <c r="B7" s="72" t="s">
        <v>208</v>
      </c>
      <c r="H7" s="49"/>
    </row>
    <row r="8" spans="1:12" s="31" customFormat="1" ht="16.5">
      <c r="B8" s="59" t="s">
        <v>130</v>
      </c>
      <c r="H8" s="49"/>
    </row>
    <row r="9" spans="1:12" s="31" customFormat="1" ht="16.5">
      <c r="B9" s="57" t="s">
        <v>131</v>
      </c>
      <c r="H9" s="49"/>
    </row>
    <row r="10" spans="1:12" s="31" customFormat="1" ht="16.5">
      <c r="B10" s="57"/>
      <c r="H10" s="49"/>
    </row>
    <row r="11" spans="1:12" s="31" customFormat="1" ht="17.25">
      <c r="B11" s="86" t="s">
        <v>201</v>
      </c>
      <c r="H11" s="49"/>
    </row>
    <row r="12" spans="1:12" s="31" customFormat="1" ht="16.5">
      <c r="B12" s="48" t="s">
        <v>102</v>
      </c>
      <c r="C12" s="61" t="s">
        <v>116</v>
      </c>
      <c r="D12" s="57"/>
      <c r="E12" s="48"/>
      <c r="G12" s="48" t="s">
        <v>125</v>
      </c>
      <c r="H12" s="49"/>
    </row>
    <row r="13" spans="1:12" s="31" customFormat="1" ht="16.5">
      <c r="B13" s="50" t="s">
        <v>64</v>
      </c>
      <c r="C13" s="62" t="s">
        <v>95</v>
      </c>
      <c r="D13" s="59" t="s">
        <v>126</v>
      </c>
      <c r="E13" s="48"/>
      <c r="G13" s="47" t="s">
        <v>121</v>
      </c>
      <c r="H13" s="49"/>
    </row>
    <row r="14" spans="1:12" s="31" customFormat="1" ht="16.5">
      <c r="B14" s="50" t="s">
        <v>47</v>
      </c>
      <c r="C14" s="62" t="s">
        <v>117</v>
      </c>
      <c r="D14" s="57" t="s">
        <v>126</v>
      </c>
      <c r="E14" s="48"/>
      <c r="G14" s="47" t="s">
        <v>132</v>
      </c>
      <c r="H14" s="49"/>
    </row>
    <row r="15" spans="1:12" s="31" customFormat="1" ht="16.5">
      <c r="B15" s="50" t="s">
        <v>63</v>
      </c>
      <c r="C15" s="62" t="s">
        <v>118</v>
      </c>
      <c r="D15" s="57" t="s">
        <v>126</v>
      </c>
      <c r="E15" s="48"/>
      <c r="G15" s="47" t="s">
        <v>134</v>
      </c>
      <c r="H15" s="49"/>
    </row>
    <row r="16" spans="1:12" s="31" customFormat="1" ht="16.5">
      <c r="B16" s="50" t="s">
        <v>54</v>
      </c>
      <c r="C16" s="62" t="s">
        <v>119</v>
      </c>
      <c r="D16" s="57" t="s">
        <v>126</v>
      </c>
      <c r="E16" s="48"/>
      <c r="G16" s="47" t="s">
        <v>135</v>
      </c>
      <c r="H16" s="49"/>
    </row>
    <row r="17" spans="2:13" s="31" customFormat="1" ht="16.5">
      <c r="B17" s="50" t="s">
        <v>60</v>
      </c>
      <c r="C17" s="83" t="s">
        <v>120</v>
      </c>
      <c r="D17" s="57" t="s">
        <v>126</v>
      </c>
      <c r="G17" s="47" t="s">
        <v>151</v>
      </c>
      <c r="H17" s="49"/>
    </row>
    <row r="18" spans="2:13" s="31" customFormat="1" ht="16.5">
      <c r="B18" s="57"/>
      <c r="C18" s="71"/>
      <c r="D18" s="57"/>
      <c r="F18" s="47"/>
      <c r="H18" s="49"/>
    </row>
    <row r="20" spans="2:13" ht="16.5">
      <c r="B20" s="1" t="s">
        <v>115</v>
      </c>
    </row>
    <row r="21" spans="2:13" ht="16.5">
      <c r="B21" s="2"/>
      <c r="C21" s="77" t="s">
        <v>0</v>
      </c>
      <c r="D21" s="77" t="s">
        <v>1</v>
      </c>
      <c r="E21" s="77" t="s">
        <v>2</v>
      </c>
      <c r="F21" s="77" t="s">
        <v>3</v>
      </c>
      <c r="G21" s="77" t="s">
        <v>4</v>
      </c>
      <c r="H21" s="77" t="s">
        <v>5</v>
      </c>
      <c r="I21" s="77" t="s">
        <v>6</v>
      </c>
      <c r="J21" s="88" t="s">
        <v>7</v>
      </c>
      <c r="K21" s="88"/>
      <c r="L21" s="88"/>
      <c r="M21" s="88"/>
    </row>
    <row r="22" spans="2:13" ht="16.5">
      <c r="B22" s="95" t="s">
        <v>8</v>
      </c>
      <c r="C22" s="76" t="s">
        <v>9</v>
      </c>
      <c r="D22" s="101" t="s">
        <v>10</v>
      </c>
      <c r="E22" s="102"/>
      <c r="F22" s="102"/>
      <c r="G22" s="102"/>
      <c r="H22" s="102"/>
      <c r="I22" s="102"/>
      <c r="J22" s="102"/>
      <c r="K22" s="102"/>
      <c r="L22" s="102"/>
      <c r="M22" s="103"/>
    </row>
    <row r="23" spans="2:13" ht="16.5">
      <c r="B23" s="96"/>
      <c r="C23" s="5" t="s">
        <v>11</v>
      </c>
      <c r="D23" s="101" t="s">
        <v>209</v>
      </c>
      <c r="E23" s="102"/>
      <c r="F23" s="102"/>
      <c r="G23" s="102"/>
      <c r="H23" s="102"/>
      <c r="I23" s="102"/>
      <c r="J23" s="102"/>
      <c r="K23" s="102"/>
      <c r="L23" s="102"/>
      <c r="M23" s="103"/>
    </row>
    <row r="24" spans="2:13" ht="16.5">
      <c r="B24" s="76" t="s">
        <v>13</v>
      </c>
      <c r="C24" s="76" t="s">
        <v>14</v>
      </c>
      <c r="D24" s="101" t="s">
        <v>15</v>
      </c>
      <c r="E24" s="102"/>
      <c r="F24" s="102"/>
      <c r="G24" s="102"/>
      <c r="H24" s="102"/>
      <c r="I24" s="102"/>
      <c r="J24" s="102"/>
      <c r="K24" s="102"/>
      <c r="L24" s="102"/>
      <c r="M24" s="103"/>
    </row>
    <row r="25" spans="2:13" ht="16.5">
      <c r="B25" s="76" t="s">
        <v>16</v>
      </c>
      <c r="C25" s="76" t="s">
        <v>17</v>
      </c>
      <c r="D25" s="5" t="s">
        <v>18</v>
      </c>
      <c r="E25" s="5" t="s">
        <v>19</v>
      </c>
      <c r="F25" s="5" t="s">
        <v>42</v>
      </c>
      <c r="G25" s="5" t="s">
        <v>20</v>
      </c>
      <c r="H25" s="5" t="s">
        <v>21</v>
      </c>
      <c r="I25" s="5" t="s">
        <v>22</v>
      </c>
      <c r="J25" s="101" t="s">
        <v>23</v>
      </c>
      <c r="K25" s="102"/>
      <c r="L25" s="102"/>
      <c r="M25" s="103"/>
    </row>
    <row r="26" spans="2:13" ht="16.5" hidden="1">
      <c r="B26" s="97" t="s">
        <v>38</v>
      </c>
      <c r="C26" s="6" t="s">
        <v>50</v>
      </c>
      <c r="D26" s="98" t="s">
        <v>49</v>
      </c>
      <c r="E26" s="99"/>
      <c r="F26" s="99"/>
      <c r="G26" s="99"/>
      <c r="H26" s="99"/>
      <c r="I26" s="100"/>
      <c r="J26" s="9"/>
      <c r="K26" s="10"/>
      <c r="L26" s="10"/>
      <c r="M26" s="11"/>
    </row>
    <row r="27" spans="2:13" ht="16.5" hidden="1">
      <c r="B27" s="97"/>
      <c r="C27" s="6" t="s">
        <v>45</v>
      </c>
      <c r="D27" s="101" t="s">
        <v>46</v>
      </c>
      <c r="E27" s="102"/>
      <c r="F27" s="102"/>
      <c r="G27" s="102"/>
      <c r="H27" s="102"/>
      <c r="I27" s="103"/>
      <c r="J27" s="12"/>
      <c r="K27" s="13"/>
      <c r="L27" s="13"/>
      <c r="M27" s="14"/>
    </row>
    <row r="28" spans="2:13" ht="16.5" hidden="1">
      <c r="B28" s="76" t="s">
        <v>24</v>
      </c>
      <c r="C28" s="76" t="s">
        <v>25</v>
      </c>
      <c r="D28" s="25" t="s">
        <v>33</v>
      </c>
      <c r="E28" s="5" t="s">
        <v>27</v>
      </c>
      <c r="F28" s="25" t="s">
        <v>26</v>
      </c>
      <c r="G28" s="5" t="s">
        <v>29</v>
      </c>
      <c r="H28" s="25" t="s">
        <v>73</v>
      </c>
      <c r="I28" s="5" t="s">
        <v>31</v>
      </c>
      <c r="J28" s="15"/>
      <c r="K28" s="16"/>
      <c r="L28" s="16"/>
      <c r="M28" s="17"/>
    </row>
    <row r="29" spans="2:13" ht="16.5" hidden="1">
      <c r="B29" s="76" t="s">
        <v>32</v>
      </c>
      <c r="C29" s="89" t="s">
        <v>45</v>
      </c>
      <c r="D29" s="25" t="s">
        <v>59</v>
      </c>
      <c r="E29" s="5" t="s">
        <v>65</v>
      </c>
      <c r="F29" s="5" t="s">
        <v>34</v>
      </c>
      <c r="G29" s="5" t="s">
        <v>35</v>
      </c>
      <c r="H29" s="5" t="s">
        <v>36</v>
      </c>
      <c r="I29" s="5" t="s">
        <v>37</v>
      </c>
      <c r="J29" s="7" t="s">
        <v>39</v>
      </c>
      <c r="K29" s="5" t="s">
        <v>40</v>
      </c>
      <c r="L29" s="7" t="s">
        <v>41</v>
      </c>
      <c r="M29" s="25" t="s">
        <v>62</v>
      </c>
    </row>
    <row r="30" spans="2:13" ht="16.5" hidden="1">
      <c r="B30" s="92" t="s">
        <v>58</v>
      </c>
      <c r="C30" s="90"/>
      <c r="D30" s="5"/>
      <c r="E30" s="5"/>
      <c r="F30" s="5"/>
      <c r="G30" s="5"/>
      <c r="H30" s="5"/>
      <c r="I30" s="5"/>
      <c r="J30" s="5" t="s">
        <v>51</v>
      </c>
      <c r="K30" s="5" t="s">
        <v>52</v>
      </c>
      <c r="L30" s="8" t="s">
        <v>57</v>
      </c>
      <c r="M30" s="8"/>
    </row>
    <row r="31" spans="2:13" ht="16.5" hidden="1">
      <c r="B31" s="93"/>
      <c r="C31" s="90"/>
      <c r="D31" s="5"/>
      <c r="E31" s="5"/>
      <c r="F31" s="5"/>
      <c r="G31" s="5"/>
      <c r="H31" s="5"/>
      <c r="I31" s="5"/>
      <c r="J31" s="30" t="s">
        <v>66</v>
      </c>
      <c r="K31" s="8"/>
      <c r="L31" s="8"/>
      <c r="M31" s="8"/>
    </row>
    <row r="32" spans="2:13" ht="16.5" hidden="1">
      <c r="B32" s="93"/>
      <c r="C32" s="90"/>
      <c r="D32" s="5"/>
      <c r="E32" s="5"/>
      <c r="F32" s="5"/>
      <c r="G32" s="5"/>
      <c r="H32" s="5"/>
      <c r="I32" s="5"/>
      <c r="J32" s="5"/>
      <c r="K32" s="8"/>
      <c r="L32" s="8"/>
      <c r="M32" s="8"/>
    </row>
    <row r="33" spans="2:13" ht="16.5" hidden="1">
      <c r="B33" s="94"/>
      <c r="C33" s="91"/>
      <c r="D33" s="5"/>
      <c r="E33" s="5"/>
      <c r="F33" s="5"/>
      <c r="G33" s="5"/>
      <c r="H33" s="5"/>
      <c r="I33" s="5"/>
      <c r="J33" s="5"/>
      <c r="K33" s="8"/>
      <c r="L33" s="8"/>
      <c r="M33" s="8"/>
    </row>
    <row r="34" spans="2:13" s="1" customFormat="1" ht="16.5">
      <c r="B34" s="21" t="s">
        <v>44</v>
      </c>
      <c r="C34" s="18" t="s">
        <v>45</v>
      </c>
      <c r="D34" s="60" t="s">
        <v>64</v>
      </c>
      <c r="E34" s="60" t="s">
        <v>47</v>
      </c>
      <c r="F34" s="60" t="s">
        <v>63</v>
      </c>
      <c r="G34" s="60" t="s">
        <v>54</v>
      </c>
      <c r="H34" s="60" t="s">
        <v>60</v>
      </c>
      <c r="I34" s="19"/>
      <c r="J34" s="19"/>
      <c r="K34" s="20"/>
      <c r="L34" s="20"/>
      <c r="M34" s="20"/>
    </row>
    <row r="35" spans="2:13" s="52" customFormat="1" ht="16.5">
      <c r="B35" s="53"/>
      <c r="C35" s="54"/>
      <c r="D35" s="54"/>
      <c r="E35" s="54"/>
      <c r="F35" s="54"/>
      <c r="G35" s="54"/>
      <c r="H35" s="54"/>
      <c r="I35" s="54"/>
      <c r="J35" s="55"/>
      <c r="K35" s="56"/>
      <c r="L35" s="56"/>
      <c r="M35" s="56"/>
    </row>
  </sheetData>
  <mergeCells count="11">
    <mergeCell ref="J21:M21"/>
    <mergeCell ref="C29:C33"/>
    <mergeCell ref="B30:B33"/>
    <mergeCell ref="B26:B27"/>
    <mergeCell ref="D26:I26"/>
    <mergeCell ref="D27:I27"/>
    <mergeCell ref="B22:B23"/>
    <mergeCell ref="D22:M22"/>
    <mergeCell ref="D23:M23"/>
    <mergeCell ref="D24:M24"/>
    <mergeCell ref="J25:M25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5D83-B4B3-4D36-B810-C0DD15749975}">
  <dimension ref="B1:P57"/>
  <sheetViews>
    <sheetView tabSelected="1" zoomScaleNormal="100" workbookViewId="0">
      <selection activeCell="I12" sqref="I12"/>
    </sheetView>
  </sheetViews>
  <sheetFormatPr defaultColWidth="8.85546875" defaultRowHeight="15"/>
  <cols>
    <col min="1" max="1" width="1.42578125" style="120" customWidth="1"/>
    <col min="2" max="2" width="17.140625" style="133" customWidth="1"/>
    <col min="3" max="3" width="62.85546875" style="120" customWidth="1"/>
    <col min="4" max="4" width="12" style="133" customWidth="1"/>
    <col min="5" max="16" width="22.85546875" style="120" customWidth="1"/>
    <col min="17" max="16384" width="8.85546875" style="120"/>
  </cols>
  <sheetData>
    <row r="1" spans="2:16" ht="7.5" customHeight="1"/>
    <row r="2" spans="2:16" ht="20.100000000000001" customHeight="1">
      <c r="B2" s="134" t="s">
        <v>224</v>
      </c>
      <c r="C2" s="517" t="s">
        <v>226</v>
      </c>
    </row>
    <row r="3" spans="2:16" ht="7.5" customHeight="1" thickBot="1">
      <c r="B3" s="134"/>
      <c r="C3" s="121"/>
    </row>
    <row r="4" spans="2:16" ht="30" customHeight="1" thickBot="1">
      <c r="B4" s="500" t="s">
        <v>929</v>
      </c>
      <c r="C4" s="507" t="s">
        <v>1050</v>
      </c>
      <c r="D4" s="505" t="s">
        <v>1049</v>
      </c>
      <c r="E4" s="506" t="s">
        <v>211</v>
      </c>
      <c r="F4" s="507" t="s">
        <v>212</v>
      </c>
      <c r="G4" s="507" t="s">
        <v>213</v>
      </c>
      <c r="H4" s="507" t="s">
        <v>214</v>
      </c>
      <c r="I4" s="507" t="s">
        <v>215</v>
      </c>
      <c r="J4" s="507" t="s">
        <v>216</v>
      </c>
      <c r="K4" s="507" t="s">
        <v>217</v>
      </c>
      <c r="L4" s="507" t="s">
        <v>218</v>
      </c>
      <c r="M4" s="508" t="s">
        <v>219</v>
      </c>
      <c r="N4" s="508" t="s">
        <v>220</v>
      </c>
      <c r="O4" s="508" t="s">
        <v>221</v>
      </c>
      <c r="P4" s="509" t="s">
        <v>222</v>
      </c>
    </row>
    <row r="5" spans="2:16" ht="52.5" customHeight="1" thickTop="1">
      <c r="B5" s="547" t="s">
        <v>1057</v>
      </c>
      <c r="C5" s="518" t="s">
        <v>1052</v>
      </c>
      <c r="D5" s="540" t="s">
        <v>1048</v>
      </c>
      <c r="E5" s="594" t="s">
        <v>1228</v>
      </c>
      <c r="F5" s="595" t="s">
        <v>1228</v>
      </c>
      <c r="G5" s="541" t="s">
        <v>1229</v>
      </c>
      <c r="H5" s="541" t="s">
        <v>1230</v>
      </c>
      <c r="I5" s="541" t="s">
        <v>1231</v>
      </c>
      <c r="J5" s="541"/>
      <c r="K5" s="542"/>
      <c r="L5" s="542"/>
      <c r="M5" s="543"/>
      <c r="N5" s="543"/>
      <c r="O5" s="543"/>
      <c r="P5" s="544"/>
    </row>
    <row r="6" spans="2:16" ht="16.5" thickBot="1">
      <c r="B6" s="546"/>
      <c r="C6" s="519"/>
      <c r="D6" s="520" t="s">
        <v>385</v>
      </c>
      <c r="E6" s="521">
        <v>0.75</v>
      </c>
      <c r="F6" s="522">
        <v>0.8</v>
      </c>
      <c r="G6" s="522">
        <v>0.9</v>
      </c>
      <c r="H6" s="522">
        <v>1</v>
      </c>
      <c r="I6" s="523" t="s">
        <v>1051</v>
      </c>
      <c r="J6" s="524"/>
      <c r="K6" s="525"/>
      <c r="L6" s="525"/>
      <c r="M6" s="526"/>
      <c r="N6" s="526"/>
      <c r="O6" s="526"/>
      <c r="P6" s="527"/>
    </row>
    <row r="7" spans="2:16" ht="52.5" customHeight="1">
      <c r="B7" s="546"/>
      <c r="C7" s="528" t="s">
        <v>1054</v>
      </c>
      <c r="D7" s="529" t="s">
        <v>1048</v>
      </c>
      <c r="E7" s="530"/>
      <c r="F7" s="531"/>
      <c r="G7" s="531"/>
      <c r="H7" s="531"/>
      <c r="I7" s="531"/>
      <c r="J7" s="531"/>
      <c r="K7" s="532"/>
      <c r="L7" s="532"/>
      <c r="M7" s="533"/>
      <c r="N7" s="533"/>
      <c r="O7" s="533"/>
      <c r="P7" s="534"/>
    </row>
    <row r="8" spans="2:16" ht="16.5" thickBot="1">
      <c r="B8" s="546"/>
      <c r="C8" s="535"/>
      <c r="D8" s="516" t="s">
        <v>385</v>
      </c>
      <c r="E8" s="536"/>
      <c r="F8" s="537"/>
      <c r="G8" s="537"/>
      <c r="H8" s="537"/>
      <c r="I8" s="539"/>
      <c r="J8" s="538"/>
      <c r="K8" s="433"/>
      <c r="L8" s="433"/>
      <c r="M8" s="434"/>
      <c r="N8" s="434"/>
      <c r="O8" s="434"/>
      <c r="P8" s="435"/>
    </row>
    <row r="9" spans="2:16" ht="52.5" customHeight="1">
      <c r="B9" s="546"/>
      <c r="C9" s="528" t="s">
        <v>1053</v>
      </c>
      <c r="D9" s="529" t="s">
        <v>1048</v>
      </c>
      <c r="E9" s="530"/>
      <c r="F9" s="531"/>
      <c r="G9" s="531"/>
      <c r="H9" s="531"/>
      <c r="I9" s="531"/>
      <c r="J9" s="531"/>
      <c r="K9" s="532"/>
      <c r="L9" s="532"/>
      <c r="M9" s="533"/>
      <c r="N9" s="533"/>
      <c r="O9" s="533"/>
      <c r="P9" s="534"/>
    </row>
    <row r="10" spans="2:16" ht="16.5" thickBot="1">
      <c r="B10" s="546"/>
      <c r="C10" s="535"/>
      <c r="D10" s="516" t="s">
        <v>385</v>
      </c>
      <c r="E10" s="536"/>
      <c r="F10" s="537"/>
      <c r="G10" s="537"/>
      <c r="H10" s="537"/>
      <c r="I10" s="539"/>
      <c r="J10" s="538"/>
      <c r="K10" s="433"/>
      <c r="L10" s="433"/>
      <c r="M10" s="434"/>
      <c r="N10" s="434"/>
      <c r="O10" s="434"/>
      <c r="P10" s="435"/>
    </row>
    <row r="11" spans="2:16" ht="52.5" customHeight="1">
      <c r="B11" s="546"/>
      <c r="C11" s="528" t="s">
        <v>1055</v>
      </c>
      <c r="D11" s="529" t="s">
        <v>1048</v>
      </c>
      <c r="E11" s="530"/>
      <c r="F11" s="531"/>
      <c r="G11" s="531"/>
      <c r="H11" s="531"/>
      <c r="I11" s="531"/>
      <c r="J11" s="531"/>
      <c r="K11" s="532"/>
      <c r="L11" s="532"/>
      <c r="M11" s="533"/>
      <c r="N11" s="533"/>
      <c r="O11" s="533"/>
      <c r="P11" s="534"/>
    </row>
    <row r="12" spans="2:16" ht="16.5" thickBot="1">
      <c r="B12" s="548"/>
      <c r="C12" s="535"/>
      <c r="D12" s="516" t="s">
        <v>385</v>
      </c>
      <c r="E12" s="536"/>
      <c r="F12" s="537"/>
      <c r="G12" s="537"/>
      <c r="H12" s="537"/>
      <c r="I12" s="539"/>
      <c r="J12" s="538"/>
      <c r="K12" s="433"/>
      <c r="L12" s="433"/>
      <c r="M12" s="434"/>
      <c r="N12" s="434"/>
      <c r="O12" s="434"/>
      <c r="P12" s="435"/>
    </row>
    <row r="13" spans="2:16" ht="52.5" customHeight="1">
      <c r="B13" s="545" t="s">
        <v>1056</v>
      </c>
      <c r="C13" s="528" t="s">
        <v>1169</v>
      </c>
      <c r="D13" s="529" t="s">
        <v>1048</v>
      </c>
      <c r="E13" s="530"/>
      <c r="F13" s="531"/>
      <c r="G13" s="531"/>
      <c r="H13" s="531"/>
      <c r="I13" s="531"/>
      <c r="J13" s="531"/>
      <c r="K13" s="532"/>
      <c r="L13" s="532"/>
      <c r="M13" s="533"/>
      <c r="N13" s="533"/>
      <c r="O13" s="533"/>
      <c r="P13" s="534"/>
    </row>
    <row r="14" spans="2:16" ht="17.25" customHeight="1" thickBot="1">
      <c r="B14" s="546"/>
      <c r="C14" s="535"/>
      <c r="D14" s="516" t="s">
        <v>385</v>
      </c>
      <c r="E14" s="536">
        <v>1</v>
      </c>
      <c r="F14" s="537">
        <v>1</v>
      </c>
      <c r="G14" s="537">
        <v>1</v>
      </c>
      <c r="H14" s="537"/>
      <c r="I14" s="539"/>
      <c r="J14" s="538"/>
      <c r="K14" s="433"/>
      <c r="L14" s="433"/>
      <c r="M14" s="434"/>
      <c r="N14" s="434"/>
      <c r="O14" s="434"/>
      <c r="P14" s="435"/>
    </row>
    <row r="15" spans="2:16" ht="52.5" customHeight="1">
      <c r="B15" s="546"/>
      <c r="C15" s="528"/>
      <c r="D15" s="529" t="s">
        <v>1048</v>
      </c>
      <c r="E15" s="530"/>
      <c r="F15" s="531"/>
      <c r="G15" s="531"/>
      <c r="H15" s="531"/>
      <c r="I15" s="531"/>
      <c r="J15" s="531"/>
      <c r="K15" s="532"/>
      <c r="L15" s="532"/>
      <c r="M15" s="533"/>
      <c r="N15" s="533"/>
      <c r="O15" s="533"/>
      <c r="P15" s="534"/>
    </row>
    <row r="16" spans="2:16" ht="17.25" customHeight="1" thickBot="1">
      <c r="B16" s="546"/>
      <c r="C16" s="535"/>
      <c r="D16" s="516" t="s">
        <v>385</v>
      </c>
      <c r="E16" s="536"/>
      <c r="F16" s="537"/>
      <c r="G16" s="537"/>
      <c r="H16" s="537"/>
      <c r="I16" s="539"/>
      <c r="J16" s="538"/>
      <c r="K16" s="433"/>
      <c r="L16" s="433"/>
      <c r="M16" s="434"/>
      <c r="N16" s="434"/>
      <c r="O16" s="434"/>
      <c r="P16" s="435"/>
    </row>
    <row r="17" spans="2:16" ht="52.5" customHeight="1">
      <c r="B17" s="546"/>
      <c r="C17" s="528"/>
      <c r="D17" s="529" t="s">
        <v>1048</v>
      </c>
      <c r="E17" s="530"/>
      <c r="F17" s="531"/>
      <c r="G17" s="531"/>
      <c r="H17" s="531"/>
      <c r="I17" s="531"/>
      <c r="J17" s="531"/>
      <c r="K17" s="532"/>
      <c r="L17" s="532"/>
      <c r="M17" s="533"/>
      <c r="N17" s="533"/>
      <c r="O17" s="533"/>
      <c r="P17" s="534"/>
    </row>
    <row r="18" spans="2:16" ht="17.25" customHeight="1" thickBot="1">
      <c r="B18" s="546"/>
      <c r="C18" s="535"/>
      <c r="D18" s="516" t="s">
        <v>385</v>
      </c>
      <c r="E18" s="536"/>
      <c r="F18" s="537"/>
      <c r="G18" s="537"/>
      <c r="H18" s="537"/>
      <c r="I18" s="539"/>
      <c r="J18" s="538"/>
      <c r="K18" s="433"/>
      <c r="L18" s="433"/>
      <c r="M18" s="434"/>
      <c r="N18" s="434"/>
      <c r="O18" s="434"/>
      <c r="P18" s="435"/>
    </row>
    <row r="19" spans="2:16" ht="39.950000000000003" customHeight="1">
      <c r="B19" s="512" t="s">
        <v>210</v>
      </c>
      <c r="C19" s="510"/>
      <c r="D19" s="511"/>
      <c r="E19" s="502"/>
      <c r="F19" s="127"/>
      <c r="G19" s="127"/>
      <c r="H19" s="127"/>
      <c r="I19" s="128"/>
      <c r="J19" s="127"/>
      <c r="K19" s="123"/>
      <c r="L19" s="123"/>
      <c r="M19" s="303"/>
      <c r="N19" s="303"/>
      <c r="O19" s="303"/>
      <c r="P19" s="430"/>
    </row>
    <row r="20" spans="2:16" ht="39.950000000000003" customHeight="1">
      <c r="B20" s="513"/>
      <c r="C20" s="510"/>
      <c r="D20" s="511"/>
      <c r="E20" s="502"/>
      <c r="F20" s="127"/>
      <c r="G20" s="127"/>
      <c r="H20" s="127"/>
      <c r="I20" s="128"/>
      <c r="J20" s="127"/>
      <c r="K20" s="123"/>
      <c r="L20" s="123"/>
      <c r="M20" s="303"/>
      <c r="N20" s="303"/>
      <c r="O20" s="303"/>
      <c r="P20" s="430"/>
    </row>
    <row r="21" spans="2:16" ht="39.950000000000003" customHeight="1">
      <c r="B21" s="513"/>
      <c r="C21" s="510"/>
      <c r="D21" s="511"/>
      <c r="E21" s="503"/>
      <c r="F21" s="126"/>
      <c r="G21" s="126"/>
      <c r="H21" s="122"/>
      <c r="I21" s="122"/>
      <c r="J21" s="122"/>
      <c r="K21" s="123"/>
      <c r="L21" s="123"/>
      <c r="M21" s="303"/>
      <c r="N21" s="303"/>
      <c r="O21" s="303"/>
      <c r="P21" s="430"/>
    </row>
    <row r="22" spans="2:16" ht="54.95" customHeight="1">
      <c r="B22" s="512" t="s">
        <v>223</v>
      </c>
      <c r="C22" s="510"/>
      <c r="D22" s="511"/>
      <c r="E22" s="503"/>
      <c r="F22" s="126"/>
      <c r="G22" s="126"/>
      <c r="H22" s="122"/>
      <c r="I22" s="122"/>
      <c r="J22" s="122"/>
      <c r="K22" s="123"/>
      <c r="L22" s="123"/>
      <c r="M22" s="303"/>
      <c r="N22" s="303"/>
      <c r="O22" s="303"/>
      <c r="P22" s="430"/>
    </row>
    <row r="23" spans="2:16" ht="39.950000000000003" customHeight="1">
      <c r="B23" s="513"/>
      <c r="C23" s="510"/>
      <c r="D23" s="511"/>
      <c r="E23" s="501"/>
      <c r="F23" s="125"/>
      <c r="G23" s="125"/>
      <c r="H23" s="124"/>
      <c r="I23" s="129"/>
      <c r="J23" s="124"/>
      <c r="K23" s="123"/>
      <c r="L23" s="123"/>
      <c r="M23" s="303"/>
      <c r="N23" s="303"/>
      <c r="O23" s="303"/>
      <c r="P23" s="430"/>
    </row>
    <row r="24" spans="2:16" ht="39.950000000000003" customHeight="1" thickBot="1">
      <c r="B24" s="514"/>
      <c r="C24" s="515"/>
      <c r="D24" s="516"/>
      <c r="E24" s="504"/>
      <c r="F24" s="431"/>
      <c r="G24" s="431"/>
      <c r="H24" s="432"/>
      <c r="I24" s="432"/>
      <c r="J24" s="432"/>
      <c r="K24" s="433"/>
      <c r="L24" s="433"/>
      <c r="M24" s="434"/>
      <c r="N24" s="434"/>
      <c r="O24" s="434"/>
      <c r="P24" s="435"/>
    </row>
    <row r="25" spans="2:16" ht="17.45" customHeight="1">
      <c r="B25" s="135"/>
      <c r="C25" s="131"/>
      <c r="D25" s="135"/>
      <c r="E25" s="130"/>
      <c r="F25" s="130"/>
      <c r="G25" s="132"/>
      <c r="H25" s="132"/>
      <c r="I25" s="132"/>
      <c r="J25" s="132"/>
      <c r="K25" s="132"/>
      <c r="L25" s="132"/>
      <c r="M25" s="132"/>
      <c r="N25" s="132"/>
      <c r="O25" s="132"/>
      <c r="P25" s="132"/>
    </row>
    <row r="26" spans="2:16" ht="17.45" customHeight="1">
      <c r="B26" s="135"/>
      <c r="C26" s="131"/>
      <c r="D26" s="135"/>
      <c r="E26" s="130"/>
      <c r="F26" s="130"/>
      <c r="G26" s="132"/>
      <c r="H26" s="132"/>
      <c r="I26" s="132"/>
      <c r="J26" s="132"/>
      <c r="K26" s="132"/>
      <c r="L26" s="132"/>
      <c r="M26" s="132"/>
      <c r="N26" s="132"/>
      <c r="O26" s="132"/>
      <c r="P26" s="132"/>
    </row>
    <row r="27" spans="2:16" ht="17.45" customHeight="1">
      <c r="B27" s="135"/>
      <c r="C27" s="131"/>
      <c r="D27" s="135"/>
      <c r="E27" s="130"/>
      <c r="F27" s="130"/>
      <c r="G27" s="132"/>
      <c r="H27" s="132"/>
      <c r="I27" s="132"/>
      <c r="J27" s="132"/>
      <c r="K27" s="132"/>
      <c r="L27" s="132"/>
      <c r="M27" s="132"/>
      <c r="N27" s="132"/>
      <c r="O27" s="132"/>
      <c r="P27" s="132"/>
    </row>
    <row r="28" spans="2:16" ht="20.100000000000001" customHeight="1"/>
    <row r="29" spans="2:16" ht="20.100000000000001" customHeight="1"/>
    <row r="30" spans="2:16" ht="20.100000000000001" customHeight="1"/>
    <row r="31" spans="2:16" ht="20.100000000000001" customHeight="1"/>
    <row r="32" spans="2:16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17.45" customHeight="1"/>
  </sheetData>
  <mergeCells count="11">
    <mergeCell ref="C13:C14"/>
    <mergeCell ref="C15:C16"/>
    <mergeCell ref="C17:C18"/>
    <mergeCell ref="B13:B18"/>
    <mergeCell ref="C5:C6"/>
    <mergeCell ref="C7:C8"/>
    <mergeCell ref="C9:C10"/>
    <mergeCell ref="C11:C12"/>
    <mergeCell ref="B22:B24"/>
    <mergeCell ref="B5:B12"/>
    <mergeCell ref="B19:B21"/>
  </mergeCells>
  <phoneticPr fontId="2" type="noConversion"/>
  <conditionalFormatting sqref="E6:H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{C72D6CBC-A668-4476-A6DA-3ABEAEE8AA19}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2D6CBC-A668-4476-A6DA-3ABEAEE8A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E6:H6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A78C-2DD2-4485-994F-5634BC3FBBE4}">
  <sheetPr>
    <tabColor theme="8" tint="0.79998168889431442"/>
  </sheetPr>
  <dimension ref="A1:AA36"/>
  <sheetViews>
    <sheetView zoomScale="85" zoomScaleNormal="85" workbookViewId="0">
      <selection activeCell="J14" sqref="J14"/>
    </sheetView>
  </sheetViews>
  <sheetFormatPr defaultColWidth="10.28515625" defaultRowHeight="15.75"/>
  <cols>
    <col min="1" max="1" width="10.28515625" style="138"/>
    <col min="2" max="2" width="16" style="138" customWidth="1"/>
    <col min="3" max="3" width="14.5703125" style="138" customWidth="1"/>
    <col min="4" max="4" width="15.5703125" style="138" customWidth="1"/>
    <col min="5" max="7" width="14.5703125" style="138" customWidth="1"/>
    <col min="8" max="8" width="17" style="138" customWidth="1"/>
    <col min="9" max="9" width="14.85546875" style="138" customWidth="1"/>
    <col min="10" max="10" width="17.140625" style="138" customWidth="1"/>
    <col min="11" max="11" width="14.5703125" style="138" customWidth="1"/>
    <col min="12" max="12" width="15" style="138" customWidth="1"/>
    <col min="13" max="13" width="13.7109375" style="138" customWidth="1"/>
    <col min="14" max="14" width="16.28515625" style="138" customWidth="1"/>
    <col min="15" max="18" width="13.7109375" style="138" customWidth="1"/>
    <col min="19" max="19" width="13.42578125" style="138" customWidth="1"/>
    <col min="20" max="21" width="13.7109375" style="138" customWidth="1"/>
    <col min="22" max="26" width="10.28515625" style="138"/>
    <col min="27" max="27" width="10.28515625" style="138" customWidth="1"/>
    <col min="28" max="16384" width="10.28515625" style="138"/>
  </cols>
  <sheetData>
    <row r="1" spans="1:27" ht="30.75" customHeight="1">
      <c r="A1" s="136" t="s">
        <v>227</v>
      </c>
      <c r="B1" s="137"/>
    </row>
    <row r="2" spans="1:27" ht="30.75" customHeight="1">
      <c r="A2" s="139" t="s">
        <v>228</v>
      </c>
      <c r="B2" s="137"/>
    </row>
    <row r="3" spans="1:27" ht="43.5" customHeight="1">
      <c r="A3" s="140" t="s">
        <v>229</v>
      </c>
      <c r="B3" s="140"/>
      <c r="F3" s="141"/>
      <c r="G3" s="142" t="s">
        <v>230</v>
      </c>
      <c r="H3" s="142"/>
      <c r="J3" s="143" t="s">
        <v>231</v>
      </c>
      <c r="M3" s="144"/>
      <c r="N3" s="143" t="s">
        <v>232</v>
      </c>
    </row>
    <row r="4" spans="1:27" ht="28.5" customHeight="1">
      <c r="A4" s="145" t="s">
        <v>233</v>
      </c>
      <c r="B4" s="146"/>
      <c r="C4" s="147">
        <v>45919</v>
      </c>
      <c r="D4" s="147">
        <f>C4+4</f>
        <v>45923</v>
      </c>
      <c r="E4" s="147">
        <f>D4+3</f>
        <v>45926</v>
      </c>
      <c r="F4" s="147">
        <f>D4+7</f>
        <v>45930</v>
      </c>
      <c r="G4" s="148">
        <f>F4+3</f>
        <v>45933</v>
      </c>
      <c r="H4" s="148">
        <f>F4+7</f>
        <v>45937</v>
      </c>
      <c r="I4" s="149">
        <f>H4+2</f>
        <v>45939</v>
      </c>
      <c r="J4" s="148">
        <f>H4+3</f>
        <v>45940</v>
      </c>
      <c r="K4" s="147">
        <f>H4+7</f>
        <v>45944</v>
      </c>
      <c r="L4" s="149">
        <f>K4+3</f>
        <v>45947</v>
      </c>
      <c r="M4" s="147">
        <f>K4+7</f>
        <v>45951</v>
      </c>
      <c r="N4" s="148">
        <f>M4+3</f>
        <v>45954</v>
      </c>
      <c r="O4" s="150"/>
      <c r="P4" s="150"/>
      <c r="Q4" s="150"/>
      <c r="R4" s="150"/>
      <c r="S4" s="150"/>
      <c r="AA4" s="151" t="s">
        <v>234</v>
      </c>
    </row>
    <row r="5" spans="1:27" ht="28.5" customHeight="1">
      <c r="A5" s="145" t="s">
        <v>235</v>
      </c>
      <c r="B5" s="146"/>
      <c r="C5" s="152">
        <f t="shared" ref="C5:I5" si="0">WEEKDAY(C4,1)</f>
        <v>6</v>
      </c>
      <c r="D5" s="152">
        <f t="shared" si="0"/>
        <v>3</v>
      </c>
      <c r="E5" s="152">
        <f t="shared" si="0"/>
        <v>6</v>
      </c>
      <c r="F5" s="152">
        <f t="shared" si="0"/>
        <v>3</v>
      </c>
      <c r="G5" s="153">
        <f t="shared" si="0"/>
        <v>6</v>
      </c>
      <c r="H5" s="153">
        <f t="shared" si="0"/>
        <v>3</v>
      </c>
      <c r="I5" s="154">
        <f t="shared" si="0"/>
        <v>5</v>
      </c>
      <c r="J5" s="153">
        <f>WEEKDAY(J4,1)</f>
        <v>6</v>
      </c>
      <c r="K5" s="152">
        <f>WEEKDAY(K4,1)</f>
        <v>3</v>
      </c>
      <c r="L5" s="154">
        <f>WEEKDAY(L4,1)</f>
        <v>6</v>
      </c>
      <c r="M5" s="152">
        <f>WEEKDAY(M4,1)</f>
        <v>3</v>
      </c>
      <c r="N5" s="153">
        <f>WEEKDAY(N4,1)</f>
        <v>6</v>
      </c>
      <c r="O5" s="155"/>
      <c r="P5" s="155"/>
      <c r="Q5" s="155"/>
      <c r="R5" s="155"/>
      <c r="S5" s="155"/>
      <c r="AA5" s="151" t="s">
        <v>236</v>
      </c>
    </row>
    <row r="6" spans="1:27" ht="28.5" customHeight="1">
      <c r="A6" s="145" t="s">
        <v>237</v>
      </c>
      <c r="B6" s="146"/>
      <c r="C6" s="156" t="s">
        <v>238</v>
      </c>
      <c r="D6" s="156" t="s">
        <v>238</v>
      </c>
      <c r="E6" s="156" t="s">
        <v>238</v>
      </c>
      <c r="F6" s="156" t="s">
        <v>238</v>
      </c>
      <c r="G6" s="157" t="s">
        <v>238</v>
      </c>
      <c r="H6" s="156" t="s">
        <v>238</v>
      </c>
      <c r="I6" s="158" t="s">
        <v>238</v>
      </c>
      <c r="J6" s="156" t="s">
        <v>238</v>
      </c>
      <c r="K6" s="156" t="s">
        <v>238</v>
      </c>
      <c r="L6" s="158" t="s">
        <v>238</v>
      </c>
      <c r="M6" s="156" t="s">
        <v>238</v>
      </c>
      <c r="N6" s="157" t="s">
        <v>238</v>
      </c>
      <c r="O6" s="159"/>
      <c r="P6" s="159"/>
      <c r="Q6" s="159"/>
      <c r="R6" s="159"/>
      <c r="S6" s="159"/>
      <c r="AA6" s="151" t="s">
        <v>239</v>
      </c>
    </row>
    <row r="7" spans="1:27" ht="28.5" customHeight="1">
      <c r="A7" s="145" t="s">
        <v>237</v>
      </c>
      <c r="B7" s="146"/>
      <c r="C7" s="160" t="s">
        <v>240</v>
      </c>
      <c r="D7" s="156" t="s">
        <v>241</v>
      </c>
      <c r="E7" s="156" t="s">
        <v>241</v>
      </c>
      <c r="F7" s="156" t="s">
        <v>241</v>
      </c>
      <c r="G7" s="157"/>
      <c r="H7" s="157"/>
      <c r="I7" s="158" t="s">
        <v>241</v>
      </c>
      <c r="J7" s="157"/>
      <c r="K7" s="156" t="s">
        <v>241</v>
      </c>
      <c r="L7" s="158" t="s">
        <v>241</v>
      </c>
      <c r="M7" s="156" t="s">
        <v>241</v>
      </c>
      <c r="N7" s="157"/>
      <c r="O7" s="159"/>
      <c r="P7" s="159"/>
      <c r="Q7" s="159"/>
      <c r="R7" s="159"/>
      <c r="S7" s="159"/>
      <c r="AA7" s="151" t="s">
        <v>242</v>
      </c>
    </row>
    <row r="8" spans="1:27" ht="42" customHeight="1">
      <c r="A8" s="140" t="s">
        <v>243</v>
      </c>
      <c r="B8" s="140"/>
      <c r="H8" s="161" t="s">
        <v>244</v>
      </c>
      <c r="AA8" s="151" t="s">
        <v>245</v>
      </c>
    </row>
    <row r="9" spans="1:27" ht="24.75" customHeight="1">
      <c r="A9" s="145" t="s">
        <v>233</v>
      </c>
      <c r="B9" s="146"/>
      <c r="C9" s="162">
        <v>45958</v>
      </c>
      <c r="D9" s="162">
        <f>C9+2</f>
        <v>45960</v>
      </c>
      <c r="E9" s="162">
        <f t="shared" ref="E9:Q9" si="1">C9+7</f>
        <v>45965</v>
      </c>
      <c r="F9" s="162">
        <f t="shared" si="1"/>
        <v>45967</v>
      </c>
      <c r="G9" s="147">
        <f t="shared" si="1"/>
        <v>45972</v>
      </c>
      <c r="H9" s="147">
        <f t="shared" si="1"/>
        <v>45974</v>
      </c>
      <c r="I9" s="147">
        <f t="shared" si="1"/>
        <v>45979</v>
      </c>
      <c r="J9" s="147">
        <f t="shared" si="1"/>
        <v>45981</v>
      </c>
      <c r="K9" s="147">
        <f t="shared" si="1"/>
        <v>45986</v>
      </c>
      <c r="L9" s="147">
        <f t="shared" si="1"/>
        <v>45988</v>
      </c>
      <c r="M9" s="147">
        <f>K9+7</f>
        <v>45993</v>
      </c>
      <c r="N9" s="147">
        <f t="shared" si="1"/>
        <v>45995</v>
      </c>
      <c r="O9" s="147">
        <f t="shared" si="1"/>
        <v>46000</v>
      </c>
      <c r="P9" s="147">
        <f t="shared" si="1"/>
        <v>46002</v>
      </c>
      <c r="Q9" s="147">
        <f t="shared" si="1"/>
        <v>46007</v>
      </c>
      <c r="AA9" s="151" t="s">
        <v>246</v>
      </c>
    </row>
    <row r="10" spans="1:27" ht="24.75" customHeight="1">
      <c r="A10" s="145" t="s">
        <v>235</v>
      </c>
      <c r="B10" s="146"/>
      <c r="C10" s="163">
        <f>WEEKDAY(C9,1)</f>
        <v>3</v>
      </c>
      <c r="D10" s="163">
        <f>WEEKDAY(D9,1)</f>
        <v>5</v>
      </c>
      <c r="E10" s="163">
        <f t="shared" ref="E10:Q10" si="2">WEEKDAY(E9,1)</f>
        <v>3</v>
      </c>
      <c r="F10" s="163">
        <f t="shared" si="2"/>
        <v>5</v>
      </c>
      <c r="G10" s="152">
        <f>WEEKDAY(G9,1)</f>
        <v>3</v>
      </c>
      <c r="H10" s="152">
        <f t="shared" si="2"/>
        <v>5</v>
      </c>
      <c r="I10" s="152">
        <f t="shared" si="2"/>
        <v>3</v>
      </c>
      <c r="J10" s="152">
        <f t="shared" si="2"/>
        <v>5</v>
      </c>
      <c r="K10" s="152">
        <f t="shared" si="2"/>
        <v>3</v>
      </c>
      <c r="L10" s="152">
        <f t="shared" si="2"/>
        <v>5</v>
      </c>
      <c r="M10" s="152">
        <f t="shared" si="2"/>
        <v>3</v>
      </c>
      <c r="N10" s="152">
        <f t="shared" si="2"/>
        <v>5</v>
      </c>
      <c r="O10" s="152">
        <f t="shared" si="2"/>
        <v>3</v>
      </c>
      <c r="P10" s="152">
        <f t="shared" si="2"/>
        <v>5</v>
      </c>
      <c r="Q10" s="152">
        <f t="shared" si="2"/>
        <v>3</v>
      </c>
      <c r="AA10" s="151" t="s">
        <v>247</v>
      </c>
    </row>
    <row r="11" spans="1:27" ht="24.75" customHeight="1">
      <c r="A11" s="145" t="s">
        <v>237</v>
      </c>
      <c r="B11" s="146"/>
      <c r="C11" s="164" t="s">
        <v>248</v>
      </c>
      <c r="D11" s="164" t="s">
        <v>248</v>
      </c>
      <c r="E11" s="164" t="s">
        <v>248</v>
      </c>
      <c r="F11" s="164" t="s">
        <v>241</v>
      </c>
      <c r="G11" s="165" t="s">
        <v>248</v>
      </c>
      <c r="H11" s="165" t="s">
        <v>241</v>
      </c>
      <c r="I11" s="165" t="s">
        <v>241</v>
      </c>
      <c r="J11" s="165" t="s">
        <v>248</v>
      </c>
      <c r="K11" s="165" t="s">
        <v>248</v>
      </c>
      <c r="L11" s="165" t="s">
        <v>241</v>
      </c>
      <c r="M11" s="165" t="s">
        <v>241</v>
      </c>
      <c r="N11" s="165" t="s">
        <v>241</v>
      </c>
      <c r="O11" s="165" t="s">
        <v>248</v>
      </c>
      <c r="P11" s="165" t="s">
        <v>248</v>
      </c>
      <c r="Q11" s="165" t="s">
        <v>241</v>
      </c>
      <c r="AA11" s="151" t="s">
        <v>249</v>
      </c>
    </row>
    <row r="12" spans="1:27" ht="24.75" customHeight="1">
      <c r="A12" s="166" t="s">
        <v>250</v>
      </c>
      <c r="B12" s="167" t="s">
        <v>251</v>
      </c>
      <c r="C12" s="168"/>
      <c r="D12" s="169"/>
      <c r="E12" s="168"/>
      <c r="F12" s="168"/>
      <c r="G12" s="170"/>
      <c r="H12" s="171"/>
      <c r="I12" s="172"/>
      <c r="J12" s="173"/>
      <c r="K12" s="173"/>
      <c r="L12" s="173"/>
      <c r="M12" s="174"/>
      <c r="N12" s="175"/>
      <c r="O12" s="176"/>
      <c r="P12" s="176"/>
      <c r="Q12" s="176"/>
      <c r="AA12" s="177" t="s">
        <v>252</v>
      </c>
    </row>
    <row r="13" spans="1:27" ht="24.75" customHeight="1">
      <c r="A13" s="145"/>
      <c r="B13" s="167" t="s">
        <v>254</v>
      </c>
      <c r="C13" s="178"/>
      <c r="D13" s="178"/>
      <c r="E13" s="168" t="s">
        <v>225</v>
      </c>
      <c r="F13" s="168"/>
      <c r="G13" s="170"/>
      <c r="H13" s="179"/>
      <c r="I13" s="179"/>
      <c r="J13" s="173" t="s">
        <v>249</v>
      </c>
      <c r="K13" s="173"/>
      <c r="L13" s="173"/>
      <c r="M13" s="174"/>
      <c r="N13" s="174"/>
      <c r="O13" s="180" t="s">
        <v>249</v>
      </c>
      <c r="P13" s="176"/>
      <c r="Q13" s="176"/>
      <c r="AA13" s="177" t="s">
        <v>253</v>
      </c>
    </row>
    <row r="14" spans="1:27" ht="38.25" customHeight="1" thickBot="1">
      <c r="E14" s="203"/>
      <c r="F14" s="204"/>
      <c r="G14" s="183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5"/>
      <c r="S14" s="184"/>
      <c r="T14" s="186"/>
      <c r="AA14" s="159" t="s">
        <v>256</v>
      </c>
    </row>
    <row r="15" spans="1:27" ht="24.75" customHeight="1" thickTop="1">
      <c r="A15" s="145" t="s">
        <v>233</v>
      </c>
      <c r="B15" s="146"/>
      <c r="C15" s="199">
        <v>46014</v>
      </c>
      <c r="D15" s="205">
        <v>46037</v>
      </c>
      <c r="E15" s="206">
        <v>46051</v>
      </c>
      <c r="F15" s="207">
        <v>46065</v>
      </c>
      <c r="G15" s="187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87"/>
    </row>
    <row r="16" spans="1:27" ht="24.75" customHeight="1">
      <c r="A16" s="145" t="s">
        <v>235</v>
      </c>
      <c r="B16" s="146"/>
      <c r="C16" s="200">
        <v>3</v>
      </c>
      <c r="D16" s="208">
        <v>5</v>
      </c>
      <c r="E16" s="152">
        <v>5</v>
      </c>
      <c r="F16" s="209">
        <v>5</v>
      </c>
      <c r="G16" s="188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88"/>
    </row>
    <row r="17" spans="1:20" ht="24.75" customHeight="1">
      <c r="A17" s="145" t="s">
        <v>237</v>
      </c>
      <c r="B17" s="146"/>
      <c r="C17" s="167" t="s">
        <v>248</v>
      </c>
      <c r="D17" s="210" t="s">
        <v>248</v>
      </c>
      <c r="E17" s="156" t="s">
        <v>248</v>
      </c>
      <c r="F17" s="211" t="s">
        <v>248</v>
      </c>
      <c r="G17" s="189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89"/>
    </row>
    <row r="18" spans="1:20" ht="24.75" customHeight="1">
      <c r="A18" s="166" t="s">
        <v>250</v>
      </c>
      <c r="B18" s="167" t="s">
        <v>251</v>
      </c>
      <c r="C18" s="201"/>
      <c r="D18" s="212"/>
      <c r="E18" s="181"/>
      <c r="F18" s="213"/>
      <c r="G18" s="190"/>
      <c r="H18" s="195"/>
      <c r="I18" s="195"/>
      <c r="J18" s="196"/>
      <c r="K18" s="197"/>
      <c r="L18" s="195"/>
      <c r="M18" s="195"/>
      <c r="N18" s="195"/>
      <c r="O18" s="196"/>
      <c r="P18" s="197"/>
      <c r="Q18" s="195"/>
      <c r="R18" s="195"/>
      <c r="S18" s="195"/>
      <c r="T18" s="190"/>
    </row>
    <row r="19" spans="1:20" ht="24.75" customHeight="1" thickBot="1">
      <c r="A19" s="145"/>
      <c r="B19" s="167" t="s">
        <v>254</v>
      </c>
      <c r="C19" s="202" t="s">
        <v>249</v>
      </c>
      <c r="D19" s="214" t="s">
        <v>249</v>
      </c>
      <c r="E19" s="215" t="s">
        <v>225</v>
      </c>
      <c r="F19" s="216" t="s">
        <v>225</v>
      </c>
      <c r="G19" s="191"/>
      <c r="H19" s="195"/>
      <c r="I19" s="195"/>
      <c r="J19" s="194"/>
      <c r="K19" s="196"/>
      <c r="L19" s="196"/>
      <c r="M19" s="195"/>
      <c r="N19" s="195"/>
      <c r="O19" s="194"/>
      <c r="P19" s="194"/>
      <c r="Q19" s="195"/>
      <c r="R19" s="196"/>
      <c r="S19" s="195"/>
      <c r="T19" s="191"/>
    </row>
    <row r="20" spans="1:20" ht="24.75" thickTop="1">
      <c r="D20" s="218" t="s">
        <v>259</v>
      </c>
      <c r="E20" s="218"/>
      <c r="F20" s="21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</row>
    <row r="35" ht="20.25" customHeight="1"/>
    <row r="36" ht="20.25" customHeight="1"/>
  </sheetData>
  <mergeCells count="14">
    <mergeCell ref="A18:A19"/>
    <mergeCell ref="D20:F20"/>
    <mergeCell ref="A10:B10"/>
    <mergeCell ref="A11:B11"/>
    <mergeCell ref="A12:A13"/>
    <mergeCell ref="A15:B15"/>
    <mergeCell ref="A16:B16"/>
    <mergeCell ref="A17:B17"/>
    <mergeCell ref="G3:H3"/>
    <mergeCell ref="A4:B4"/>
    <mergeCell ref="A5:B5"/>
    <mergeCell ref="A6:B6"/>
    <mergeCell ref="A7:B7"/>
    <mergeCell ref="A9:B9"/>
  </mergeCells>
  <phoneticPr fontId="2" type="noConversion"/>
  <dataValidations count="2">
    <dataValidation type="list" allowBlank="1" showInputMessage="1" showErrorMessage="1" sqref="J12" xr:uid="{ACCCFB7D-24E5-4121-BF9B-28C3C2F44239}">
      <formula1>$AA$4:$AA$14</formula1>
    </dataValidation>
    <dataValidation type="list" allowBlank="1" showInputMessage="1" showErrorMessage="1" sqref="J13 C12:I13 K12:Q13 C18:T19" xr:uid="{6909A6F4-CF32-422D-BD58-70E9F4D7F5CC}">
      <formula1>$AA$4:$AA$13</formula1>
    </dataValidation>
  </dataValidations>
  <printOptions horizontalCentered="1" verticalCentered="1"/>
  <pageMargins left="0" right="0" top="0" bottom="0" header="0" footer="0"/>
  <pageSetup paperSize="9" scale="55" orientation="landscape" r:id="rId1"/>
  <headerFooter>
    <oddHeader>&amp;C&amp;"Calibri"&amp;10&amp;K000000  AGC Group Internal Use Only 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AE4C-D3A3-411C-965B-134BDDF2F8DD}">
  <sheetPr>
    <tabColor theme="8" tint="0.79998168889431442"/>
  </sheetPr>
  <dimension ref="A1:I140"/>
  <sheetViews>
    <sheetView view="pageBreakPreview" topLeftCell="A25" zoomScale="130" zoomScaleNormal="115" zoomScaleSheetLayoutView="130" workbookViewId="0">
      <selection activeCell="E15" sqref="E15"/>
    </sheetView>
  </sheetViews>
  <sheetFormatPr defaultColWidth="19.42578125" defaultRowHeight="15.75"/>
  <cols>
    <col min="1" max="1" width="1.5703125" style="217" customWidth="1"/>
    <col min="2" max="2" width="12.28515625" style="217" customWidth="1"/>
    <col min="3" max="3" width="14.28515625" style="217" customWidth="1"/>
    <col min="4" max="4" width="34.85546875" style="217" customWidth="1"/>
    <col min="5" max="5" width="17.5703125" style="217" customWidth="1"/>
    <col min="6" max="6" width="11.7109375" style="217" customWidth="1"/>
    <col min="7" max="7" width="9" style="217" customWidth="1"/>
    <col min="8" max="8" width="83.5703125" style="217" customWidth="1"/>
    <col min="9" max="9" width="1.42578125" style="217" customWidth="1"/>
    <col min="10" max="16384" width="19.42578125" style="217"/>
  </cols>
  <sheetData>
    <row r="1" spans="1:9" ht="7.5" customHeight="1">
      <c r="A1" s="278"/>
      <c r="B1" s="278"/>
      <c r="C1" s="278"/>
      <c r="D1" s="278"/>
      <c r="E1" s="278"/>
      <c r="F1" s="278"/>
      <c r="G1" s="278"/>
      <c r="H1" s="278"/>
      <c r="I1" s="278"/>
    </row>
    <row r="2" spans="1:9" ht="26.25" customHeight="1">
      <c r="A2" s="278"/>
      <c r="B2" s="279" t="s">
        <v>384</v>
      </c>
      <c r="C2" s="278"/>
      <c r="D2" s="278"/>
      <c r="E2" s="278"/>
      <c r="F2" s="278"/>
      <c r="G2" s="278"/>
      <c r="H2" s="278"/>
      <c r="I2" s="278"/>
    </row>
    <row r="3" spans="1:9" ht="37.5">
      <c r="A3" s="278"/>
      <c r="B3" s="280" t="s">
        <v>273</v>
      </c>
      <c r="C3" s="280" t="s">
        <v>102</v>
      </c>
      <c r="D3" s="280" t="s">
        <v>274</v>
      </c>
      <c r="E3" s="281" t="s">
        <v>275</v>
      </c>
      <c r="F3" s="281" t="s">
        <v>276</v>
      </c>
      <c r="G3" s="281" t="s">
        <v>277</v>
      </c>
      <c r="H3" s="280" t="s">
        <v>278</v>
      </c>
      <c r="I3" s="278"/>
    </row>
    <row r="4" spans="1:9" ht="66" hidden="1" customHeight="1">
      <c r="A4" s="278"/>
      <c r="B4" s="300" t="s">
        <v>383</v>
      </c>
      <c r="C4" s="283" t="s">
        <v>265</v>
      </c>
      <c r="D4" s="285" t="s">
        <v>382</v>
      </c>
      <c r="E4" s="284">
        <v>18</v>
      </c>
      <c r="F4" s="284">
        <v>22</v>
      </c>
      <c r="G4" s="284">
        <v>1</v>
      </c>
      <c r="H4" s="285" t="s">
        <v>381</v>
      </c>
      <c r="I4" s="278"/>
    </row>
    <row r="5" spans="1:9" ht="63" hidden="1">
      <c r="A5" s="278"/>
      <c r="B5" s="299"/>
      <c r="C5" s="298" t="s">
        <v>380</v>
      </c>
      <c r="D5" s="297" t="s">
        <v>379</v>
      </c>
      <c r="E5" s="283">
        <v>5</v>
      </c>
      <c r="F5" s="284" t="s">
        <v>378</v>
      </c>
      <c r="G5" s="283">
        <v>4</v>
      </c>
      <c r="H5" s="285" t="s">
        <v>377</v>
      </c>
      <c r="I5" s="278"/>
    </row>
    <row r="6" spans="1:9" ht="53.25" hidden="1" customHeight="1">
      <c r="A6" s="278"/>
      <c r="B6" s="286" t="s">
        <v>372</v>
      </c>
      <c r="C6" s="298" t="s">
        <v>253</v>
      </c>
      <c r="D6" s="287" t="s">
        <v>376</v>
      </c>
      <c r="E6" s="287">
        <v>10</v>
      </c>
      <c r="F6" s="287">
        <v>20</v>
      </c>
      <c r="G6" s="287">
        <v>1</v>
      </c>
      <c r="H6" s="288" t="s">
        <v>375</v>
      </c>
      <c r="I6" s="278"/>
    </row>
    <row r="7" spans="1:9" ht="87" hidden="1" customHeight="1">
      <c r="A7" s="278"/>
      <c r="B7" s="286" t="s">
        <v>372</v>
      </c>
      <c r="C7" s="298" t="s">
        <v>253</v>
      </c>
      <c r="D7" s="288" t="s">
        <v>374</v>
      </c>
      <c r="E7" s="287">
        <v>10</v>
      </c>
      <c r="F7" s="287">
        <v>20</v>
      </c>
      <c r="G7" s="287">
        <v>1</v>
      </c>
      <c r="H7" s="288" t="s">
        <v>373</v>
      </c>
      <c r="I7" s="278"/>
    </row>
    <row r="8" spans="1:9" ht="87" hidden="1" customHeight="1">
      <c r="A8" s="278"/>
      <c r="B8" s="286" t="s">
        <v>372</v>
      </c>
      <c r="C8" s="298" t="s">
        <v>253</v>
      </c>
      <c r="D8" s="287" t="s">
        <v>371</v>
      </c>
      <c r="E8" s="287">
        <v>5</v>
      </c>
      <c r="F8" s="287">
        <v>20</v>
      </c>
      <c r="G8" s="287">
        <v>10</v>
      </c>
      <c r="H8" s="288" t="s">
        <v>370</v>
      </c>
      <c r="I8" s="278"/>
    </row>
    <row r="9" spans="1:9" ht="53.25" hidden="1" customHeight="1">
      <c r="A9" s="278"/>
      <c r="B9" s="286" t="s">
        <v>369</v>
      </c>
      <c r="C9" s="298"/>
      <c r="D9" s="287"/>
      <c r="E9" s="287"/>
      <c r="F9" s="287"/>
      <c r="G9" s="287"/>
      <c r="H9" s="288"/>
      <c r="I9" s="278"/>
    </row>
    <row r="10" spans="1:9" ht="53.25" hidden="1" customHeight="1">
      <c r="A10" s="278"/>
      <c r="B10" s="286" t="s">
        <v>369</v>
      </c>
      <c r="C10" s="298"/>
      <c r="D10" s="287"/>
      <c r="E10" s="287"/>
      <c r="F10" s="287"/>
      <c r="G10" s="287"/>
      <c r="H10" s="287"/>
      <c r="I10" s="278"/>
    </row>
    <row r="11" spans="1:9" ht="53.25" hidden="1" customHeight="1">
      <c r="A11" s="278"/>
      <c r="B11" s="286" t="s">
        <v>368</v>
      </c>
      <c r="C11" s="284"/>
      <c r="D11" s="287"/>
      <c r="E11" s="287"/>
      <c r="F11" s="287"/>
      <c r="G11" s="287"/>
      <c r="H11" s="285"/>
      <c r="I11" s="278"/>
    </row>
    <row r="12" spans="1:9" ht="53.25" hidden="1" customHeight="1">
      <c r="A12" s="278"/>
      <c r="B12" s="286" t="s">
        <v>368</v>
      </c>
      <c r="C12" s="298"/>
      <c r="D12" s="288"/>
      <c r="E12" s="288"/>
      <c r="F12" s="288"/>
      <c r="G12" s="288"/>
      <c r="H12" s="288"/>
      <c r="I12" s="278"/>
    </row>
    <row r="13" spans="1:9" ht="53.25" hidden="1" customHeight="1">
      <c r="A13" s="278"/>
      <c r="B13" s="286" t="s">
        <v>367</v>
      </c>
      <c r="C13" s="284"/>
      <c r="D13" s="287"/>
      <c r="E13" s="287"/>
      <c r="F13" s="287"/>
      <c r="G13" s="287"/>
      <c r="H13" s="287"/>
      <c r="I13" s="278"/>
    </row>
    <row r="14" spans="1:9" ht="53.25" hidden="1" customHeight="1">
      <c r="A14" s="278"/>
      <c r="B14" s="286" t="s">
        <v>367</v>
      </c>
      <c r="C14" s="298"/>
      <c r="D14" s="297"/>
      <c r="E14" s="297"/>
      <c r="F14" s="297"/>
      <c r="G14" s="297"/>
      <c r="H14" s="285"/>
      <c r="I14" s="278"/>
    </row>
    <row r="15" spans="1:9" ht="50.25" customHeight="1">
      <c r="A15" s="278"/>
      <c r="B15" s="282" t="s">
        <v>279</v>
      </c>
      <c r="C15" s="283" t="s">
        <v>249</v>
      </c>
      <c r="D15" s="284" t="s">
        <v>366</v>
      </c>
      <c r="E15" s="284" t="s">
        <v>281</v>
      </c>
      <c r="F15" s="284" t="s">
        <v>282</v>
      </c>
      <c r="G15" s="284">
        <v>1</v>
      </c>
      <c r="H15" s="285" t="s">
        <v>283</v>
      </c>
      <c r="I15" s="278"/>
    </row>
    <row r="16" spans="1:9" ht="53.25" hidden="1" customHeight="1">
      <c r="A16" s="278"/>
      <c r="B16" s="286" t="s">
        <v>279</v>
      </c>
      <c r="C16" s="283"/>
      <c r="D16" s="287"/>
      <c r="E16" s="287"/>
      <c r="F16" s="287"/>
      <c r="G16" s="287"/>
      <c r="H16" s="288"/>
      <c r="I16" s="278"/>
    </row>
    <row r="17" spans="1:9" ht="53.25" hidden="1" customHeight="1">
      <c r="A17" s="278"/>
      <c r="B17" s="286" t="s">
        <v>279</v>
      </c>
      <c r="C17" s="283"/>
      <c r="D17" s="287"/>
      <c r="E17" s="287"/>
      <c r="F17" s="287"/>
      <c r="G17" s="287"/>
      <c r="H17" s="288"/>
      <c r="I17" s="278"/>
    </row>
    <row r="18" spans="1:9" ht="8.25" customHeight="1">
      <c r="A18" s="278"/>
      <c r="B18" s="278"/>
      <c r="C18" s="278"/>
      <c r="D18" s="278"/>
      <c r="E18" s="278"/>
      <c r="F18" s="278"/>
      <c r="G18" s="278"/>
      <c r="H18" s="278"/>
      <c r="I18" s="278"/>
    </row>
    <row r="19" spans="1:9">
      <c r="A19" s="278"/>
      <c r="B19" s="278" t="s">
        <v>284</v>
      </c>
      <c r="C19" s="278"/>
      <c r="D19" s="278"/>
      <c r="E19" s="278"/>
      <c r="F19" s="278"/>
      <c r="G19" s="278"/>
      <c r="H19" s="278"/>
      <c r="I19" s="278"/>
    </row>
    <row r="20" spans="1:9">
      <c r="A20" s="278"/>
      <c r="B20" s="278" t="s">
        <v>285</v>
      </c>
      <c r="C20" s="278"/>
      <c r="D20" s="278"/>
      <c r="E20" s="278"/>
      <c r="F20" s="278"/>
      <c r="G20" s="278"/>
      <c r="H20" s="278"/>
      <c r="I20" s="278"/>
    </row>
    <row r="21" spans="1:9">
      <c r="A21" s="278"/>
      <c r="B21" s="278" t="s">
        <v>365</v>
      </c>
      <c r="C21" s="278"/>
      <c r="D21" s="278"/>
      <c r="E21" s="278"/>
      <c r="F21" s="278"/>
      <c r="G21" s="278"/>
      <c r="H21" s="278"/>
      <c r="I21" s="278"/>
    </row>
    <row r="22" spans="1:9">
      <c r="A22" s="278"/>
      <c r="B22" s="278"/>
      <c r="C22" s="278"/>
      <c r="D22" s="278"/>
      <c r="E22" s="278"/>
      <c r="F22" s="278"/>
      <c r="G22" s="278"/>
      <c r="H22" s="278"/>
      <c r="I22" s="278"/>
    </row>
    <row r="23" spans="1:9">
      <c r="A23" s="278"/>
      <c r="B23" s="278" t="s">
        <v>286</v>
      </c>
      <c r="C23" s="278"/>
      <c r="D23" s="278"/>
      <c r="E23" s="278"/>
      <c r="F23" s="278"/>
      <c r="G23" s="278"/>
      <c r="H23" s="278"/>
      <c r="I23" s="278"/>
    </row>
    <row r="24" spans="1:9">
      <c r="A24" s="278"/>
      <c r="B24" s="289" t="s">
        <v>287</v>
      </c>
      <c r="C24" s="290" t="s">
        <v>288</v>
      </c>
      <c r="D24" s="278"/>
      <c r="E24" s="278"/>
      <c r="F24" s="278"/>
      <c r="G24" s="278" t="s">
        <v>289</v>
      </c>
      <c r="H24" s="278"/>
      <c r="I24" s="278"/>
    </row>
    <row r="25" spans="1:9">
      <c r="A25" s="278"/>
      <c r="B25" s="296" t="s">
        <v>290</v>
      </c>
      <c r="C25" s="295" t="s">
        <v>291</v>
      </c>
      <c r="D25" s="294"/>
      <c r="E25" s="294"/>
      <c r="F25" s="294"/>
      <c r="G25" s="294" t="s">
        <v>292</v>
      </c>
      <c r="H25" s="294"/>
      <c r="I25" s="278"/>
    </row>
    <row r="26" spans="1:9">
      <c r="A26" s="278"/>
      <c r="B26" s="296" t="s">
        <v>293</v>
      </c>
      <c r="C26" s="295" t="s">
        <v>294</v>
      </c>
      <c r="D26" s="294"/>
      <c r="E26" s="294"/>
      <c r="F26" s="294"/>
      <c r="G26" s="294" t="s">
        <v>295</v>
      </c>
      <c r="H26" s="294"/>
      <c r="I26" s="278"/>
    </row>
    <row r="27" spans="1:9">
      <c r="A27" s="278"/>
      <c r="B27" s="296" t="s">
        <v>364</v>
      </c>
      <c r="C27" s="295" t="s">
        <v>363</v>
      </c>
      <c r="D27" s="294"/>
      <c r="E27" s="294"/>
      <c r="F27" s="294"/>
      <c r="G27" s="294" t="s">
        <v>362</v>
      </c>
      <c r="H27" s="294"/>
      <c r="I27" s="278"/>
    </row>
    <row r="28" spans="1:9">
      <c r="A28" s="278"/>
      <c r="B28" s="296" t="s">
        <v>361</v>
      </c>
      <c r="C28" s="295" t="s">
        <v>360</v>
      </c>
      <c r="D28" s="294"/>
      <c r="E28" s="294"/>
      <c r="F28" s="294"/>
      <c r="G28" s="294" t="s">
        <v>359</v>
      </c>
      <c r="H28" s="294"/>
      <c r="I28" s="278"/>
    </row>
    <row r="29" spans="1:9">
      <c r="A29" s="278"/>
      <c r="B29" s="296" t="s">
        <v>358</v>
      </c>
      <c r="C29" s="295" t="s">
        <v>357</v>
      </c>
      <c r="D29" s="294"/>
      <c r="E29" s="294"/>
      <c r="F29" s="294"/>
      <c r="G29" s="294" t="s">
        <v>356</v>
      </c>
      <c r="H29" s="294"/>
      <c r="I29" s="278"/>
    </row>
    <row r="30" spans="1:9">
      <c r="A30" s="278"/>
      <c r="B30" s="278"/>
      <c r="C30" s="278"/>
      <c r="D30" s="278"/>
      <c r="E30" s="278"/>
      <c r="F30" s="278"/>
      <c r="G30" s="278"/>
      <c r="H30" s="278"/>
      <c r="I30" s="278"/>
    </row>
    <row r="31" spans="1:9">
      <c r="A31" s="278"/>
      <c r="B31" s="278"/>
      <c r="C31" s="278"/>
      <c r="D31" s="278"/>
      <c r="E31" s="278"/>
      <c r="F31" s="278"/>
      <c r="G31" s="278"/>
      <c r="H31" s="278"/>
      <c r="I31" s="278"/>
    </row>
    <row r="32" spans="1:9">
      <c r="A32" s="278"/>
      <c r="B32" s="278" t="s">
        <v>355</v>
      </c>
      <c r="C32" s="278"/>
      <c r="D32" s="278"/>
      <c r="E32" s="278"/>
      <c r="F32" s="278"/>
      <c r="G32" s="278"/>
      <c r="H32" s="278"/>
      <c r="I32" s="278"/>
    </row>
    <row r="33" spans="1:9">
      <c r="A33" s="278"/>
      <c r="B33" s="289" t="s">
        <v>297</v>
      </c>
      <c r="C33" s="290" t="s">
        <v>298</v>
      </c>
      <c r="D33" s="278"/>
      <c r="E33" s="278" t="s">
        <v>354</v>
      </c>
      <c r="F33" s="278"/>
      <c r="G33" s="278"/>
      <c r="H33" s="278"/>
      <c r="I33" s="278"/>
    </row>
    <row r="34" spans="1:9">
      <c r="A34" s="278"/>
      <c r="B34" s="296" t="s">
        <v>353</v>
      </c>
      <c r="C34" s="294" t="s">
        <v>352</v>
      </c>
      <c r="D34" s="294"/>
      <c r="E34" s="294"/>
      <c r="F34" s="294"/>
      <c r="G34" s="294"/>
      <c r="H34" s="294"/>
      <c r="I34" s="278"/>
    </row>
    <row r="35" spans="1:9" ht="12" customHeight="1">
      <c r="A35" s="278"/>
      <c r="B35" s="278"/>
      <c r="C35" s="278"/>
      <c r="D35" s="278"/>
      <c r="E35" s="278"/>
      <c r="F35" s="278"/>
      <c r="G35" s="278"/>
      <c r="H35" s="278"/>
      <c r="I35" s="278"/>
    </row>
    <row r="36" spans="1:9" ht="11.25" customHeight="1">
      <c r="A36" s="291"/>
      <c r="B36" s="291"/>
      <c r="C36" s="291"/>
      <c r="D36" s="291"/>
      <c r="E36" s="291"/>
      <c r="F36" s="291"/>
      <c r="G36" s="291"/>
      <c r="H36" s="291"/>
      <c r="I36" s="291"/>
    </row>
    <row r="37" spans="1:9" ht="11.25" customHeight="1">
      <c r="A37" s="278"/>
      <c r="B37" s="278"/>
      <c r="C37" s="278"/>
      <c r="D37" s="278"/>
      <c r="E37" s="278"/>
      <c r="F37" s="278"/>
      <c r="G37" s="278"/>
      <c r="H37" s="278"/>
      <c r="I37" s="278"/>
    </row>
    <row r="38" spans="1:9">
      <c r="A38" s="278"/>
      <c r="B38" s="278" t="s">
        <v>300</v>
      </c>
      <c r="C38" s="278"/>
      <c r="D38" s="278"/>
      <c r="E38" s="278"/>
      <c r="F38" s="278"/>
      <c r="G38" s="278"/>
      <c r="H38" s="278"/>
      <c r="I38" s="278"/>
    </row>
    <row r="39" spans="1:9" ht="11.25" customHeight="1">
      <c r="A39" s="278"/>
      <c r="B39" s="278"/>
      <c r="C39" s="278"/>
      <c r="D39" s="278"/>
      <c r="E39" s="278"/>
      <c r="F39" s="278"/>
      <c r="G39" s="278"/>
      <c r="H39" s="278"/>
      <c r="I39" s="278"/>
    </row>
    <row r="40" spans="1:9">
      <c r="A40" s="278"/>
      <c r="B40" s="292" t="s">
        <v>301</v>
      </c>
      <c r="C40" s="278"/>
      <c r="D40" s="278"/>
      <c r="E40" s="278"/>
      <c r="F40" s="278"/>
      <c r="G40" s="278"/>
      <c r="H40" s="278"/>
      <c r="I40" s="278"/>
    </row>
    <row r="41" spans="1:9">
      <c r="A41" s="278"/>
      <c r="B41" s="289" t="s">
        <v>302</v>
      </c>
      <c r="C41" s="278" t="s">
        <v>303</v>
      </c>
      <c r="D41" s="278"/>
      <c r="E41" s="278"/>
      <c r="F41" s="278"/>
      <c r="G41" s="278"/>
      <c r="H41" s="278"/>
      <c r="I41" s="278"/>
    </row>
    <row r="42" spans="1:9">
      <c r="A42" s="278"/>
      <c r="B42" s="289"/>
      <c r="C42" s="278"/>
      <c r="D42" s="278"/>
      <c r="E42" s="278"/>
      <c r="F42" s="278"/>
      <c r="G42" s="278"/>
      <c r="H42" s="278"/>
      <c r="I42" s="278"/>
    </row>
    <row r="43" spans="1:9">
      <c r="A43" s="278"/>
      <c r="B43" s="289" t="s">
        <v>304</v>
      </c>
      <c r="C43" s="278" t="s">
        <v>305</v>
      </c>
      <c r="D43" s="278"/>
      <c r="E43" s="278"/>
      <c r="F43" s="278"/>
      <c r="G43" s="278"/>
      <c r="H43" s="278"/>
      <c r="I43" s="278"/>
    </row>
    <row r="44" spans="1:9">
      <c r="A44" s="278"/>
      <c r="B44" s="289"/>
      <c r="C44" s="278"/>
      <c r="D44" s="278"/>
      <c r="E44" s="278"/>
      <c r="F44" s="278"/>
      <c r="G44" s="278"/>
      <c r="H44" s="278"/>
      <c r="I44" s="278"/>
    </row>
    <row r="45" spans="1:9">
      <c r="A45" s="278"/>
      <c r="B45" s="289"/>
      <c r="C45" s="278"/>
      <c r="D45" s="278"/>
      <c r="E45" s="278"/>
      <c r="F45" s="278"/>
      <c r="G45" s="278"/>
      <c r="H45" s="278"/>
      <c r="I45" s="278"/>
    </row>
    <row r="46" spans="1:9">
      <c r="A46" s="278"/>
      <c r="B46" s="289"/>
      <c r="C46" s="278"/>
      <c r="D46" s="278"/>
      <c r="E46" s="278"/>
      <c r="F46" s="278"/>
      <c r="G46" s="278"/>
      <c r="H46" s="278"/>
      <c r="I46" s="278"/>
    </row>
    <row r="47" spans="1:9">
      <c r="A47" s="278"/>
      <c r="B47" s="289"/>
      <c r="C47" s="278"/>
      <c r="D47" s="278"/>
      <c r="E47" s="278"/>
      <c r="F47" s="278"/>
      <c r="G47" s="278"/>
      <c r="H47" s="278"/>
      <c r="I47" s="278"/>
    </row>
    <row r="48" spans="1:9">
      <c r="A48" s="278"/>
      <c r="B48" s="289"/>
      <c r="C48" s="278"/>
      <c r="D48" s="278"/>
      <c r="E48" s="278"/>
      <c r="F48" s="278"/>
      <c r="G48" s="278"/>
      <c r="H48" s="278"/>
      <c r="I48" s="278"/>
    </row>
    <row r="49" spans="1:9">
      <c r="A49" s="278"/>
      <c r="B49" s="289"/>
      <c r="C49" s="278"/>
      <c r="D49" s="278"/>
      <c r="E49" s="278"/>
      <c r="F49" s="278"/>
      <c r="G49" s="278"/>
      <c r="H49" s="278"/>
      <c r="I49" s="278"/>
    </row>
    <row r="50" spans="1:9">
      <c r="A50" s="278"/>
      <c r="B50" s="289"/>
      <c r="C50" s="278"/>
      <c r="D50" s="278"/>
      <c r="E50" s="278"/>
      <c r="F50" s="278"/>
      <c r="G50" s="278"/>
      <c r="H50" s="278"/>
      <c r="I50" s="278"/>
    </row>
    <row r="51" spans="1:9">
      <c r="A51" s="278"/>
      <c r="B51" s="289"/>
      <c r="C51" s="278"/>
      <c r="D51" s="278"/>
      <c r="E51" s="278"/>
      <c r="F51" s="278"/>
      <c r="G51" s="278"/>
      <c r="H51" s="278"/>
      <c r="I51" s="278"/>
    </row>
    <row r="52" spans="1:9">
      <c r="A52" s="278"/>
      <c r="B52" s="289"/>
      <c r="C52" s="278"/>
      <c r="D52" s="278"/>
      <c r="E52" s="278"/>
      <c r="F52" s="278"/>
      <c r="G52" s="278"/>
      <c r="H52" s="278"/>
      <c r="I52" s="278"/>
    </row>
    <row r="53" spans="1:9">
      <c r="A53" s="278"/>
      <c r="B53" s="289"/>
      <c r="C53" s="278"/>
      <c r="D53" s="278"/>
      <c r="E53" s="278"/>
      <c r="F53" s="278"/>
      <c r="G53" s="278"/>
      <c r="H53" s="278"/>
      <c r="I53" s="278"/>
    </row>
    <row r="54" spans="1:9">
      <c r="A54" s="278"/>
      <c r="B54" s="289" t="s">
        <v>306</v>
      </c>
      <c r="C54" s="278" t="s">
        <v>351</v>
      </c>
      <c r="D54" s="278"/>
      <c r="E54" s="278"/>
      <c r="F54" s="278"/>
      <c r="G54" s="278"/>
      <c r="H54" s="278"/>
      <c r="I54" s="278"/>
    </row>
    <row r="55" spans="1:9">
      <c r="A55" s="278"/>
      <c r="B55" s="289"/>
      <c r="C55" s="278" t="s">
        <v>350</v>
      </c>
      <c r="D55" s="278"/>
      <c r="E55" s="278"/>
      <c r="F55" s="278"/>
      <c r="G55" s="278"/>
      <c r="H55" s="278"/>
      <c r="I55" s="278"/>
    </row>
    <row r="56" spans="1:9">
      <c r="A56" s="278"/>
      <c r="B56" s="289"/>
      <c r="C56" s="278"/>
      <c r="D56" s="278"/>
      <c r="E56" s="278"/>
      <c r="F56" s="278"/>
      <c r="G56" s="278"/>
      <c r="H56" s="278"/>
      <c r="I56" s="278"/>
    </row>
    <row r="57" spans="1:9">
      <c r="A57" s="278"/>
      <c r="B57" s="289" t="s">
        <v>308</v>
      </c>
      <c r="C57" s="278" t="s">
        <v>309</v>
      </c>
      <c r="D57" s="278"/>
      <c r="E57" s="278"/>
      <c r="F57" s="278"/>
      <c r="G57" s="278"/>
      <c r="H57" s="278"/>
      <c r="I57" s="278"/>
    </row>
    <row r="58" spans="1:9">
      <c r="A58" s="278"/>
      <c r="B58" s="289"/>
      <c r="C58" s="278"/>
      <c r="D58" s="278"/>
      <c r="E58" s="278"/>
      <c r="F58" s="278"/>
      <c r="G58" s="278"/>
      <c r="H58" s="278"/>
      <c r="I58" s="278"/>
    </row>
    <row r="59" spans="1:9">
      <c r="A59" s="278"/>
      <c r="B59" s="289" t="s">
        <v>310</v>
      </c>
      <c r="C59" s="278" t="s">
        <v>349</v>
      </c>
      <c r="D59" s="278"/>
      <c r="E59" s="278"/>
      <c r="F59" s="278"/>
      <c r="G59" s="278"/>
      <c r="H59" s="278"/>
      <c r="I59" s="278"/>
    </row>
    <row r="60" spans="1:9">
      <c r="A60" s="278"/>
      <c r="B60" s="289"/>
      <c r="C60" s="278" t="s">
        <v>348</v>
      </c>
      <c r="D60" s="278"/>
      <c r="E60" s="278"/>
      <c r="F60" s="278"/>
      <c r="G60" s="278"/>
      <c r="H60" s="278"/>
      <c r="I60" s="278"/>
    </row>
    <row r="61" spans="1:9">
      <c r="A61" s="278"/>
      <c r="B61" s="289"/>
      <c r="C61" s="278" t="s">
        <v>347</v>
      </c>
      <c r="D61" s="278"/>
      <c r="E61" s="278"/>
      <c r="F61" s="278"/>
      <c r="G61" s="278"/>
      <c r="H61" s="278"/>
      <c r="I61" s="278"/>
    </row>
    <row r="62" spans="1:9">
      <c r="A62" s="278"/>
      <c r="B62" s="289"/>
      <c r="C62" s="278"/>
      <c r="D62" s="278"/>
      <c r="E62" s="278"/>
      <c r="F62" s="278"/>
      <c r="G62" s="278"/>
      <c r="H62" s="278"/>
      <c r="I62" s="278"/>
    </row>
    <row r="63" spans="1:9">
      <c r="A63" s="278"/>
      <c r="B63" s="289" t="s">
        <v>312</v>
      </c>
      <c r="C63" s="278" t="s">
        <v>346</v>
      </c>
      <c r="D63" s="278"/>
      <c r="E63" s="278"/>
      <c r="F63" s="278"/>
      <c r="G63" s="278"/>
      <c r="H63" s="278"/>
      <c r="I63" s="278"/>
    </row>
    <row r="64" spans="1:9">
      <c r="A64" s="278"/>
      <c r="B64" s="289"/>
      <c r="C64" s="278" t="s">
        <v>345</v>
      </c>
      <c r="D64" s="278"/>
      <c r="E64" s="278"/>
      <c r="F64" s="278"/>
      <c r="G64" s="278"/>
      <c r="H64" s="278"/>
      <c r="I64" s="278"/>
    </row>
    <row r="65" spans="1:9">
      <c r="A65" s="278"/>
      <c r="B65" s="289"/>
      <c r="C65" s="278" t="s">
        <v>344</v>
      </c>
      <c r="D65" s="278"/>
      <c r="E65" s="278"/>
      <c r="F65" s="278"/>
      <c r="G65" s="278"/>
      <c r="H65" s="278"/>
      <c r="I65" s="278"/>
    </row>
    <row r="66" spans="1:9">
      <c r="A66" s="278"/>
      <c r="B66" s="289"/>
      <c r="C66" s="278" t="s">
        <v>343</v>
      </c>
      <c r="D66" s="278"/>
      <c r="E66" s="278"/>
      <c r="F66" s="278"/>
      <c r="G66" s="278"/>
      <c r="H66" s="278"/>
      <c r="I66" s="278"/>
    </row>
    <row r="67" spans="1:9">
      <c r="A67" s="278"/>
      <c r="B67" s="289"/>
      <c r="C67" s="278"/>
      <c r="D67" s="278"/>
      <c r="E67" s="278"/>
      <c r="F67" s="278"/>
      <c r="G67" s="278"/>
      <c r="H67" s="278"/>
      <c r="I67" s="278"/>
    </row>
    <row r="68" spans="1:9">
      <c r="A68" s="278"/>
      <c r="B68" s="289" t="s">
        <v>315</v>
      </c>
      <c r="C68" s="278" t="s">
        <v>316</v>
      </c>
      <c r="D68" s="278"/>
      <c r="E68" s="278"/>
      <c r="F68" s="278"/>
      <c r="G68" s="278"/>
      <c r="H68" s="278"/>
      <c r="I68" s="278"/>
    </row>
    <row r="69" spans="1:9">
      <c r="A69" s="278"/>
      <c r="B69" s="289"/>
      <c r="C69" s="278"/>
      <c r="D69" s="278"/>
      <c r="E69" s="278"/>
      <c r="F69" s="278"/>
      <c r="G69" s="278"/>
      <c r="H69" s="278"/>
      <c r="I69" s="278"/>
    </row>
    <row r="70" spans="1:9">
      <c r="A70" s="278"/>
      <c r="B70" s="289" t="s">
        <v>317</v>
      </c>
      <c r="C70" s="278" t="s">
        <v>318</v>
      </c>
      <c r="D70" s="278"/>
      <c r="E70" s="278"/>
      <c r="F70" s="278"/>
      <c r="G70" s="278"/>
      <c r="H70" s="278"/>
      <c r="I70" s="278"/>
    </row>
    <row r="71" spans="1:9">
      <c r="A71" s="278"/>
      <c r="B71" s="289"/>
      <c r="C71" s="278"/>
      <c r="D71" s="278"/>
      <c r="E71" s="278"/>
      <c r="F71" s="278"/>
      <c r="G71" s="278"/>
      <c r="H71" s="278"/>
      <c r="I71" s="278"/>
    </row>
    <row r="72" spans="1:9">
      <c r="A72" s="278"/>
      <c r="B72" s="289" t="s">
        <v>319</v>
      </c>
      <c r="C72" s="278" t="s">
        <v>320</v>
      </c>
      <c r="D72" s="278"/>
      <c r="E72" s="278"/>
      <c r="F72" s="278"/>
      <c r="G72" s="278"/>
      <c r="H72" s="278"/>
      <c r="I72" s="278"/>
    </row>
    <row r="73" spans="1:9">
      <c r="A73" s="278"/>
      <c r="B73" s="289"/>
      <c r="C73" s="278"/>
      <c r="D73" s="278"/>
      <c r="E73" s="278"/>
      <c r="F73" s="278"/>
      <c r="G73" s="278"/>
      <c r="H73" s="278"/>
      <c r="I73" s="278"/>
    </row>
    <row r="74" spans="1:9" ht="11.25" customHeight="1">
      <c r="A74" s="291"/>
      <c r="B74" s="293"/>
      <c r="C74" s="291"/>
      <c r="D74" s="291"/>
      <c r="E74" s="291"/>
      <c r="F74" s="291"/>
      <c r="G74" s="291"/>
      <c r="H74" s="291"/>
      <c r="I74" s="291"/>
    </row>
    <row r="75" spans="1:9">
      <c r="A75" s="278"/>
      <c r="B75" s="301"/>
      <c r="C75" s="302"/>
      <c r="D75" s="302"/>
      <c r="E75" s="302"/>
      <c r="F75" s="302"/>
      <c r="G75" s="302"/>
      <c r="H75" s="302"/>
      <c r="I75" s="278"/>
    </row>
    <row r="76" spans="1:9">
      <c r="A76" s="278"/>
      <c r="B76" s="301" t="s">
        <v>321</v>
      </c>
      <c r="C76" s="302"/>
      <c r="D76" s="302"/>
      <c r="E76" s="302"/>
      <c r="F76" s="302"/>
      <c r="G76" s="302"/>
      <c r="H76" s="302"/>
      <c r="I76" s="278"/>
    </row>
    <row r="77" spans="1:9">
      <c r="A77" s="278"/>
      <c r="B77" s="301" t="s">
        <v>302</v>
      </c>
      <c r="C77" s="302" t="s">
        <v>322</v>
      </c>
      <c r="D77" s="302"/>
      <c r="E77" s="302"/>
      <c r="F77" s="302"/>
      <c r="G77" s="302"/>
      <c r="H77" s="302"/>
      <c r="I77" s="278"/>
    </row>
    <row r="78" spans="1:9">
      <c r="A78" s="278"/>
      <c r="B78" s="301"/>
      <c r="C78" s="302"/>
      <c r="D78" s="302"/>
      <c r="E78" s="302"/>
      <c r="F78" s="302"/>
      <c r="G78" s="302"/>
      <c r="H78" s="302"/>
      <c r="I78" s="278"/>
    </row>
    <row r="79" spans="1:9">
      <c r="A79" s="278"/>
      <c r="B79" s="301" t="s">
        <v>304</v>
      </c>
      <c r="C79" s="302" t="s">
        <v>326</v>
      </c>
      <c r="D79" s="302"/>
      <c r="E79" s="302"/>
      <c r="F79" s="302"/>
      <c r="G79" s="302"/>
      <c r="H79" s="302"/>
      <c r="I79" s="278"/>
    </row>
    <row r="80" spans="1:9">
      <c r="A80" s="278"/>
      <c r="B80" s="301"/>
      <c r="C80" s="302"/>
      <c r="D80" s="302"/>
      <c r="E80" s="302"/>
      <c r="F80" s="302"/>
      <c r="G80" s="302"/>
      <c r="H80" s="302"/>
      <c r="I80" s="278"/>
    </row>
    <row r="81" spans="1:9">
      <c r="A81" s="278"/>
      <c r="B81" s="301" t="s">
        <v>306</v>
      </c>
      <c r="C81" s="302" t="s">
        <v>327</v>
      </c>
      <c r="D81" s="302"/>
      <c r="E81" s="302"/>
      <c r="F81" s="302"/>
      <c r="G81" s="302"/>
      <c r="H81" s="302"/>
      <c r="I81" s="278"/>
    </row>
    <row r="82" spans="1:9">
      <c r="A82" s="278"/>
      <c r="B82" s="301"/>
      <c r="C82" s="302"/>
      <c r="D82" s="302"/>
      <c r="E82" s="302"/>
      <c r="F82" s="302"/>
      <c r="G82" s="302"/>
      <c r="H82" s="302"/>
      <c r="I82" s="278"/>
    </row>
    <row r="83" spans="1:9">
      <c r="A83" s="278"/>
      <c r="B83" s="301" t="s">
        <v>308</v>
      </c>
      <c r="C83" s="302" t="s">
        <v>342</v>
      </c>
      <c r="D83" s="302"/>
      <c r="E83" s="302"/>
      <c r="F83" s="302"/>
      <c r="G83" s="302"/>
      <c r="H83" s="302"/>
      <c r="I83" s="278"/>
    </row>
    <row r="84" spans="1:9">
      <c r="A84" s="278"/>
      <c r="B84" s="301"/>
      <c r="C84" s="302"/>
      <c r="D84" s="302"/>
      <c r="E84" s="302"/>
      <c r="F84" s="302"/>
      <c r="G84" s="302"/>
      <c r="H84" s="302"/>
      <c r="I84" s="278"/>
    </row>
    <row r="85" spans="1:9">
      <c r="A85" s="278"/>
      <c r="B85" s="301" t="s">
        <v>310</v>
      </c>
      <c r="C85" s="302" t="s">
        <v>341</v>
      </c>
      <c r="D85" s="302"/>
      <c r="E85" s="302"/>
      <c r="F85" s="302"/>
      <c r="G85" s="302"/>
      <c r="H85" s="302"/>
      <c r="I85" s="278"/>
    </row>
    <row r="86" spans="1:9">
      <c r="A86" s="278"/>
      <c r="B86" s="301"/>
      <c r="C86" s="302" t="s">
        <v>340</v>
      </c>
      <c r="D86" s="302"/>
      <c r="E86" s="302"/>
      <c r="F86" s="302"/>
      <c r="G86" s="302"/>
      <c r="H86" s="302"/>
      <c r="I86" s="278"/>
    </row>
    <row r="87" spans="1:9">
      <c r="A87" s="278"/>
      <c r="B87" s="301"/>
      <c r="C87" s="302"/>
      <c r="D87" s="302"/>
      <c r="E87" s="302"/>
      <c r="F87" s="302"/>
      <c r="G87" s="302"/>
      <c r="H87" s="302"/>
      <c r="I87" s="278"/>
    </row>
    <row r="88" spans="1:9">
      <c r="A88" s="278"/>
      <c r="B88" s="301"/>
      <c r="C88" s="302"/>
      <c r="D88" s="302"/>
      <c r="E88" s="302"/>
      <c r="F88" s="302"/>
      <c r="G88" s="302"/>
      <c r="H88" s="302"/>
      <c r="I88" s="278"/>
    </row>
    <row r="89" spans="1:9">
      <c r="A89" s="278"/>
      <c r="B89" s="301"/>
      <c r="C89" s="302"/>
      <c r="D89" s="302"/>
      <c r="E89" s="302"/>
      <c r="F89" s="302"/>
      <c r="G89" s="302"/>
      <c r="H89" s="302"/>
      <c r="I89" s="278"/>
    </row>
    <row r="90" spans="1:9">
      <c r="A90" s="278"/>
      <c r="B90" s="301"/>
      <c r="C90" s="302"/>
      <c r="D90" s="302"/>
      <c r="E90" s="302"/>
      <c r="F90" s="302"/>
      <c r="G90" s="302"/>
      <c r="H90" s="302"/>
      <c r="I90" s="278"/>
    </row>
    <row r="91" spans="1:9">
      <c r="A91" s="278"/>
      <c r="B91" s="301"/>
      <c r="C91" s="302"/>
      <c r="D91" s="302"/>
      <c r="E91" s="302"/>
      <c r="F91" s="302"/>
      <c r="G91" s="302"/>
      <c r="H91" s="302"/>
      <c r="I91" s="278"/>
    </row>
    <row r="92" spans="1:9">
      <c r="A92" s="278"/>
      <c r="B92" s="301"/>
      <c r="C92" s="302"/>
      <c r="D92" s="302"/>
      <c r="E92" s="302"/>
      <c r="F92" s="302"/>
      <c r="G92" s="302"/>
      <c r="H92" s="302"/>
      <c r="I92" s="278"/>
    </row>
    <row r="93" spans="1:9">
      <c r="A93" s="278"/>
      <c r="B93" s="301"/>
      <c r="C93" s="302"/>
      <c r="D93" s="302"/>
      <c r="E93" s="302"/>
      <c r="F93" s="302"/>
      <c r="G93" s="302"/>
      <c r="H93" s="302"/>
      <c r="I93" s="278"/>
    </row>
    <row r="94" spans="1:9">
      <c r="A94" s="278"/>
      <c r="B94" s="301"/>
      <c r="C94" s="302"/>
      <c r="D94" s="302"/>
      <c r="E94" s="302"/>
      <c r="F94" s="302"/>
      <c r="G94" s="302"/>
      <c r="H94" s="302"/>
      <c r="I94" s="278"/>
    </row>
    <row r="95" spans="1:9">
      <c r="A95" s="278"/>
      <c r="B95" s="301"/>
      <c r="C95" s="302"/>
      <c r="D95" s="302"/>
      <c r="E95" s="302"/>
      <c r="F95" s="302"/>
      <c r="G95" s="302"/>
      <c r="H95" s="302"/>
      <c r="I95" s="278"/>
    </row>
    <row r="96" spans="1:9">
      <c r="A96" s="278"/>
      <c r="B96" s="301" t="s">
        <v>312</v>
      </c>
      <c r="C96" s="302" t="s">
        <v>339</v>
      </c>
      <c r="D96" s="302"/>
      <c r="E96" s="302"/>
      <c r="F96" s="302"/>
      <c r="G96" s="302"/>
      <c r="H96" s="302"/>
      <c r="I96" s="278"/>
    </row>
    <row r="97" spans="1:9">
      <c r="A97" s="278"/>
      <c r="B97" s="301"/>
      <c r="C97" s="302" t="s">
        <v>338</v>
      </c>
      <c r="D97" s="302"/>
      <c r="E97" s="302"/>
      <c r="F97" s="302"/>
      <c r="G97" s="302"/>
      <c r="H97" s="302"/>
      <c r="I97" s="278"/>
    </row>
    <row r="98" spans="1:9">
      <c r="A98" s="278"/>
      <c r="B98" s="301"/>
      <c r="C98" s="302"/>
      <c r="D98" s="302"/>
      <c r="E98" s="302"/>
      <c r="F98" s="302"/>
      <c r="G98" s="302"/>
      <c r="H98" s="302"/>
      <c r="I98" s="278"/>
    </row>
    <row r="99" spans="1:9">
      <c r="A99" s="278"/>
      <c r="B99" s="301"/>
      <c r="C99" s="302"/>
      <c r="D99" s="302"/>
      <c r="E99" s="302"/>
      <c r="F99" s="302"/>
      <c r="G99" s="302"/>
      <c r="H99" s="302"/>
      <c r="I99" s="278"/>
    </row>
    <row r="100" spans="1:9">
      <c r="A100" s="278"/>
      <c r="B100" s="301"/>
      <c r="C100" s="302"/>
      <c r="D100" s="302"/>
      <c r="E100" s="302"/>
      <c r="F100" s="302"/>
      <c r="G100" s="302"/>
      <c r="H100" s="302"/>
      <c r="I100" s="278"/>
    </row>
    <row r="101" spans="1:9">
      <c r="A101" s="278"/>
      <c r="B101" s="301"/>
      <c r="C101" s="302"/>
      <c r="D101" s="302"/>
      <c r="E101" s="302"/>
      <c r="F101" s="302"/>
      <c r="G101" s="302"/>
      <c r="H101" s="302"/>
      <c r="I101" s="278"/>
    </row>
    <row r="102" spans="1:9">
      <c r="A102" s="278"/>
      <c r="B102" s="301"/>
      <c r="C102" s="302"/>
      <c r="D102" s="302"/>
      <c r="E102" s="302"/>
      <c r="F102" s="302"/>
      <c r="G102" s="302"/>
      <c r="H102" s="302"/>
      <c r="I102" s="278"/>
    </row>
    <row r="103" spans="1:9">
      <c r="A103" s="278"/>
      <c r="B103" s="301"/>
      <c r="C103" s="302"/>
      <c r="D103" s="302"/>
      <c r="E103" s="302"/>
      <c r="F103" s="302"/>
      <c r="G103" s="302"/>
      <c r="H103" s="302"/>
      <c r="I103" s="278"/>
    </row>
    <row r="104" spans="1:9">
      <c r="A104" s="278"/>
      <c r="B104" s="301"/>
      <c r="C104" s="302"/>
      <c r="D104" s="302"/>
      <c r="E104" s="302"/>
      <c r="F104" s="302"/>
      <c r="G104" s="302"/>
      <c r="H104" s="302"/>
      <c r="I104" s="278"/>
    </row>
    <row r="105" spans="1:9">
      <c r="A105" s="278"/>
      <c r="B105" s="301"/>
      <c r="C105" s="302"/>
      <c r="D105" s="302"/>
      <c r="E105" s="302"/>
      <c r="F105" s="302"/>
      <c r="G105" s="302"/>
      <c r="H105" s="302"/>
      <c r="I105" s="278"/>
    </row>
    <row r="106" spans="1:9">
      <c r="A106" s="278"/>
      <c r="B106" s="301"/>
      <c r="C106" s="302"/>
      <c r="D106" s="302"/>
      <c r="E106" s="302"/>
      <c r="F106" s="302"/>
      <c r="G106" s="302"/>
      <c r="H106" s="302"/>
      <c r="I106" s="278"/>
    </row>
    <row r="107" spans="1:9">
      <c r="A107" s="278"/>
      <c r="B107" s="301"/>
      <c r="C107" s="302"/>
      <c r="D107" s="302"/>
      <c r="E107" s="302"/>
      <c r="F107" s="302"/>
      <c r="G107" s="302"/>
      <c r="H107" s="302"/>
      <c r="I107" s="278"/>
    </row>
    <row r="108" spans="1:9">
      <c r="A108" s="278"/>
      <c r="B108" s="301"/>
      <c r="C108" s="302"/>
      <c r="D108" s="302"/>
      <c r="E108" s="302"/>
      <c r="F108" s="302"/>
      <c r="G108" s="302"/>
      <c r="H108" s="302"/>
      <c r="I108" s="278"/>
    </row>
    <row r="109" spans="1:9">
      <c r="A109" s="278"/>
      <c r="B109" s="301" t="s">
        <v>315</v>
      </c>
      <c r="C109" s="302" t="s">
        <v>337</v>
      </c>
      <c r="D109" s="302"/>
      <c r="E109" s="302"/>
      <c r="F109" s="302"/>
      <c r="G109" s="302"/>
      <c r="H109" s="302"/>
      <c r="I109" s="278"/>
    </row>
    <row r="110" spans="1:9">
      <c r="A110" s="278"/>
      <c r="B110" s="301"/>
      <c r="C110" s="302"/>
      <c r="D110" s="302"/>
      <c r="E110" s="302"/>
      <c r="F110" s="302"/>
      <c r="G110" s="302"/>
      <c r="H110" s="302"/>
      <c r="I110" s="278"/>
    </row>
    <row r="111" spans="1:9" ht="7.5" customHeight="1">
      <c r="A111" s="278"/>
      <c r="B111" s="289"/>
      <c r="C111" s="278"/>
      <c r="D111" s="278"/>
      <c r="E111" s="278"/>
      <c r="F111" s="278"/>
      <c r="G111" s="278"/>
      <c r="H111" s="278"/>
      <c r="I111" s="278"/>
    </row>
    <row r="112" spans="1:9">
      <c r="A112" s="278"/>
      <c r="B112" s="289"/>
      <c r="C112" s="278"/>
      <c r="D112" s="278"/>
      <c r="E112" s="278"/>
      <c r="F112" s="278"/>
      <c r="G112" s="278"/>
      <c r="H112" s="278"/>
      <c r="I112" s="278"/>
    </row>
    <row r="113" spans="1:9">
      <c r="A113" s="278"/>
      <c r="B113" s="289"/>
      <c r="C113" s="278"/>
      <c r="D113" s="278"/>
      <c r="E113" s="278"/>
      <c r="F113" s="278"/>
      <c r="G113" s="278"/>
      <c r="H113" s="278"/>
      <c r="I113" s="278"/>
    </row>
    <row r="114" spans="1:9">
      <c r="A114" s="278"/>
      <c r="B114" s="289"/>
      <c r="C114" s="278"/>
      <c r="D114" s="278"/>
      <c r="E114" s="278"/>
      <c r="F114" s="278"/>
      <c r="G114" s="278"/>
      <c r="H114" s="278"/>
      <c r="I114" s="278"/>
    </row>
    <row r="115" spans="1:9">
      <c r="A115" s="278"/>
      <c r="B115" s="289"/>
      <c r="C115" s="278"/>
      <c r="D115" s="278"/>
      <c r="E115" s="278"/>
      <c r="F115" s="278"/>
      <c r="G115" s="278"/>
      <c r="H115" s="278"/>
      <c r="I115" s="278"/>
    </row>
    <row r="116" spans="1:9">
      <c r="A116" s="278"/>
      <c r="B116" s="289"/>
      <c r="C116" s="278"/>
      <c r="D116" s="278"/>
      <c r="E116" s="278"/>
      <c r="F116" s="278"/>
      <c r="G116" s="278"/>
      <c r="H116" s="278"/>
      <c r="I116" s="278"/>
    </row>
    <row r="117" spans="1:9">
      <c r="A117" s="278"/>
      <c r="B117" s="289"/>
      <c r="C117" s="278"/>
      <c r="D117" s="278"/>
      <c r="E117" s="278"/>
      <c r="F117" s="278"/>
      <c r="G117" s="278"/>
      <c r="H117" s="278"/>
      <c r="I117" s="278"/>
    </row>
    <row r="118" spans="1:9">
      <c r="A118" s="278"/>
      <c r="B118" s="289"/>
      <c r="C118" s="278"/>
      <c r="D118" s="278"/>
      <c r="E118" s="278"/>
      <c r="F118" s="278"/>
      <c r="G118" s="278"/>
      <c r="H118" s="278"/>
      <c r="I118" s="278"/>
    </row>
    <row r="119" spans="1:9">
      <c r="A119" s="278"/>
      <c r="B119" s="289"/>
      <c r="C119" s="278"/>
      <c r="D119" s="278"/>
      <c r="E119" s="278"/>
      <c r="F119" s="278"/>
      <c r="G119" s="278"/>
      <c r="H119" s="278"/>
      <c r="I119" s="278"/>
    </row>
    <row r="120" spans="1:9">
      <c r="A120" s="278"/>
      <c r="B120" s="289"/>
      <c r="C120" s="278"/>
      <c r="D120" s="278"/>
      <c r="E120" s="278"/>
      <c r="F120" s="278"/>
      <c r="G120" s="278"/>
      <c r="H120" s="278"/>
      <c r="I120" s="278"/>
    </row>
    <row r="121" spans="1:9">
      <c r="A121" s="278"/>
      <c r="B121" s="289"/>
      <c r="C121" s="278"/>
      <c r="D121" s="278"/>
      <c r="E121" s="278"/>
      <c r="F121" s="278"/>
      <c r="G121" s="278"/>
      <c r="H121" s="278"/>
      <c r="I121" s="278"/>
    </row>
    <row r="122" spans="1:9">
      <c r="A122" s="278"/>
      <c r="B122" s="289"/>
      <c r="C122" s="278"/>
      <c r="D122" s="278"/>
      <c r="E122" s="278"/>
      <c r="F122" s="278"/>
      <c r="G122" s="278"/>
      <c r="H122" s="278"/>
      <c r="I122" s="278"/>
    </row>
    <row r="123" spans="1:9">
      <c r="A123" s="278"/>
      <c r="B123" s="289"/>
      <c r="C123" s="278"/>
      <c r="D123" s="278"/>
      <c r="E123" s="278"/>
      <c r="F123" s="278"/>
      <c r="G123" s="278"/>
      <c r="H123" s="278"/>
      <c r="I123" s="278"/>
    </row>
    <row r="124" spans="1:9">
      <c r="A124" s="278"/>
      <c r="B124" s="289"/>
      <c r="C124" s="278"/>
      <c r="D124" s="278"/>
      <c r="E124" s="278"/>
      <c r="F124" s="278"/>
      <c r="G124" s="278"/>
      <c r="H124" s="278"/>
      <c r="I124" s="278"/>
    </row>
    <row r="125" spans="1:9">
      <c r="A125" s="278"/>
      <c r="B125" s="289"/>
      <c r="C125" s="278"/>
      <c r="D125" s="278"/>
      <c r="E125" s="278"/>
      <c r="F125" s="278"/>
      <c r="G125" s="278"/>
      <c r="H125" s="278"/>
      <c r="I125" s="278"/>
    </row>
    <row r="126" spans="1:9">
      <c r="A126" s="278"/>
      <c r="B126" s="289"/>
      <c r="C126" s="278"/>
      <c r="D126" s="278"/>
      <c r="E126" s="278"/>
      <c r="F126" s="278"/>
      <c r="G126" s="278"/>
      <c r="H126" s="278"/>
      <c r="I126" s="278"/>
    </row>
    <row r="127" spans="1:9">
      <c r="A127" s="278"/>
      <c r="B127" s="289"/>
      <c r="C127" s="278"/>
      <c r="D127" s="278"/>
      <c r="E127" s="278"/>
      <c r="F127" s="278"/>
      <c r="G127" s="278"/>
      <c r="H127" s="278"/>
      <c r="I127" s="278"/>
    </row>
    <row r="128" spans="1:9">
      <c r="A128" s="278"/>
      <c r="B128" s="289"/>
      <c r="C128" s="278"/>
      <c r="D128" s="278"/>
      <c r="E128" s="278"/>
      <c r="F128" s="278"/>
      <c r="G128" s="278"/>
      <c r="H128" s="278"/>
      <c r="I128" s="278"/>
    </row>
    <row r="129" spans="1:9">
      <c r="A129" s="278"/>
      <c r="B129" s="289"/>
      <c r="C129" s="278"/>
      <c r="D129" s="278"/>
      <c r="E129" s="278"/>
      <c r="F129" s="278"/>
      <c r="G129" s="278"/>
      <c r="H129" s="278"/>
      <c r="I129" s="278"/>
    </row>
    <row r="130" spans="1:9">
      <c r="A130" s="278"/>
      <c r="B130" s="289"/>
      <c r="C130" s="278"/>
      <c r="D130" s="278"/>
      <c r="E130" s="278"/>
      <c r="F130" s="278"/>
      <c r="G130" s="278"/>
      <c r="H130" s="278"/>
      <c r="I130" s="278"/>
    </row>
    <row r="131" spans="1:9">
      <c r="A131" s="278"/>
      <c r="B131" s="289"/>
      <c r="C131" s="278"/>
      <c r="D131" s="278"/>
      <c r="E131" s="278"/>
      <c r="F131" s="278"/>
      <c r="G131" s="278"/>
      <c r="H131" s="278"/>
      <c r="I131" s="278"/>
    </row>
    <row r="132" spans="1:9">
      <c r="A132" s="278"/>
      <c r="B132" s="289"/>
      <c r="C132" s="278"/>
      <c r="D132" s="278"/>
      <c r="E132" s="278"/>
      <c r="F132" s="278"/>
      <c r="G132" s="278"/>
      <c r="H132" s="278"/>
      <c r="I132" s="278"/>
    </row>
    <row r="133" spans="1:9">
      <c r="A133" s="278"/>
      <c r="B133" s="289"/>
      <c r="C133" s="278"/>
      <c r="D133" s="278"/>
      <c r="E133" s="278"/>
      <c r="F133" s="278"/>
      <c r="G133" s="278"/>
      <c r="H133" s="278"/>
      <c r="I133" s="278"/>
    </row>
    <row r="134" spans="1:9">
      <c r="A134" s="278"/>
      <c r="B134" s="289"/>
      <c r="C134" s="278"/>
      <c r="D134" s="278"/>
      <c r="E134" s="278"/>
      <c r="F134" s="278"/>
      <c r="G134" s="278"/>
      <c r="H134" s="278"/>
      <c r="I134" s="278"/>
    </row>
    <row r="135" spans="1:9">
      <c r="A135" s="278"/>
      <c r="B135" s="289"/>
      <c r="C135" s="278"/>
      <c r="D135" s="278"/>
      <c r="E135" s="278"/>
      <c r="F135" s="278"/>
      <c r="G135" s="278"/>
      <c r="H135" s="278"/>
      <c r="I135" s="278"/>
    </row>
    <row r="136" spans="1:9">
      <c r="A136" s="278"/>
      <c r="B136" s="289"/>
      <c r="C136" s="278"/>
      <c r="D136" s="278"/>
      <c r="E136" s="278"/>
      <c r="F136" s="278"/>
      <c r="G136" s="278"/>
      <c r="H136" s="278"/>
      <c r="I136" s="278"/>
    </row>
    <row r="137" spans="1:9">
      <c r="A137" s="278"/>
      <c r="B137" s="289"/>
      <c r="C137" s="278"/>
      <c r="D137" s="278"/>
      <c r="E137" s="278"/>
      <c r="F137" s="278"/>
      <c r="G137" s="278"/>
      <c r="H137" s="278"/>
      <c r="I137" s="278"/>
    </row>
    <row r="138" spans="1:9">
      <c r="A138" s="278"/>
      <c r="B138" s="289"/>
      <c r="C138" s="278"/>
      <c r="D138" s="278"/>
      <c r="E138" s="278"/>
      <c r="F138" s="278"/>
      <c r="G138" s="278"/>
      <c r="H138" s="278"/>
      <c r="I138" s="278"/>
    </row>
    <row r="139" spans="1:9">
      <c r="A139" s="278"/>
      <c r="B139" s="289"/>
      <c r="C139" s="278"/>
      <c r="D139" s="278"/>
      <c r="E139" s="278"/>
      <c r="F139" s="278"/>
      <c r="G139" s="278"/>
      <c r="H139" s="278"/>
      <c r="I139" s="278"/>
    </row>
    <row r="140" spans="1:9">
      <c r="A140" s="278"/>
      <c r="B140" s="289"/>
      <c r="C140" s="278"/>
      <c r="D140" s="278"/>
      <c r="E140" s="278"/>
      <c r="F140" s="278"/>
      <c r="G140" s="278"/>
      <c r="H140" s="278"/>
      <c r="I140" s="278"/>
    </row>
  </sheetData>
  <mergeCells count="1">
    <mergeCell ref="B4:B5"/>
  </mergeCells>
  <phoneticPr fontId="2" type="noConversion"/>
  <hyperlinks>
    <hyperlink ref="C25" r:id="rId1" xr:uid="{54020895-A5CF-4D80-9549-C054C2E63799}"/>
    <hyperlink ref="C26" r:id="rId2" xr:uid="{C764C3B6-1738-46F0-837E-B6735EAAD531}"/>
    <hyperlink ref="C27" r:id="rId3" xr:uid="{5545D2D5-0F9C-4DB8-A9CD-449190D411E4}"/>
    <hyperlink ref="C28" r:id="rId4" xr:uid="{13703FC8-107B-4624-9015-6E145F0F39DB}"/>
    <hyperlink ref="C29" r:id="rId5" xr:uid="{43519EAF-2180-4479-98C1-FAA55916B9B2}"/>
    <hyperlink ref="C33" r:id="rId6" xr:uid="{70B02B5B-75D2-40E4-B3D6-E2CC96656084}"/>
  </hyperlinks>
  <pageMargins left="0.7" right="0.7" top="0.75" bottom="0.75" header="0.3" footer="0.3"/>
  <pageSetup paperSize="9" scale="39" orientation="portrait" r:id="rId7"/>
  <headerFooter>
    <oddHeader>&amp;C&amp;"Calibri"&amp;10&amp;K000000  AGC Group Internal Use Only &amp;1#_x000D_</oddHeader>
  </headerFooter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D18F-4E84-4864-8955-620061102BD8}">
  <sheetPr>
    <tabColor theme="8" tint="0.59999389629810485"/>
  </sheetPr>
  <dimension ref="A1:D522"/>
  <sheetViews>
    <sheetView workbookViewId="0">
      <selection activeCell="C6" sqref="C6"/>
    </sheetView>
  </sheetViews>
  <sheetFormatPr defaultRowHeight="15.75"/>
  <cols>
    <col min="1" max="1" width="21.42578125" customWidth="1"/>
    <col min="2" max="2" width="43.7109375" customWidth="1"/>
    <col min="3" max="3" width="57.140625" customWidth="1"/>
  </cols>
  <sheetData>
    <row r="1" spans="1:4" ht="30.75">
      <c r="A1" s="367" t="s">
        <v>627</v>
      </c>
      <c r="B1" s="368"/>
      <c r="C1" s="368"/>
      <c r="D1" s="368"/>
    </row>
    <row r="2" spans="1:4">
      <c r="A2" s="368"/>
      <c r="B2" s="368"/>
      <c r="C2" s="368"/>
      <c r="D2" s="368"/>
    </row>
    <row r="3" spans="1:4">
      <c r="A3" s="369" t="s">
        <v>628</v>
      </c>
      <c r="B3" s="368"/>
      <c r="C3" s="368"/>
      <c r="D3" s="368"/>
    </row>
    <row r="4" spans="1:4">
      <c r="A4" s="368"/>
      <c r="B4" s="368"/>
      <c r="C4" s="368"/>
      <c r="D4" s="368"/>
    </row>
    <row r="5" spans="1:4" ht="24">
      <c r="A5" s="370" t="s">
        <v>629</v>
      </c>
      <c r="B5" s="368"/>
      <c r="C5" s="368"/>
      <c r="D5" s="368"/>
    </row>
    <row r="6" spans="1:4">
      <c r="A6" s="368"/>
      <c r="B6" s="368"/>
      <c r="C6" s="368"/>
      <c r="D6" s="368"/>
    </row>
    <row r="7" spans="1:4" ht="18">
      <c r="A7" s="371" t="s">
        <v>630</v>
      </c>
      <c r="B7" s="368"/>
      <c r="C7" s="368"/>
      <c r="D7" s="368"/>
    </row>
    <row r="8" spans="1:4">
      <c r="A8" s="368"/>
      <c r="B8" s="368"/>
      <c r="C8" s="368"/>
      <c r="D8" s="368"/>
    </row>
    <row r="9" spans="1:4">
      <c r="A9" s="368" t="s">
        <v>631</v>
      </c>
      <c r="B9" s="368"/>
      <c r="C9" s="368"/>
      <c r="D9" s="368"/>
    </row>
    <row r="10" spans="1:4">
      <c r="A10" s="372"/>
      <c r="B10" s="368"/>
      <c r="C10" s="368"/>
      <c r="D10" s="368"/>
    </row>
    <row r="11" spans="1:4">
      <c r="A11" s="373" t="s">
        <v>632</v>
      </c>
      <c r="B11" s="368"/>
      <c r="C11" s="368"/>
      <c r="D11" s="368"/>
    </row>
    <row r="12" spans="1:4">
      <c r="A12" s="372"/>
      <c r="B12" s="368"/>
      <c r="C12" s="368"/>
      <c r="D12" s="368"/>
    </row>
    <row r="13" spans="1:4">
      <c r="A13" s="373" t="s">
        <v>633</v>
      </c>
      <c r="B13" s="368"/>
      <c r="C13" s="368"/>
      <c r="D13" s="368"/>
    </row>
    <row r="14" spans="1:4">
      <c r="A14" s="372"/>
      <c r="B14" s="368"/>
      <c r="C14" s="368"/>
      <c r="D14" s="368"/>
    </row>
    <row r="15" spans="1:4">
      <c r="A15" s="373" t="s">
        <v>634</v>
      </c>
      <c r="B15" s="368"/>
      <c r="C15" s="368"/>
      <c r="D15" s="368"/>
    </row>
    <row r="16" spans="1:4">
      <c r="A16" s="368"/>
      <c r="B16" s="368"/>
      <c r="C16" s="368"/>
      <c r="D16" s="368"/>
    </row>
    <row r="17" spans="1:4" ht="18">
      <c r="A17" s="371" t="s">
        <v>635</v>
      </c>
      <c r="B17" s="368"/>
      <c r="C17" s="368"/>
      <c r="D17" s="368"/>
    </row>
    <row r="18" spans="1:4">
      <c r="A18" s="372"/>
      <c r="B18" s="368"/>
      <c r="C18" s="368"/>
      <c r="D18" s="368"/>
    </row>
    <row r="19" spans="1:4">
      <c r="A19" s="374" t="s">
        <v>636</v>
      </c>
      <c r="B19" s="368"/>
      <c r="C19" s="368"/>
      <c r="D19" s="368"/>
    </row>
    <row r="20" spans="1:4">
      <c r="A20" s="372"/>
      <c r="B20" s="368"/>
      <c r="C20" s="368"/>
      <c r="D20" s="368"/>
    </row>
    <row r="21" spans="1:4">
      <c r="A21" s="374" t="s">
        <v>637</v>
      </c>
      <c r="B21" s="368"/>
      <c r="C21" s="368"/>
      <c r="D21" s="368"/>
    </row>
    <row r="22" spans="1:4">
      <c r="A22" s="372"/>
      <c r="B22" s="368"/>
      <c r="C22" s="368"/>
      <c r="D22" s="368"/>
    </row>
    <row r="23" spans="1:4">
      <c r="A23" s="374" t="s">
        <v>638</v>
      </c>
      <c r="B23" s="368"/>
      <c r="C23" s="368"/>
      <c r="D23" s="368"/>
    </row>
    <row r="24" spans="1:4">
      <c r="A24" s="368"/>
      <c r="B24" s="368"/>
      <c r="C24" s="368"/>
      <c r="D24" s="368"/>
    </row>
    <row r="25" spans="1:4" ht="24">
      <c r="A25" s="370" t="s">
        <v>639</v>
      </c>
      <c r="B25" s="368"/>
      <c r="C25" s="368"/>
      <c r="D25" s="368"/>
    </row>
    <row r="26" spans="1:4">
      <c r="A26" s="368"/>
      <c r="B26" s="368"/>
      <c r="C26" s="368"/>
      <c r="D26" s="368"/>
    </row>
    <row r="27" spans="1:4">
      <c r="A27" s="369" t="s">
        <v>640</v>
      </c>
      <c r="B27" s="368"/>
      <c r="C27" s="368"/>
      <c r="D27" s="368"/>
    </row>
    <row r="28" spans="1:4">
      <c r="A28" s="368"/>
      <c r="B28" s="368"/>
      <c r="C28" s="368"/>
      <c r="D28" s="368"/>
    </row>
    <row r="29" spans="1:4" ht="18">
      <c r="A29" s="371" t="s">
        <v>641</v>
      </c>
      <c r="B29" s="368"/>
      <c r="C29" s="368"/>
      <c r="D29" s="368"/>
    </row>
    <row r="30" spans="1:4">
      <c r="A30" s="368"/>
      <c r="B30" s="368"/>
      <c r="C30" s="368"/>
      <c r="D30" s="368"/>
    </row>
    <row r="31" spans="1:4">
      <c r="A31" s="375" t="s">
        <v>642</v>
      </c>
      <c r="B31" s="368"/>
      <c r="C31" s="368"/>
      <c r="D31" s="376"/>
    </row>
    <row r="32" spans="1:4">
      <c r="A32" s="368"/>
      <c r="B32" s="368"/>
      <c r="C32" s="368"/>
      <c r="D32" s="120"/>
    </row>
    <row r="33" spans="1:4">
      <c r="A33" s="377" t="s">
        <v>643</v>
      </c>
      <c r="B33" s="377" t="s">
        <v>644</v>
      </c>
      <c r="C33" s="377" t="s">
        <v>645</v>
      </c>
      <c r="D33" s="120"/>
    </row>
    <row r="34" spans="1:4">
      <c r="A34" s="378" t="s">
        <v>646</v>
      </c>
      <c r="B34" s="379" t="s">
        <v>647</v>
      </c>
      <c r="C34" s="378" t="s">
        <v>648</v>
      </c>
      <c r="D34" s="120"/>
    </row>
    <row r="35" spans="1:4">
      <c r="A35" s="378" t="s">
        <v>649</v>
      </c>
      <c r="B35" s="379" t="s">
        <v>647</v>
      </c>
      <c r="C35" s="378" t="s">
        <v>650</v>
      </c>
      <c r="D35" s="120"/>
    </row>
    <row r="36" spans="1:4">
      <c r="A36" s="378" t="s">
        <v>651</v>
      </c>
      <c r="B36" s="379" t="s">
        <v>647</v>
      </c>
      <c r="C36" s="378" t="s">
        <v>652</v>
      </c>
      <c r="D36" s="120"/>
    </row>
    <row r="37" spans="1:4">
      <c r="A37" s="378" t="s">
        <v>653</v>
      </c>
      <c r="B37" s="379" t="s">
        <v>647</v>
      </c>
      <c r="C37" s="378" t="s">
        <v>654</v>
      </c>
      <c r="D37" s="120"/>
    </row>
    <row r="38" spans="1:4">
      <c r="A38" s="378" t="s">
        <v>655</v>
      </c>
      <c r="B38" s="379" t="s">
        <v>647</v>
      </c>
      <c r="C38" s="378" t="s">
        <v>656</v>
      </c>
      <c r="D38" s="368"/>
    </row>
    <row r="39" spans="1:4">
      <c r="A39" s="378" t="s">
        <v>657</v>
      </c>
      <c r="B39" s="379" t="s">
        <v>647</v>
      </c>
      <c r="C39" s="378" t="s">
        <v>658</v>
      </c>
      <c r="D39" s="368"/>
    </row>
    <row r="40" spans="1:4">
      <c r="A40" s="380"/>
      <c r="B40" s="380"/>
      <c r="C40" s="380"/>
      <c r="D40" s="368"/>
    </row>
    <row r="41" spans="1:4" ht="18">
      <c r="A41" s="381" t="s">
        <v>659</v>
      </c>
      <c r="B41" s="380"/>
      <c r="C41" s="380"/>
      <c r="D41" s="368"/>
    </row>
    <row r="42" spans="1:4">
      <c r="A42" s="380"/>
      <c r="B42" s="380"/>
      <c r="C42" s="380"/>
      <c r="D42" s="368"/>
    </row>
    <row r="43" spans="1:4" ht="16.5">
      <c r="A43" s="382" t="s">
        <v>660</v>
      </c>
      <c r="B43" s="380"/>
      <c r="C43" s="380"/>
      <c r="D43" s="368"/>
    </row>
    <row r="44" spans="1:4">
      <c r="A44" s="380"/>
      <c r="B44" s="380"/>
      <c r="C44" s="380"/>
      <c r="D44" s="368"/>
    </row>
    <row r="45" spans="1:4">
      <c r="A45" s="377" t="s">
        <v>643</v>
      </c>
      <c r="B45" s="377" t="s">
        <v>661</v>
      </c>
      <c r="C45" s="377" t="s">
        <v>662</v>
      </c>
      <c r="D45" s="368"/>
    </row>
    <row r="46" spans="1:4">
      <c r="A46" s="378" t="s">
        <v>663</v>
      </c>
      <c r="B46" s="379" t="s">
        <v>647</v>
      </c>
      <c r="C46" s="379" t="s">
        <v>664</v>
      </c>
      <c r="D46" s="368"/>
    </row>
    <row r="47" spans="1:4">
      <c r="A47" s="378" t="s">
        <v>665</v>
      </c>
      <c r="B47" s="379" t="s">
        <v>666</v>
      </c>
      <c r="C47" s="379" t="s">
        <v>667</v>
      </c>
      <c r="D47" s="368"/>
    </row>
    <row r="48" spans="1:4">
      <c r="A48" s="378" t="s">
        <v>668</v>
      </c>
      <c r="B48" s="379" t="s">
        <v>647</v>
      </c>
      <c r="C48" s="379" t="s">
        <v>669</v>
      </c>
      <c r="D48" s="368"/>
    </row>
    <row r="49" spans="1:4">
      <c r="A49" s="378" t="s">
        <v>670</v>
      </c>
      <c r="B49" s="379" t="s">
        <v>647</v>
      </c>
      <c r="C49" s="379" t="s">
        <v>671</v>
      </c>
      <c r="D49" s="368"/>
    </row>
    <row r="50" spans="1:4">
      <c r="A50" s="378" t="s">
        <v>672</v>
      </c>
      <c r="B50" s="379" t="s">
        <v>647</v>
      </c>
      <c r="C50" s="379" t="s">
        <v>673</v>
      </c>
      <c r="D50" s="368"/>
    </row>
    <row r="51" spans="1:4">
      <c r="A51" s="378" t="s">
        <v>674</v>
      </c>
      <c r="B51" s="379" t="s">
        <v>647</v>
      </c>
      <c r="C51" s="379" t="s">
        <v>675</v>
      </c>
      <c r="D51" s="368"/>
    </row>
    <row r="52" spans="1:4">
      <c r="A52" s="380"/>
      <c r="B52" s="380"/>
      <c r="C52" s="380"/>
      <c r="D52" s="368"/>
    </row>
    <row r="53" spans="1:4" ht="16.5">
      <c r="A53" s="382" t="s">
        <v>676</v>
      </c>
      <c r="B53" s="380"/>
      <c r="C53" s="380"/>
      <c r="D53" s="368"/>
    </row>
    <row r="54" spans="1:4">
      <c r="A54" s="380"/>
      <c r="B54" s="380"/>
      <c r="C54" s="380"/>
      <c r="D54" s="368"/>
    </row>
    <row r="55" spans="1:4">
      <c r="A55" s="377" t="s">
        <v>643</v>
      </c>
      <c r="B55" s="377" t="s">
        <v>661</v>
      </c>
      <c r="C55" s="377" t="s">
        <v>662</v>
      </c>
      <c r="D55" s="368"/>
    </row>
    <row r="56" spans="1:4">
      <c r="A56" s="378" t="s">
        <v>677</v>
      </c>
      <c r="B56" s="377" t="s">
        <v>678</v>
      </c>
      <c r="C56" s="379" t="s">
        <v>679</v>
      </c>
      <c r="D56" s="368"/>
    </row>
    <row r="57" spans="1:4">
      <c r="A57" s="378" t="s">
        <v>680</v>
      </c>
      <c r="B57" s="377" t="s">
        <v>681</v>
      </c>
      <c r="C57" s="379" t="s">
        <v>682</v>
      </c>
      <c r="D57" s="368"/>
    </row>
    <row r="58" spans="1:4">
      <c r="A58" s="378" t="s">
        <v>683</v>
      </c>
      <c r="B58" s="377" t="s">
        <v>684</v>
      </c>
      <c r="C58" s="379" t="s">
        <v>685</v>
      </c>
      <c r="D58" s="368"/>
    </row>
    <row r="59" spans="1:4">
      <c r="A59" s="378" t="s">
        <v>686</v>
      </c>
      <c r="B59" s="377" t="s">
        <v>684</v>
      </c>
      <c r="C59" s="379" t="s">
        <v>687</v>
      </c>
      <c r="D59" s="368"/>
    </row>
    <row r="60" spans="1:4">
      <c r="A60" s="383" t="s">
        <v>688</v>
      </c>
      <c r="B60" s="377" t="s">
        <v>684</v>
      </c>
      <c r="C60" s="384" t="s">
        <v>689</v>
      </c>
      <c r="D60" s="368"/>
    </row>
    <row r="61" spans="1:4">
      <c r="A61" s="378" t="s">
        <v>690</v>
      </c>
      <c r="B61" s="377" t="s">
        <v>684</v>
      </c>
      <c r="C61" s="379" t="s">
        <v>691</v>
      </c>
      <c r="D61" s="368"/>
    </row>
    <row r="62" spans="1:4">
      <c r="A62" s="380"/>
      <c r="B62" s="380"/>
      <c r="C62" s="380"/>
      <c r="D62" s="368"/>
    </row>
    <row r="63" spans="1:4" ht="16.5">
      <c r="A63" s="382" t="s">
        <v>692</v>
      </c>
      <c r="B63" s="380"/>
      <c r="C63" s="380"/>
      <c r="D63" s="368"/>
    </row>
    <row r="64" spans="1:4">
      <c r="A64" s="380"/>
      <c r="B64" s="380"/>
      <c r="C64" s="380"/>
      <c r="D64" s="368"/>
    </row>
    <row r="65" spans="1:4">
      <c r="A65" s="377" t="s">
        <v>643</v>
      </c>
      <c r="B65" s="377" t="s">
        <v>661</v>
      </c>
      <c r="C65" s="377" t="s">
        <v>662</v>
      </c>
      <c r="D65" s="368"/>
    </row>
    <row r="66" spans="1:4">
      <c r="A66" s="378" t="s">
        <v>693</v>
      </c>
      <c r="B66" s="377" t="s">
        <v>694</v>
      </c>
      <c r="C66" s="379" t="s">
        <v>695</v>
      </c>
      <c r="D66" s="368"/>
    </row>
    <row r="67" spans="1:4">
      <c r="A67" s="378" t="s">
        <v>696</v>
      </c>
      <c r="B67" s="377" t="s">
        <v>694</v>
      </c>
      <c r="C67" s="379" t="s">
        <v>697</v>
      </c>
      <c r="D67" s="368"/>
    </row>
    <row r="68" spans="1:4">
      <c r="A68" s="378" t="s">
        <v>698</v>
      </c>
      <c r="B68" s="377" t="s">
        <v>694</v>
      </c>
      <c r="C68" s="379" t="s">
        <v>699</v>
      </c>
      <c r="D68" s="368"/>
    </row>
    <row r="69" spans="1:4">
      <c r="A69" s="378" t="s">
        <v>700</v>
      </c>
      <c r="B69" s="377" t="s">
        <v>694</v>
      </c>
      <c r="C69" s="379" t="s">
        <v>701</v>
      </c>
      <c r="D69" s="368"/>
    </row>
    <row r="70" spans="1:4">
      <c r="A70" s="378" t="s">
        <v>702</v>
      </c>
      <c r="B70" s="377" t="s">
        <v>703</v>
      </c>
      <c r="C70" s="379" t="s">
        <v>704</v>
      </c>
      <c r="D70" s="368"/>
    </row>
    <row r="71" spans="1:4">
      <c r="A71" s="378" t="s">
        <v>705</v>
      </c>
      <c r="B71" s="377" t="s">
        <v>703</v>
      </c>
      <c r="C71" s="379" t="s">
        <v>706</v>
      </c>
      <c r="D71" s="368"/>
    </row>
    <row r="72" spans="1:4">
      <c r="A72" s="378" t="s">
        <v>707</v>
      </c>
      <c r="B72" s="377" t="s">
        <v>703</v>
      </c>
      <c r="C72" s="379" t="s">
        <v>708</v>
      </c>
      <c r="D72" s="368"/>
    </row>
    <row r="73" spans="1:4">
      <c r="A73" s="378" t="s">
        <v>709</v>
      </c>
      <c r="B73" s="377" t="s">
        <v>703</v>
      </c>
      <c r="C73" s="379" t="s">
        <v>710</v>
      </c>
      <c r="D73" s="368"/>
    </row>
    <row r="74" spans="1:4">
      <c r="A74" s="378" t="s">
        <v>711</v>
      </c>
      <c r="B74" s="377" t="s">
        <v>703</v>
      </c>
      <c r="C74" s="379" t="s">
        <v>712</v>
      </c>
      <c r="D74" s="368"/>
    </row>
    <row r="75" spans="1:4">
      <c r="A75" s="378" t="s">
        <v>713</v>
      </c>
      <c r="B75" s="377" t="s">
        <v>703</v>
      </c>
      <c r="C75" s="379" t="s">
        <v>714</v>
      </c>
      <c r="D75" s="368"/>
    </row>
    <row r="76" spans="1:4">
      <c r="A76" s="378" t="s">
        <v>715</v>
      </c>
      <c r="B76" s="377" t="s">
        <v>703</v>
      </c>
      <c r="C76" s="379" t="s">
        <v>716</v>
      </c>
      <c r="D76" s="368"/>
    </row>
    <row r="77" spans="1:4">
      <c r="A77" s="378" t="s">
        <v>717</v>
      </c>
      <c r="B77" s="377" t="s">
        <v>703</v>
      </c>
      <c r="C77" s="379" t="s">
        <v>718</v>
      </c>
      <c r="D77" s="368"/>
    </row>
    <row r="78" spans="1:4">
      <c r="A78" s="378" t="s">
        <v>719</v>
      </c>
      <c r="B78" s="377" t="s">
        <v>703</v>
      </c>
      <c r="C78" s="379" t="s">
        <v>720</v>
      </c>
      <c r="D78" s="368"/>
    </row>
    <row r="79" spans="1:4">
      <c r="A79" s="380"/>
      <c r="B79" s="380"/>
      <c r="C79" s="380"/>
      <c r="D79" s="368"/>
    </row>
    <row r="80" spans="1:4" ht="16.5">
      <c r="A80" s="382" t="s">
        <v>721</v>
      </c>
      <c r="B80" s="380"/>
      <c r="C80" s="380"/>
      <c r="D80" s="368"/>
    </row>
    <row r="81" spans="1:4">
      <c r="A81" s="380"/>
      <c r="B81" s="380"/>
      <c r="C81" s="380"/>
      <c r="D81" s="368"/>
    </row>
    <row r="82" spans="1:4">
      <c r="A82" s="377" t="s">
        <v>643</v>
      </c>
      <c r="B82" s="377" t="s">
        <v>661</v>
      </c>
      <c r="C82" s="377" t="s">
        <v>662</v>
      </c>
      <c r="D82" s="368"/>
    </row>
    <row r="83" spans="1:4">
      <c r="A83" s="378" t="s">
        <v>722</v>
      </c>
      <c r="B83" s="377" t="s">
        <v>723</v>
      </c>
      <c r="C83" s="379" t="s">
        <v>724</v>
      </c>
      <c r="D83" s="368"/>
    </row>
    <row r="84" spans="1:4">
      <c r="A84" s="378" t="s">
        <v>725</v>
      </c>
      <c r="B84" s="377" t="s">
        <v>723</v>
      </c>
      <c r="C84" s="379" t="s">
        <v>726</v>
      </c>
      <c r="D84" s="368"/>
    </row>
    <row r="85" spans="1:4">
      <c r="A85" s="368"/>
      <c r="B85" s="368"/>
      <c r="C85" s="368"/>
      <c r="D85" s="368"/>
    </row>
    <row r="86" spans="1:4" ht="24">
      <c r="A86" s="370" t="s">
        <v>727</v>
      </c>
      <c r="B86" s="368"/>
      <c r="C86" s="368"/>
      <c r="D86" s="368"/>
    </row>
    <row r="87" spans="1:4">
      <c r="A87" s="368"/>
      <c r="B87" s="368"/>
      <c r="C87" s="368"/>
      <c r="D87" s="368"/>
    </row>
    <row r="88" spans="1:4" ht="18">
      <c r="A88" s="371" t="s">
        <v>728</v>
      </c>
      <c r="B88" s="368"/>
      <c r="C88" s="368"/>
      <c r="D88" s="368"/>
    </row>
    <row r="89" spans="1:4">
      <c r="A89" s="372"/>
      <c r="B89" s="368"/>
      <c r="C89" s="368"/>
      <c r="D89" s="368"/>
    </row>
    <row r="90" spans="1:4">
      <c r="A90" s="374" t="s">
        <v>729</v>
      </c>
      <c r="B90" s="368"/>
      <c r="C90" s="368"/>
      <c r="D90" s="368"/>
    </row>
    <row r="91" spans="1:4">
      <c r="A91" s="385"/>
      <c r="B91" s="368"/>
      <c r="C91" s="368"/>
      <c r="D91" s="368"/>
    </row>
    <row r="92" spans="1:4">
      <c r="A92" s="386" t="s">
        <v>730</v>
      </c>
      <c r="B92" s="368"/>
      <c r="C92" s="368"/>
      <c r="D92" s="368"/>
    </row>
    <row r="93" spans="1:4">
      <c r="A93" s="385"/>
      <c r="B93" s="368"/>
      <c r="C93" s="368"/>
      <c r="D93" s="368"/>
    </row>
    <row r="94" spans="1:4">
      <c r="A94" s="386" t="s">
        <v>731</v>
      </c>
      <c r="B94" s="368"/>
      <c r="C94" s="368"/>
      <c r="D94" s="368"/>
    </row>
    <row r="95" spans="1:4">
      <c r="A95" s="372"/>
      <c r="B95" s="368"/>
      <c r="C95" s="368"/>
      <c r="D95" s="368"/>
    </row>
    <row r="96" spans="1:4">
      <c r="A96" s="374" t="s">
        <v>732</v>
      </c>
      <c r="B96" s="368"/>
      <c r="C96" s="368"/>
      <c r="D96" s="368"/>
    </row>
    <row r="97" spans="1:4">
      <c r="A97" s="385"/>
      <c r="B97" s="368"/>
      <c r="C97" s="368"/>
      <c r="D97" s="368"/>
    </row>
    <row r="98" spans="1:4">
      <c r="A98" s="386" t="s">
        <v>733</v>
      </c>
      <c r="B98" s="368"/>
      <c r="C98" s="368"/>
      <c r="D98" s="368"/>
    </row>
    <row r="99" spans="1:4">
      <c r="A99" s="385"/>
      <c r="B99" s="368"/>
      <c r="C99" s="368"/>
      <c r="D99" s="368"/>
    </row>
    <row r="100" spans="1:4">
      <c r="A100" s="386" t="s">
        <v>734</v>
      </c>
      <c r="B100" s="368"/>
      <c r="C100" s="368"/>
      <c r="D100" s="368"/>
    </row>
    <row r="101" spans="1:4">
      <c r="A101" s="385"/>
      <c r="B101" s="368"/>
      <c r="C101" s="368"/>
      <c r="D101" s="368"/>
    </row>
    <row r="102" spans="1:4">
      <c r="A102" s="386" t="s">
        <v>735</v>
      </c>
      <c r="B102" s="368"/>
      <c r="C102" s="368"/>
      <c r="D102" s="368"/>
    </row>
    <row r="103" spans="1:4">
      <c r="A103" s="372"/>
      <c r="B103" s="368"/>
      <c r="C103" s="368"/>
      <c r="D103" s="368"/>
    </row>
    <row r="104" spans="1:4">
      <c r="A104" s="374" t="s">
        <v>736</v>
      </c>
      <c r="B104" s="368"/>
      <c r="C104" s="368"/>
      <c r="D104" s="368"/>
    </row>
    <row r="105" spans="1:4">
      <c r="A105" s="385"/>
      <c r="B105" s="368"/>
      <c r="C105" s="368"/>
      <c r="D105" s="368"/>
    </row>
    <row r="106" spans="1:4">
      <c r="A106" s="386" t="s">
        <v>737</v>
      </c>
      <c r="B106" s="368"/>
      <c r="C106" s="368"/>
      <c r="D106" s="368"/>
    </row>
    <row r="107" spans="1:4">
      <c r="A107" s="387"/>
      <c r="B107" s="368"/>
      <c r="C107" s="368"/>
      <c r="D107" s="368"/>
    </row>
    <row r="108" spans="1:4">
      <c r="A108" s="388" t="s">
        <v>738</v>
      </c>
      <c r="B108" s="368"/>
      <c r="C108" s="368"/>
      <c r="D108" s="368"/>
    </row>
    <row r="109" spans="1:4">
      <c r="A109" s="387"/>
      <c r="B109" s="368"/>
      <c r="C109" s="368"/>
      <c r="D109" s="368"/>
    </row>
    <row r="110" spans="1:4">
      <c r="A110" s="388" t="s">
        <v>739</v>
      </c>
      <c r="B110" s="368"/>
      <c r="C110" s="368"/>
      <c r="D110" s="368"/>
    </row>
    <row r="111" spans="1:4">
      <c r="A111" s="387"/>
      <c r="B111" s="368"/>
      <c r="C111" s="368"/>
      <c r="D111" s="368"/>
    </row>
    <row r="112" spans="1:4">
      <c r="A112" s="388" t="s">
        <v>740</v>
      </c>
      <c r="B112" s="368"/>
      <c r="C112" s="368"/>
      <c r="D112" s="368"/>
    </row>
    <row r="113" spans="1:4">
      <c r="A113" s="385"/>
      <c r="B113" s="368"/>
      <c r="C113" s="368"/>
      <c r="D113" s="368"/>
    </row>
    <row r="114" spans="1:4">
      <c r="A114" s="386" t="s">
        <v>741</v>
      </c>
      <c r="B114" s="368"/>
      <c r="C114" s="368"/>
      <c r="D114" s="368"/>
    </row>
    <row r="115" spans="1:4">
      <c r="A115" s="387"/>
      <c r="B115" s="368"/>
      <c r="C115" s="368"/>
      <c r="D115" s="368"/>
    </row>
    <row r="116" spans="1:4">
      <c r="A116" s="389" t="s">
        <v>742</v>
      </c>
      <c r="B116" s="368"/>
      <c r="C116" s="368"/>
      <c r="D116" s="368"/>
    </row>
    <row r="117" spans="1:4">
      <c r="A117" s="387"/>
      <c r="B117" s="368"/>
      <c r="C117" s="368"/>
      <c r="D117" s="368"/>
    </row>
    <row r="118" spans="1:4">
      <c r="A118" s="389" t="s">
        <v>743</v>
      </c>
      <c r="B118" s="368"/>
      <c r="C118" s="368"/>
      <c r="D118" s="368"/>
    </row>
    <row r="119" spans="1:4">
      <c r="A119" s="387"/>
      <c r="B119" s="368"/>
      <c r="C119" s="368"/>
      <c r="D119" s="368"/>
    </row>
    <row r="120" spans="1:4">
      <c r="A120" s="389" t="s">
        <v>744</v>
      </c>
      <c r="B120" s="368"/>
      <c r="C120" s="368"/>
      <c r="D120" s="368"/>
    </row>
    <row r="121" spans="1:4">
      <c r="A121" s="387"/>
      <c r="B121" s="368"/>
      <c r="C121" s="368"/>
      <c r="D121" s="368"/>
    </row>
    <row r="122" spans="1:4">
      <c r="A122" s="389" t="s">
        <v>745</v>
      </c>
      <c r="B122" s="368"/>
      <c r="C122" s="368"/>
      <c r="D122" s="368"/>
    </row>
    <row r="123" spans="1:4">
      <c r="A123" s="387"/>
      <c r="B123" s="368"/>
      <c r="C123" s="368"/>
      <c r="D123" s="368"/>
    </row>
    <row r="124" spans="1:4">
      <c r="A124" s="389" t="s">
        <v>746</v>
      </c>
      <c r="B124" s="368"/>
      <c r="C124" s="368"/>
      <c r="D124" s="368"/>
    </row>
    <row r="125" spans="1:4">
      <c r="A125" s="387"/>
      <c r="B125" s="368"/>
      <c r="C125" s="368"/>
      <c r="D125" s="368"/>
    </row>
    <row r="126" spans="1:4">
      <c r="A126" s="389" t="s">
        <v>747</v>
      </c>
      <c r="B126" s="368"/>
      <c r="C126" s="368"/>
      <c r="D126" s="368"/>
    </row>
    <row r="127" spans="1:4">
      <c r="A127" s="385"/>
      <c r="B127" s="368"/>
      <c r="C127" s="368"/>
      <c r="D127" s="368"/>
    </row>
    <row r="128" spans="1:4">
      <c r="A128" s="386" t="s">
        <v>748</v>
      </c>
      <c r="B128" s="368"/>
      <c r="C128" s="368"/>
      <c r="D128" s="368"/>
    </row>
    <row r="129" spans="1:4">
      <c r="A129" s="387"/>
      <c r="B129" s="368"/>
      <c r="C129" s="368"/>
      <c r="D129" s="368"/>
    </row>
    <row r="130" spans="1:4">
      <c r="A130" s="389" t="s">
        <v>749</v>
      </c>
      <c r="B130" s="368"/>
      <c r="C130" s="368"/>
      <c r="D130" s="368"/>
    </row>
    <row r="131" spans="1:4">
      <c r="A131" s="387"/>
      <c r="B131" s="368"/>
      <c r="C131" s="368"/>
      <c r="D131" s="368"/>
    </row>
    <row r="132" spans="1:4">
      <c r="A132" s="389" t="s">
        <v>750</v>
      </c>
      <c r="B132" s="368"/>
      <c r="C132" s="368"/>
      <c r="D132" s="368"/>
    </row>
    <row r="133" spans="1:4">
      <c r="A133" s="387"/>
      <c r="B133" s="368"/>
      <c r="C133" s="368"/>
      <c r="D133" s="368"/>
    </row>
    <row r="134" spans="1:4">
      <c r="A134" s="389" t="s">
        <v>751</v>
      </c>
      <c r="B134" s="368"/>
      <c r="C134" s="368"/>
      <c r="D134" s="368"/>
    </row>
    <row r="135" spans="1:4">
      <c r="A135" s="387"/>
      <c r="B135" s="368"/>
      <c r="C135" s="368"/>
      <c r="D135" s="368"/>
    </row>
    <row r="136" spans="1:4">
      <c r="A136" s="389" t="s">
        <v>752</v>
      </c>
      <c r="B136" s="368"/>
      <c r="C136" s="368"/>
      <c r="D136" s="368"/>
    </row>
    <row r="137" spans="1:4">
      <c r="A137" s="385"/>
      <c r="B137" s="368"/>
      <c r="C137" s="368"/>
      <c r="D137" s="368"/>
    </row>
    <row r="138" spans="1:4">
      <c r="A138" s="386" t="s">
        <v>753</v>
      </c>
      <c r="B138" s="368"/>
      <c r="C138" s="368"/>
      <c r="D138" s="368"/>
    </row>
    <row r="139" spans="1:4">
      <c r="A139" s="386"/>
      <c r="B139" s="368"/>
      <c r="C139" s="368"/>
      <c r="D139" s="368"/>
    </row>
    <row r="140" spans="1:4">
      <c r="A140" s="368"/>
      <c r="B140" s="368"/>
      <c r="C140" s="368"/>
      <c r="D140" s="368"/>
    </row>
    <row r="141" spans="1:4" ht="18">
      <c r="A141" s="371" t="s">
        <v>754</v>
      </c>
      <c r="B141" s="368"/>
      <c r="C141" s="368"/>
      <c r="D141" s="368"/>
    </row>
    <row r="142" spans="1:4">
      <c r="A142" s="372"/>
      <c r="B142" s="368"/>
      <c r="C142" s="368"/>
      <c r="D142" s="368"/>
    </row>
    <row r="143" spans="1:4">
      <c r="A143" s="374" t="s">
        <v>755</v>
      </c>
      <c r="B143" s="368"/>
      <c r="C143" s="368"/>
      <c r="D143" s="368"/>
    </row>
    <row r="144" spans="1:4">
      <c r="A144" s="385"/>
      <c r="B144" s="368"/>
      <c r="C144" s="368"/>
      <c r="D144" s="368"/>
    </row>
    <row r="145" spans="1:4">
      <c r="A145" s="386" t="s">
        <v>756</v>
      </c>
      <c r="B145" s="368"/>
      <c r="C145" s="368"/>
      <c r="D145" s="368"/>
    </row>
    <row r="146" spans="1:4">
      <c r="A146" s="372"/>
      <c r="B146" s="368"/>
      <c r="C146" s="368"/>
      <c r="D146" s="368"/>
    </row>
    <row r="147" spans="1:4">
      <c r="A147" s="374" t="s">
        <v>757</v>
      </c>
      <c r="B147" s="368"/>
      <c r="C147" s="368"/>
      <c r="D147" s="368"/>
    </row>
    <row r="148" spans="1:4">
      <c r="A148" s="372"/>
      <c r="B148" s="368"/>
      <c r="C148" s="368"/>
      <c r="D148" s="368"/>
    </row>
    <row r="149" spans="1:4">
      <c r="A149" s="374" t="s">
        <v>758</v>
      </c>
      <c r="B149" s="368"/>
      <c r="C149" s="368"/>
      <c r="D149" s="368"/>
    </row>
    <row r="150" spans="1:4">
      <c r="A150" s="385"/>
      <c r="B150" s="368"/>
      <c r="C150" s="368"/>
      <c r="D150" s="368"/>
    </row>
    <row r="151" spans="1:4">
      <c r="A151" s="386" t="s">
        <v>759</v>
      </c>
      <c r="B151" s="368"/>
      <c r="C151" s="368"/>
      <c r="D151" s="368"/>
    </row>
    <row r="152" spans="1:4">
      <c r="A152" s="372"/>
      <c r="B152" s="368"/>
      <c r="C152" s="368"/>
      <c r="D152" s="368"/>
    </row>
    <row r="153" spans="1:4">
      <c r="A153" s="374" t="s">
        <v>760</v>
      </c>
      <c r="B153" s="368"/>
      <c r="C153" s="368"/>
      <c r="D153" s="368"/>
    </row>
    <row r="154" spans="1:4">
      <c r="A154" s="385"/>
      <c r="B154" s="368"/>
      <c r="C154" s="368"/>
      <c r="D154" s="368"/>
    </row>
    <row r="155" spans="1:4">
      <c r="A155" s="390" t="s">
        <v>761</v>
      </c>
      <c r="B155" s="368"/>
      <c r="C155" s="368"/>
      <c r="D155" s="368"/>
    </row>
    <row r="156" spans="1:4">
      <c r="A156" s="385"/>
      <c r="B156" s="368"/>
      <c r="C156" s="368"/>
      <c r="D156" s="368"/>
    </row>
    <row r="157" spans="1:4">
      <c r="A157" s="390" t="s">
        <v>762</v>
      </c>
      <c r="B157" s="368"/>
      <c r="C157" s="368"/>
      <c r="D157" s="368"/>
    </row>
    <row r="158" spans="1:4">
      <c r="A158" s="372"/>
      <c r="B158" s="368"/>
      <c r="C158" s="368"/>
      <c r="D158" s="368"/>
    </row>
    <row r="159" spans="1:4">
      <c r="A159" s="374" t="s">
        <v>763</v>
      </c>
      <c r="B159" s="368"/>
      <c r="C159" s="368"/>
      <c r="D159" s="368"/>
    </row>
    <row r="160" spans="1:4">
      <c r="A160" s="385"/>
      <c r="B160" s="368"/>
      <c r="C160" s="368"/>
      <c r="D160" s="368"/>
    </row>
    <row r="161" spans="1:4">
      <c r="A161" s="386" t="s">
        <v>764</v>
      </c>
      <c r="B161" s="368"/>
      <c r="C161" s="368"/>
      <c r="D161" s="368"/>
    </row>
    <row r="162" spans="1:4">
      <c r="A162" s="372"/>
      <c r="B162" s="368"/>
      <c r="C162" s="368"/>
      <c r="D162" s="368"/>
    </row>
    <row r="163" spans="1:4">
      <c r="A163" s="374" t="s">
        <v>765</v>
      </c>
      <c r="B163" s="368"/>
      <c r="C163" s="368"/>
      <c r="D163" s="368"/>
    </row>
    <row r="164" spans="1:4">
      <c r="A164" s="385"/>
      <c r="B164" s="368"/>
      <c r="C164" s="368"/>
      <c r="D164" s="368"/>
    </row>
    <row r="165" spans="1:4">
      <c r="A165" s="390" t="s">
        <v>766</v>
      </c>
      <c r="B165" s="368"/>
      <c r="C165" s="368"/>
      <c r="D165" s="368"/>
    </row>
    <row r="166" spans="1:4">
      <c r="A166" s="385"/>
      <c r="B166" s="368"/>
      <c r="C166" s="368"/>
      <c r="D166" s="368"/>
    </row>
    <row r="167" spans="1:4">
      <c r="A167" s="390" t="s">
        <v>767</v>
      </c>
      <c r="B167" s="368"/>
      <c r="C167" s="368"/>
      <c r="D167" s="368"/>
    </row>
    <row r="168" spans="1:4">
      <c r="A168" s="390"/>
      <c r="B168" s="368"/>
      <c r="C168" s="368"/>
      <c r="D168" s="368"/>
    </row>
    <row r="169" spans="1:4">
      <c r="A169" s="368"/>
      <c r="B169" s="368"/>
      <c r="C169" s="368"/>
      <c r="D169" s="368"/>
    </row>
    <row r="170" spans="1:4" ht="18">
      <c r="A170" s="371" t="s">
        <v>768</v>
      </c>
      <c r="B170" s="368"/>
      <c r="C170" s="368"/>
      <c r="D170" s="368"/>
    </row>
    <row r="171" spans="1:4">
      <c r="A171" s="368"/>
      <c r="B171" s="368"/>
      <c r="C171" s="368"/>
      <c r="D171" s="368"/>
    </row>
    <row r="172" spans="1:4" ht="16.5">
      <c r="A172" s="391" t="s">
        <v>769</v>
      </c>
      <c r="B172" s="368"/>
      <c r="C172" s="368"/>
      <c r="D172" s="368"/>
    </row>
    <row r="173" spans="1:4">
      <c r="A173" s="372"/>
      <c r="B173" s="368"/>
      <c r="C173" s="368"/>
      <c r="D173" s="368"/>
    </row>
    <row r="174" spans="1:4">
      <c r="A174" s="374" t="s">
        <v>770</v>
      </c>
      <c r="B174" s="368"/>
      <c r="C174" s="368"/>
      <c r="D174" s="368"/>
    </row>
    <row r="175" spans="1:4">
      <c r="A175" s="385"/>
      <c r="B175" s="368"/>
      <c r="C175" s="368"/>
      <c r="D175" s="368"/>
    </row>
    <row r="176" spans="1:4">
      <c r="A176" s="386" t="s">
        <v>771</v>
      </c>
      <c r="B176" s="368"/>
      <c r="C176" s="368"/>
      <c r="D176" s="368"/>
    </row>
    <row r="177" spans="1:4">
      <c r="A177" s="385"/>
      <c r="B177" s="368"/>
      <c r="C177" s="368"/>
      <c r="D177" s="368"/>
    </row>
    <row r="178" spans="1:4">
      <c r="A178" s="386" t="s">
        <v>772</v>
      </c>
      <c r="B178" s="368"/>
      <c r="C178" s="368"/>
      <c r="D178" s="368"/>
    </row>
    <row r="179" spans="1:4">
      <c r="A179" s="385"/>
      <c r="B179" s="368"/>
      <c r="C179" s="368"/>
      <c r="D179" s="368"/>
    </row>
    <row r="180" spans="1:4">
      <c r="A180" s="386" t="s">
        <v>773</v>
      </c>
      <c r="B180" s="368"/>
      <c r="C180" s="368"/>
      <c r="D180" s="368"/>
    </row>
    <row r="181" spans="1:4">
      <c r="A181" s="385"/>
      <c r="B181" s="368"/>
      <c r="C181" s="368"/>
      <c r="D181" s="368"/>
    </row>
    <row r="182" spans="1:4">
      <c r="A182" s="386" t="s">
        <v>774</v>
      </c>
      <c r="B182" s="368"/>
      <c r="C182" s="368"/>
      <c r="D182" s="368"/>
    </row>
    <row r="183" spans="1:4">
      <c r="A183" s="368"/>
      <c r="B183" s="368"/>
      <c r="C183" s="368"/>
      <c r="D183" s="368"/>
    </row>
    <row r="184" spans="1:4" ht="16.5">
      <c r="A184" s="391" t="s">
        <v>775</v>
      </c>
      <c r="B184" s="368"/>
      <c r="C184" s="368"/>
      <c r="D184" s="368"/>
    </row>
    <row r="185" spans="1:4">
      <c r="A185" s="372"/>
      <c r="B185" s="368"/>
      <c r="C185" s="368"/>
      <c r="D185" s="368"/>
    </row>
    <row r="186" spans="1:4">
      <c r="A186" s="374" t="s">
        <v>776</v>
      </c>
      <c r="B186" s="368"/>
      <c r="C186" s="368"/>
      <c r="D186" s="368"/>
    </row>
    <row r="187" spans="1:4">
      <c r="A187" s="385"/>
      <c r="B187" s="368"/>
      <c r="C187" s="368"/>
      <c r="D187" s="368"/>
    </row>
    <row r="188" spans="1:4">
      <c r="A188" s="386" t="s">
        <v>777</v>
      </c>
      <c r="B188" s="368"/>
      <c r="C188" s="368"/>
      <c r="D188" s="368"/>
    </row>
    <row r="189" spans="1:4">
      <c r="A189" s="385"/>
      <c r="B189" s="368"/>
      <c r="C189" s="368"/>
      <c r="D189" s="368"/>
    </row>
    <row r="190" spans="1:4">
      <c r="A190" s="386" t="s">
        <v>778</v>
      </c>
      <c r="B190" s="368"/>
      <c r="C190" s="368"/>
      <c r="D190" s="368"/>
    </row>
    <row r="191" spans="1:4">
      <c r="A191" s="387"/>
      <c r="B191" s="368"/>
      <c r="C191" s="368"/>
      <c r="D191" s="368"/>
    </row>
    <row r="192" spans="1:4">
      <c r="A192" s="389" t="s">
        <v>779</v>
      </c>
      <c r="B192" s="368"/>
      <c r="C192" s="368"/>
      <c r="D192" s="368"/>
    </row>
    <row r="193" spans="1:4">
      <c r="A193" s="387"/>
      <c r="B193" s="368"/>
      <c r="C193" s="368"/>
      <c r="D193" s="368"/>
    </row>
    <row r="194" spans="1:4">
      <c r="A194" s="389" t="s">
        <v>780</v>
      </c>
      <c r="B194" s="368"/>
      <c r="C194" s="368"/>
      <c r="D194" s="368"/>
    </row>
    <row r="195" spans="1:4">
      <c r="A195" s="387"/>
      <c r="B195" s="368"/>
      <c r="C195" s="368"/>
      <c r="D195" s="368"/>
    </row>
    <row r="196" spans="1:4">
      <c r="A196" s="392" t="s">
        <v>781</v>
      </c>
      <c r="B196" s="368"/>
      <c r="C196" s="368"/>
      <c r="D196" s="368"/>
    </row>
    <row r="197" spans="1:4">
      <c r="A197" s="372"/>
      <c r="B197" s="368"/>
      <c r="C197" s="368"/>
      <c r="D197" s="368"/>
    </row>
    <row r="198" spans="1:4">
      <c r="A198" s="374" t="s">
        <v>782</v>
      </c>
      <c r="B198" s="368"/>
      <c r="C198" s="368"/>
      <c r="D198" s="368"/>
    </row>
    <row r="199" spans="1:4">
      <c r="A199" s="368"/>
      <c r="B199" s="368"/>
      <c r="C199" s="368"/>
      <c r="D199" s="368"/>
    </row>
    <row r="200" spans="1:4" ht="16.5">
      <c r="A200" s="391" t="s">
        <v>783</v>
      </c>
      <c r="B200" s="368"/>
      <c r="C200" s="368"/>
      <c r="D200" s="368"/>
    </row>
    <row r="201" spans="1:4">
      <c r="A201" s="372"/>
      <c r="B201" s="368"/>
      <c r="C201" s="368"/>
      <c r="D201" s="368"/>
    </row>
    <row r="202" spans="1:4">
      <c r="A202" s="374" t="s">
        <v>784</v>
      </c>
      <c r="B202" s="368"/>
      <c r="C202" s="368"/>
      <c r="D202" s="368"/>
    </row>
    <row r="203" spans="1:4">
      <c r="A203" s="372"/>
      <c r="B203" s="368"/>
      <c r="C203" s="368"/>
      <c r="D203" s="368"/>
    </row>
    <row r="204" spans="1:4">
      <c r="A204" s="374" t="s">
        <v>785</v>
      </c>
      <c r="B204" s="368"/>
      <c r="C204" s="368"/>
      <c r="D204" s="368"/>
    </row>
    <row r="205" spans="1:4">
      <c r="A205" s="385"/>
      <c r="B205" s="368"/>
      <c r="C205" s="368"/>
      <c r="D205" s="368"/>
    </row>
    <row r="206" spans="1:4">
      <c r="A206" s="390" t="s">
        <v>786</v>
      </c>
      <c r="B206" s="368"/>
      <c r="C206" s="368"/>
      <c r="D206" s="368"/>
    </row>
    <row r="207" spans="1:4">
      <c r="A207" s="385"/>
      <c r="B207" s="368"/>
      <c r="C207" s="368"/>
      <c r="D207" s="368"/>
    </row>
    <row r="208" spans="1:4">
      <c r="A208" s="390" t="s">
        <v>787</v>
      </c>
      <c r="B208" s="368"/>
      <c r="C208" s="368"/>
      <c r="D208" s="368"/>
    </row>
    <row r="209" spans="1:4">
      <c r="A209" s="385"/>
      <c r="B209" s="368"/>
      <c r="C209" s="368"/>
      <c r="D209" s="368"/>
    </row>
    <row r="210" spans="1:4">
      <c r="A210" s="390" t="s">
        <v>788</v>
      </c>
      <c r="B210" s="368"/>
      <c r="C210" s="368"/>
      <c r="D210" s="368"/>
    </row>
    <row r="211" spans="1:4">
      <c r="A211" s="385"/>
      <c r="B211" s="368"/>
      <c r="C211" s="368"/>
      <c r="D211" s="368"/>
    </row>
    <row r="212" spans="1:4">
      <c r="A212" s="393" t="s">
        <v>789</v>
      </c>
      <c r="B212" s="368"/>
      <c r="C212" s="368"/>
      <c r="D212" s="368"/>
    </row>
    <row r="213" spans="1:4">
      <c r="A213" s="387"/>
      <c r="B213" s="368"/>
      <c r="C213" s="368"/>
      <c r="D213" s="368"/>
    </row>
    <row r="214" spans="1:4">
      <c r="A214" s="388" t="s">
        <v>790</v>
      </c>
      <c r="B214" s="368"/>
      <c r="C214" s="368"/>
      <c r="D214" s="368"/>
    </row>
    <row r="215" spans="1:4">
      <c r="A215" s="368"/>
      <c r="B215" s="368"/>
      <c r="C215" s="368"/>
      <c r="D215" s="368"/>
    </row>
    <row r="216" spans="1:4" ht="16.5">
      <c r="A216" s="391" t="s">
        <v>791</v>
      </c>
      <c r="B216" s="368"/>
      <c r="C216" s="368"/>
      <c r="D216" s="368"/>
    </row>
    <row r="217" spans="1:4">
      <c r="A217" s="372"/>
      <c r="B217" s="368"/>
      <c r="C217" s="368"/>
      <c r="D217" s="368"/>
    </row>
    <row r="218" spans="1:4">
      <c r="A218" s="374" t="s">
        <v>792</v>
      </c>
      <c r="B218" s="368"/>
      <c r="C218" s="368"/>
      <c r="D218" s="368"/>
    </row>
    <row r="219" spans="1:4">
      <c r="A219" s="385"/>
      <c r="B219" s="368"/>
      <c r="C219" s="368"/>
      <c r="D219" s="368"/>
    </row>
    <row r="220" spans="1:4">
      <c r="A220" s="386" t="s">
        <v>793</v>
      </c>
      <c r="B220" s="368"/>
      <c r="C220" s="368"/>
      <c r="D220" s="368"/>
    </row>
    <row r="221" spans="1:4">
      <c r="A221" s="387"/>
      <c r="B221" s="368"/>
      <c r="C221" s="368"/>
      <c r="D221" s="368"/>
    </row>
    <row r="222" spans="1:4">
      <c r="A222" s="389" t="s">
        <v>794</v>
      </c>
      <c r="B222" s="368"/>
      <c r="C222" s="368"/>
      <c r="D222" s="368"/>
    </row>
    <row r="223" spans="1:4">
      <c r="A223" s="387"/>
      <c r="B223" s="368"/>
      <c r="C223" s="368"/>
      <c r="D223" s="368"/>
    </row>
    <row r="224" spans="1:4">
      <c r="A224" s="389" t="s">
        <v>795</v>
      </c>
      <c r="B224" s="368"/>
      <c r="C224" s="368"/>
      <c r="D224" s="368"/>
    </row>
    <row r="225" spans="1:4">
      <c r="A225" s="394"/>
      <c r="B225" s="368"/>
      <c r="C225" s="368"/>
      <c r="D225" s="368"/>
    </row>
    <row r="226" spans="1:4">
      <c r="A226" s="394" t="s">
        <v>796</v>
      </c>
      <c r="B226" s="368"/>
      <c r="C226" s="368"/>
      <c r="D226" s="368"/>
    </row>
    <row r="227" spans="1:4">
      <c r="A227" s="394"/>
      <c r="B227" s="368"/>
      <c r="C227" s="368"/>
      <c r="D227" s="368"/>
    </row>
    <row r="228" spans="1:4">
      <c r="A228" s="394" t="s">
        <v>797</v>
      </c>
      <c r="B228" s="368"/>
      <c r="C228" s="368"/>
      <c r="D228" s="368"/>
    </row>
    <row r="229" spans="1:4">
      <c r="A229" s="394"/>
      <c r="B229" s="368"/>
      <c r="C229" s="368"/>
      <c r="D229" s="368"/>
    </row>
    <row r="230" spans="1:4">
      <c r="A230" s="394" t="s">
        <v>798</v>
      </c>
      <c r="B230" s="368"/>
      <c r="C230" s="368"/>
      <c r="D230" s="368"/>
    </row>
    <row r="231" spans="1:4">
      <c r="A231" s="387"/>
      <c r="B231" s="368"/>
      <c r="C231" s="368"/>
      <c r="D231" s="368"/>
    </row>
    <row r="232" spans="1:4">
      <c r="A232" s="389" t="s">
        <v>799</v>
      </c>
      <c r="B232" s="368"/>
      <c r="C232" s="368"/>
      <c r="D232" s="368"/>
    </row>
    <row r="233" spans="1:4">
      <c r="A233" s="368"/>
      <c r="B233" s="368"/>
      <c r="C233" s="368"/>
      <c r="D233" s="368"/>
    </row>
    <row r="234" spans="1:4" ht="16.5">
      <c r="A234" s="391" t="s">
        <v>800</v>
      </c>
      <c r="B234" s="368"/>
      <c r="C234" s="368"/>
      <c r="D234" s="368"/>
    </row>
    <row r="235" spans="1:4">
      <c r="A235" s="372"/>
      <c r="B235" s="368"/>
      <c r="C235" s="368"/>
      <c r="D235" s="368"/>
    </row>
    <row r="236" spans="1:4">
      <c r="A236" s="374" t="s">
        <v>801</v>
      </c>
      <c r="B236" s="368"/>
      <c r="C236" s="368"/>
      <c r="D236" s="368"/>
    </row>
    <row r="237" spans="1:4">
      <c r="A237" s="385"/>
      <c r="B237" s="368"/>
      <c r="C237" s="368"/>
      <c r="D237" s="368"/>
    </row>
    <row r="238" spans="1:4">
      <c r="A238" s="386" t="s">
        <v>802</v>
      </c>
      <c r="B238" s="368"/>
      <c r="C238" s="368"/>
      <c r="D238" s="368"/>
    </row>
    <row r="239" spans="1:4">
      <c r="A239" s="387"/>
      <c r="B239" s="368"/>
      <c r="C239" s="368"/>
      <c r="D239" s="368"/>
    </row>
    <row r="240" spans="1:4">
      <c r="A240" s="389" t="s">
        <v>803</v>
      </c>
      <c r="B240" s="368"/>
      <c r="C240" s="368"/>
      <c r="D240" s="368"/>
    </row>
    <row r="241" spans="1:4">
      <c r="A241" s="394"/>
      <c r="B241" s="368"/>
      <c r="C241" s="368"/>
      <c r="D241" s="368"/>
    </row>
    <row r="242" spans="1:4">
      <c r="A242" s="395" t="s">
        <v>804</v>
      </c>
      <c r="B242" s="368"/>
      <c r="C242" s="368"/>
      <c r="D242" s="368"/>
    </row>
    <row r="243" spans="1:4">
      <c r="A243" s="396"/>
      <c r="B243" s="368"/>
      <c r="C243" s="368"/>
      <c r="D243" s="368"/>
    </row>
    <row r="244" spans="1:4">
      <c r="A244" s="397" t="s">
        <v>805</v>
      </c>
      <c r="B244" s="368"/>
      <c r="C244" s="368"/>
      <c r="D244" s="368"/>
    </row>
    <row r="245" spans="1:4">
      <c r="A245" s="396"/>
      <c r="B245" s="368"/>
      <c r="C245" s="368"/>
      <c r="D245" s="368"/>
    </row>
    <row r="246" spans="1:4">
      <c r="A246" s="398" t="s">
        <v>806</v>
      </c>
      <c r="B246" s="368"/>
      <c r="C246" s="368"/>
      <c r="D246" s="368"/>
    </row>
    <row r="247" spans="1:4">
      <c r="A247" s="396"/>
      <c r="B247" s="368"/>
      <c r="C247" s="368"/>
      <c r="D247" s="368"/>
    </row>
    <row r="248" spans="1:4">
      <c r="A248" s="398" t="s">
        <v>807</v>
      </c>
      <c r="B248" s="368"/>
      <c r="C248" s="368"/>
      <c r="D248" s="368"/>
    </row>
    <row r="249" spans="1:4">
      <c r="A249" s="396"/>
      <c r="B249" s="368"/>
      <c r="C249" s="368"/>
      <c r="D249" s="368"/>
    </row>
    <row r="250" spans="1:4">
      <c r="A250" s="398" t="s">
        <v>808</v>
      </c>
      <c r="B250" s="368"/>
      <c r="C250" s="368"/>
      <c r="D250" s="368"/>
    </row>
    <row r="251" spans="1:4">
      <c r="A251" s="385"/>
      <c r="B251" s="368"/>
      <c r="C251" s="368"/>
      <c r="D251" s="368"/>
    </row>
    <row r="252" spans="1:4">
      <c r="A252" s="386" t="s">
        <v>809</v>
      </c>
      <c r="B252" s="368"/>
      <c r="C252" s="368"/>
      <c r="D252" s="368"/>
    </row>
    <row r="253" spans="1:4">
      <c r="A253" s="386"/>
      <c r="B253" s="368"/>
      <c r="C253" s="368"/>
      <c r="D253" s="368"/>
    </row>
    <row r="254" spans="1:4">
      <c r="A254" s="368"/>
      <c r="B254" s="368"/>
      <c r="C254" s="368"/>
      <c r="D254" s="368"/>
    </row>
    <row r="255" spans="1:4" ht="18">
      <c r="A255" s="371" t="s">
        <v>810</v>
      </c>
      <c r="B255" s="368"/>
      <c r="C255" s="368"/>
      <c r="D255" s="368"/>
    </row>
    <row r="256" spans="1:4">
      <c r="A256" s="368" t="s">
        <v>811</v>
      </c>
      <c r="B256" s="368"/>
      <c r="C256" s="368"/>
      <c r="D256" s="368"/>
    </row>
    <row r="257" spans="1:4">
      <c r="A257" s="368"/>
      <c r="B257" s="368"/>
      <c r="C257" s="368"/>
      <c r="D257" s="368"/>
    </row>
    <row r="258" spans="1:4" ht="16.5">
      <c r="A258" s="391" t="s">
        <v>812</v>
      </c>
      <c r="B258" s="368"/>
      <c r="C258" s="368"/>
      <c r="D258" s="368"/>
    </row>
    <row r="259" spans="1:4">
      <c r="A259" s="372"/>
      <c r="B259" s="368"/>
      <c r="C259" s="368"/>
      <c r="D259" s="368"/>
    </row>
    <row r="260" spans="1:4">
      <c r="A260" s="374" t="s">
        <v>776</v>
      </c>
      <c r="B260" s="368"/>
      <c r="C260" s="368"/>
      <c r="D260" s="368"/>
    </row>
    <row r="261" spans="1:4">
      <c r="A261" s="385"/>
      <c r="B261" s="368"/>
      <c r="C261" s="368"/>
      <c r="D261" s="368"/>
    </row>
    <row r="262" spans="1:4">
      <c r="A262" s="386" t="s">
        <v>777</v>
      </c>
      <c r="B262" s="368"/>
      <c r="C262" s="368"/>
      <c r="D262" s="368"/>
    </row>
    <row r="263" spans="1:4">
      <c r="A263" s="385"/>
      <c r="B263" s="368"/>
      <c r="C263" s="368"/>
      <c r="D263" s="368"/>
    </row>
    <row r="264" spans="1:4">
      <c r="A264" s="386" t="s">
        <v>778</v>
      </c>
      <c r="B264" s="368"/>
      <c r="C264" s="368"/>
      <c r="D264" s="368"/>
    </row>
    <row r="265" spans="1:4">
      <c r="A265" s="387"/>
      <c r="B265" s="368"/>
      <c r="C265" s="368"/>
      <c r="D265" s="368"/>
    </row>
    <row r="266" spans="1:4">
      <c r="A266" s="389" t="s">
        <v>813</v>
      </c>
      <c r="B266" s="368"/>
      <c r="C266" s="368"/>
      <c r="D266" s="368"/>
    </row>
    <row r="267" spans="1:4">
      <c r="A267" s="387"/>
      <c r="B267" s="368"/>
      <c r="C267" s="368"/>
      <c r="D267" s="368"/>
    </row>
    <row r="268" spans="1:4">
      <c r="A268" s="389" t="s">
        <v>814</v>
      </c>
      <c r="B268" s="368"/>
      <c r="C268" s="368"/>
      <c r="D268" s="368"/>
    </row>
    <row r="269" spans="1:4">
      <c r="A269" s="387"/>
      <c r="B269" s="368"/>
      <c r="C269" s="368"/>
      <c r="D269" s="368"/>
    </row>
    <row r="270" spans="1:4">
      <c r="A270" s="392" t="s">
        <v>815</v>
      </c>
      <c r="B270" s="368"/>
      <c r="C270" s="368"/>
      <c r="D270" s="368"/>
    </row>
    <row r="271" spans="1:4">
      <c r="A271" s="372"/>
      <c r="B271" s="368"/>
      <c r="C271" s="368"/>
      <c r="D271" s="368"/>
    </row>
    <row r="272" spans="1:4">
      <c r="A272" s="374" t="s">
        <v>816</v>
      </c>
      <c r="B272" s="368"/>
      <c r="C272" s="368"/>
      <c r="D272" s="368"/>
    </row>
    <row r="273" spans="1:4">
      <c r="A273" s="368"/>
      <c r="B273" s="368"/>
      <c r="C273" s="368"/>
      <c r="D273" s="368"/>
    </row>
    <row r="274" spans="1:4" ht="16.5">
      <c r="A274" s="391" t="s">
        <v>817</v>
      </c>
      <c r="B274" s="368"/>
      <c r="C274" s="368"/>
      <c r="D274" s="368"/>
    </row>
    <row r="275" spans="1:4">
      <c r="A275" s="372"/>
      <c r="B275" s="368"/>
      <c r="C275" s="368"/>
      <c r="D275" s="368"/>
    </row>
    <row r="276" spans="1:4">
      <c r="A276" s="374" t="s">
        <v>818</v>
      </c>
      <c r="B276" s="368"/>
      <c r="C276" s="368"/>
      <c r="D276" s="368"/>
    </row>
    <row r="277" spans="1:4">
      <c r="A277" s="385"/>
      <c r="B277" s="368"/>
      <c r="C277" s="368"/>
      <c r="D277" s="368"/>
    </row>
    <row r="278" spans="1:4">
      <c r="A278" s="386" t="s">
        <v>819</v>
      </c>
      <c r="B278" s="368"/>
      <c r="C278" s="368"/>
      <c r="D278" s="368"/>
    </row>
    <row r="279" spans="1:4">
      <c r="A279" s="372"/>
      <c r="B279" s="368"/>
      <c r="C279" s="368"/>
      <c r="D279" s="368"/>
    </row>
    <row r="280" spans="1:4">
      <c r="A280" s="374" t="s">
        <v>785</v>
      </c>
      <c r="B280" s="368"/>
      <c r="C280" s="368"/>
      <c r="D280" s="368"/>
    </row>
    <row r="281" spans="1:4">
      <c r="A281" s="385"/>
      <c r="B281" s="368"/>
      <c r="C281" s="368"/>
      <c r="D281" s="368"/>
    </row>
    <row r="282" spans="1:4">
      <c r="A282" s="390" t="s">
        <v>820</v>
      </c>
      <c r="B282" s="368"/>
      <c r="C282" s="368"/>
      <c r="D282" s="368"/>
    </row>
    <row r="283" spans="1:4">
      <c r="A283" s="385"/>
      <c r="B283" s="368"/>
      <c r="C283" s="368"/>
      <c r="D283" s="368"/>
    </row>
    <row r="284" spans="1:4">
      <c r="A284" s="390" t="s">
        <v>821</v>
      </c>
      <c r="B284" s="368"/>
      <c r="C284" s="368"/>
      <c r="D284" s="368"/>
    </row>
    <row r="285" spans="1:4">
      <c r="A285" s="385"/>
      <c r="B285" s="368"/>
      <c r="C285" s="368"/>
      <c r="D285" s="368"/>
    </row>
    <row r="286" spans="1:4">
      <c r="A286" s="390" t="s">
        <v>822</v>
      </c>
      <c r="B286" s="368"/>
      <c r="C286" s="368"/>
      <c r="D286" s="368"/>
    </row>
    <row r="287" spans="1:4">
      <c r="A287" s="385"/>
      <c r="B287" s="368"/>
      <c r="C287" s="368"/>
      <c r="D287" s="368"/>
    </row>
    <row r="288" spans="1:4">
      <c r="A288" s="393" t="s">
        <v>789</v>
      </c>
      <c r="B288" s="368"/>
      <c r="C288" s="368"/>
      <c r="D288" s="368"/>
    </row>
    <row r="289" spans="1:4">
      <c r="A289" s="387"/>
      <c r="B289" s="368"/>
      <c r="C289" s="368"/>
      <c r="D289" s="368"/>
    </row>
    <row r="290" spans="1:4">
      <c r="A290" s="388" t="s">
        <v>823</v>
      </c>
      <c r="B290" s="368"/>
      <c r="C290" s="368"/>
      <c r="D290" s="368"/>
    </row>
    <row r="291" spans="1:4">
      <c r="A291" s="368"/>
      <c r="B291" s="368"/>
      <c r="C291" s="368"/>
      <c r="D291" s="368"/>
    </row>
    <row r="292" spans="1:4" ht="16.5">
      <c r="A292" s="391" t="s">
        <v>824</v>
      </c>
      <c r="B292" s="368"/>
      <c r="C292" s="368"/>
      <c r="D292" s="368"/>
    </row>
    <row r="293" spans="1:4">
      <c r="A293" s="372"/>
      <c r="B293" s="368"/>
      <c r="C293" s="368"/>
      <c r="D293" s="368"/>
    </row>
    <row r="294" spans="1:4">
      <c r="A294" s="374" t="s">
        <v>825</v>
      </c>
      <c r="B294" s="368"/>
      <c r="C294" s="368"/>
      <c r="D294" s="368"/>
    </row>
    <row r="295" spans="1:4">
      <c r="A295" s="385"/>
      <c r="B295" s="368"/>
      <c r="C295" s="368"/>
      <c r="D295" s="368"/>
    </row>
    <row r="296" spans="1:4">
      <c r="A296" s="386" t="s">
        <v>826</v>
      </c>
      <c r="B296" s="368"/>
      <c r="C296" s="368"/>
      <c r="D296" s="368"/>
    </row>
    <row r="297" spans="1:4">
      <c r="A297" s="387"/>
      <c r="B297" s="368"/>
      <c r="C297" s="368"/>
      <c r="D297" s="368"/>
    </row>
    <row r="298" spans="1:4">
      <c r="A298" s="389" t="s">
        <v>794</v>
      </c>
      <c r="B298" s="368"/>
      <c r="C298" s="368"/>
      <c r="D298" s="368"/>
    </row>
    <row r="299" spans="1:4">
      <c r="A299" s="387"/>
      <c r="B299" s="368"/>
      <c r="C299" s="368"/>
      <c r="D299" s="368"/>
    </row>
    <row r="300" spans="1:4">
      <c r="A300" s="389" t="s">
        <v>795</v>
      </c>
      <c r="B300" s="368"/>
      <c r="C300" s="368"/>
      <c r="D300" s="368"/>
    </row>
    <row r="301" spans="1:4">
      <c r="A301" s="394"/>
      <c r="B301" s="368"/>
      <c r="C301" s="368"/>
      <c r="D301" s="368"/>
    </row>
    <row r="302" spans="1:4">
      <c r="A302" s="394" t="s">
        <v>827</v>
      </c>
      <c r="B302" s="368"/>
      <c r="C302" s="368"/>
      <c r="D302" s="368"/>
    </row>
    <row r="303" spans="1:4">
      <c r="A303" s="394"/>
      <c r="B303" s="368"/>
      <c r="C303" s="368"/>
      <c r="D303" s="368"/>
    </row>
    <row r="304" spans="1:4">
      <c r="A304" s="394" t="s">
        <v>797</v>
      </c>
      <c r="B304" s="368"/>
      <c r="C304" s="368"/>
      <c r="D304" s="368"/>
    </row>
    <row r="305" spans="1:4">
      <c r="A305" s="394"/>
      <c r="B305" s="368"/>
      <c r="C305" s="368"/>
      <c r="D305" s="368"/>
    </row>
    <row r="306" spans="1:4">
      <c r="A306" s="394" t="s">
        <v>828</v>
      </c>
      <c r="B306" s="368"/>
      <c r="C306" s="368"/>
      <c r="D306" s="368"/>
    </row>
    <row r="307" spans="1:4">
      <c r="A307" s="387"/>
      <c r="B307" s="368"/>
      <c r="C307" s="368"/>
      <c r="D307" s="368"/>
    </row>
    <row r="308" spans="1:4">
      <c r="A308" s="389" t="s">
        <v>829</v>
      </c>
      <c r="B308" s="368"/>
      <c r="C308" s="368"/>
      <c r="D308" s="368"/>
    </row>
    <row r="309" spans="1:4">
      <c r="A309" s="368"/>
      <c r="B309" s="368"/>
      <c r="C309" s="368"/>
      <c r="D309" s="368"/>
    </row>
    <row r="310" spans="1:4" ht="16.5">
      <c r="A310" s="391" t="s">
        <v>830</v>
      </c>
      <c r="B310" s="368"/>
      <c r="C310" s="368"/>
      <c r="D310" s="368"/>
    </row>
    <row r="311" spans="1:4">
      <c r="A311" s="372"/>
      <c r="B311" s="368"/>
      <c r="C311" s="368"/>
      <c r="D311" s="368"/>
    </row>
    <row r="312" spans="1:4">
      <c r="A312" s="374" t="s">
        <v>831</v>
      </c>
      <c r="B312" s="368"/>
      <c r="C312" s="368"/>
      <c r="D312" s="368"/>
    </row>
    <row r="313" spans="1:4">
      <c r="A313" s="385"/>
      <c r="B313" s="368"/>
      <c r="C313" s="368"/>
      <c r="D313" s="368"/>
    </row>
    <row r="314" spans="1:4">
      <c r="A314" s="386" t="s">
        <v>802</v>
      </c>
      <c r="B314" s="368"/>
      <c r="C314" s="368"/>
      <c r="D314" s="368"/>
    </row>
    <row r="315" spans="1:4">
      <c r="A315" s="387"/>
      <c r="B315" s="368"/>
      <c r="C315" s="368"/>
      <c r="D315" s="368"/>
    </row>
    <row r="316" spans="1:4">
      <c r="A316" s="389" t="s">
        <v>803</v>
      </c>
      <c r="B316" s="368"/>
      <c r="C316" s="368"/>
      <c r="D316" s="368"/>
    </row>
    <row r="317" spans="1:4">
      <c r="A317" s="394"/>
      <c r="B317" s="368"/>
      <c r="C317" s="368"/>
      <c r="D317" s="368"/>
    </row>
    <row r="318" spans="1:4">
      <c r="A318" s="395" t="s">
        <v>804</v>
      </c>
      <c r="B318" s="368"/>
      <c r="C318" s="368"/>
      <c r="D318" s="368"/>
    </row>
    <row r="319" spans="1:4">
      <c r="A319" s="396"/>
      <c r="B319" s="368"/>
      <c r="C319" s="368"/>
      <c r="D319" s="368"/>
    </row>
    <row r="320" spans="1:4">
      <c r="A320" s="397" t="s">
        <v>832</v>
      </c>
      <c r="B320" s="368"/>
      <c r="C320" s="368"/>
      <c r="D320" s="368"/>
    </row>
    <row r="321" spans="1:4">
      <c r="A321" s="396"/>
      <c r="B321" s="368"/>
      <c r="C321" s="368"/>
      <c r="D321" s="368"/>
    </row>
    <row r="322" spans="1:4">
      <c r="A322" s="398" t="s">
        <v>833</v>
      </c>
      <c r="B322" s="368"/>
      <c r="C322" s="368"/>
      <c r="D322" s="368"/>
    </row>
    <row r="323" spans="1:4">
      <c r="A323" s="396"/>
      <c r="B323" s="368"/>
      <c r="C323" s="368"/>
      <c r="D323" s="368"/>
    </row>
    <row r="324" spans="1:4">
      <c r="A324" s="398" t="s">
        <v>834</v>
      </c>
      <c r="B324" s="368"/>
      <c r="C324" s="368"/>
      <c r="D324" s="368"/>
    </row>
    <row r="325" spans="1:4">
      <c r="A325" s="396"/>
      <c r="B325" s="368"/>
      <c r="C325" s="368"/>
      <c r="D325" s="368"/>
    </row>
    <row r="326" spans="1:4">
      <c r="A326" s="398" t="s">
        <v>835</v>
      </c>
      <c r="B326" s="368"/>
      <c r="C326" s="368"/>
      <c r="D326" s="368"/>
    </row>
    <row r="327" spans="1:4">
      <c r="A327" s="385"/>
      <c r="B327" s="368"/>
      <c r="C327" s="368"/>
      <c r="D327" s="368"/>
    </row>
    <row r="328" spans="1:4">
      <c r="A328" s="386" t="s">
        <v>809</v>
      </c>
      <c r="B328" s="368"/>
      <c r="C328" s="368"/>
      <c r="D328" s="368"/>
    </row>
    <row r="329" spans="1:4">
      <c r="A329" s="368"/>
      <c r="B329" s="368"/>
      <c r="C329" s="368"/>
      <c r="D329" s="368"/>
    </row>
    <row r="330" spans="1:4" ht="16.5">
      <c r="A330" s="391" t="s">
        <v>836</v>
      </c>
      <c r="B330" s="368"/>
      <c r="C330" s="368"/>
      <c r="D330" s="368"/>
    </row>
    <row r="331" spans="1:4">
      <c r="A331" s="372"/>
      <c r="B331" s="368"/>
      <c r="C331" s="368"/>
      <c r="D331" s="368"/>
    </row>
    <row r="332" spans="1:4">
      <c r="A332" s="374" t="s">
        <v>837</v>
      </c>
      <c r="B332" s="368"/>
      <c r="C332" s="368"/>
      <c r="D332" s="368"/>
    </row>
    <row r="333" spans="1:4">
      <c r="A333" s="385"/>
      <c r="B333" s="368"/>
      <c r="C333" s="368"/>
      <c r="D333" s="368"/>
    </row>
    <row r="334" spans="1:4">
      <c r="A334" s="386" t="s">
        <v>838</v>
      </c>
      <c r="B334" s="368"/>
      <c r="C334" s="368"/>
      <c r="D334" s="368"/>
    </row>
    <row r="335" spans="1:4">
      <c r="A335" s="385"/>
      <c r="B335" s="368"/>
      <c r="C335" s="368"/>
      <c r="D335" s="368"/>
    </row>
    <row r="336" spans="1:4">
      <c r="A336" s="386" t="s">
        <v>839</v>
      </c>
      <c r="B336" s="368"/>
      <c r="C336" s="368"/>
      <c r="D336" s="368"/>
    </row>
    <row r="337" spans="1:4">
      <c r="A337" s="374"/>
      <c r="B337" s="368"/>
      <c r="C337" s="368"/>
      <c r="D337" s="368"/>
    </row>
    <row r="338" spans="1:4">
      <c r="A338" s="368"/>
      <c r="B338" s="368"/>
      <c r="C338" s="368"/>
      <c r="D338" s="368"/>
    </row>
    <row r="339" spans="1:4" ht="18">
      <c r="A339" s="371" t="s">
        <v>840</v>
      </c>
      <c r="B339" s="368"/>
      <c r="C339" s="368"/>
      <c r="D339" s="368"/>
    </row>
    <row r="340" spans="1:4">
      <c r="A340" s="368" t="s">
        <v>841</v>
      </c>
      <c r="B340" s="368"/>
      <c r="C340" s="368"/>
      <c r="D340" s="368"/>
    </row>
    <row r="341" spans="1:4">
      <c r="A341" s="372"/>
      <c r="B341" s="368"/>
      <c r="C341" s="368"/>
      <c r="D341" s="368"/>
    </row>
    <row r="342" spans="1:4">
      <c r="A342" s="374" t="s">
        <v>776</v>
      </c>
      <c r="B342" s="368"/>
      <c r="C342" s="368"/>
      <c r="D342" s="368"/>
    </row>
    <row r="343" spans="1:4">
      <c r="A343" s="385"/>
      <c r="B343" s="368"/>
      <c r="C343" s="368"/>
      <c r="D343" s="368"/>
    </row>
    <row r="344" spans="1:4">
      <c r="A344" s="386" t="s">
        <v>842</v>
      </c>
      <c r="B344" s="368"/>
      <c r="C344" s="368"/>
      <c r="D344" s="368"/>
    </row>
    <row r="345" spans="1:4">
      <c r="A345" s="385"/>
      <c r="B345" s="368"/>
      <c r="C345" s="368"/>
      <c r="D345" s="368"/>
    </row>
    <row r="346" spans="1:4">
      <c r="A346" s="386" t="s">
        <v>843</v>
      </c>
      <c r="B346" s="368"/>
      <c r="C346" s="368"/>
      <c r="D346" s="368"/>
    </row>
    <row r="347" spans="1:4">
      <c r="A347" s="385"/>
      <c r="B347" s="368"/>
      <c r="C347" s="368"/>
      <c r="D347" s="368"/>
    </row>
    <row r="348" spans="1:4">
      <c r="A348" s="386" t="s">
        <v>844</v>
      </c>
      <c r="B348" s="368"/>
      <c r="C348" s="368"/>
      <c r="D348" s="368"/>
    </row>
    <row r="349" spans="1:4">
      <c r="A349" s="387"/>
      <c r="B349" s="368"/>
      <c r="C349" s="368"/>
      <c r="D349" s="368"/>
    </row>
    <row r="350" spans="1:4">
      <c r="A350" s="389" t="s">
        <v>845</v>
      </c>
      <c r="B350" s="368"/>
      <c r="C350" s="368"/>
      <c r="D350" s="368"/>
    </row>
    <row r="351" spans="1:4">
      <c r="A351" s="387"/>
      <c r="B351" s="368"/>
      <c r="C351" s="368"/>
      <c r="D351" s="368"/>
    </row>
    <row r="352" spans="1:4">
      <c r="A352" s="389" t="s">
        <v>846</v>
      </c>
      <c r="B352" s="368"/>
      <c r="C352" s="368"/>
      <c r="D352" s="368"/>
    </row>
    <row r="353" spans="1:4">
      <c r="A353" s="387"/>
      <c r="B353" s="368"/>
      <c r="C353" s="368"/>
      <c r="D353" s="368"/>
    </row>
    <row r="354" spans="1:4">
      <c r="A354" s="392" t="s">
        <v>847</v>
      </c>
      <c r="B354" s="368"/>
      <c r="C354" s="368"/>
      <c r="D354" s="368"/>
    </row>
    <row r="355" spans="1:4">
      <c r="A355" s="394"/>
      <c r="B355" s="368"/>
      <c r="C355" s="368"/>
      <c r="D355" s="368"/>
    </row>
    <row r="356" spans="1:4">
      <c r="A356" s="399" t="s">
        <v>802</v>
      </c>
      <c r="B356" s="368"/>
      <c r="C356" s="368"/>
      <c r="D356" s="368"/>
    </row>
    <row r="357" spans="1:4">
      <c r="A357" s="396"/>
      <c r="B357" s="368"/>
      <c r="C357" s="368"/>
      <c r="D357" s="368"/>
    </row>
    <row r="358" spans="1:4">
      <c r="A358" s="397" t="s">
        <v>848</v>
      </c>
      <c r="B358" s="368"/>
      <c r="C358" s="368"/>
      <c r="D358" s="368"/>
    </row>
    <row r="359" spans="1:4">
      <c r="A359" s="396"/>
      <c r="B359" s="368"/>
      <c r="C359" s="368"/>
      <c r="D359" s="368"/>
    </row>
    <row r="360" spans="1:4">
      <c r="A360" s="398" t="s">
        <v>849</v>
      </c>
      <c r="B360" s="368"/>
      <c r="C360" s="368"/>
      <c r="D360" s="368"/>
    </row>
    <row r="361" spans="1:4">
      <c r="A361" s="400"/>
      <c r="B361" s="368"/>
      <c r="C361" s="368"/>
      <c r="D361" s="368"/>
    </row>
    <row r="362" spans="1:4">
      <c r="A362" s="401" t="s">
        <v>850</v>
      </c>
      <c r="B362" s="368"/>
      <c r="C362" s="368"/>
      <c r="D362" s="368"/>
    </row>
    <row r="363" spans="1:4">
      <c r="A363" s="400"/>
      <c r="B363" s="368"/>
      <c r="C363" s="368"/>
      <c r="D363" s="368"/>
    </row>
    <row r="364" spans="1:4">
      <c r="A364" s="401" t="s">
        <v>851</v>
      </c>
      <c r="B364" s="368"/>
      <c r="C364" s="368"/>
      <c r="D364" s="368"/>
    </row>
    <row r="365" spans="1:4">
      <c r="A365" s="400"/>
      <c r="B365" s="368"/>
      <c r="C365" s="368"/>
      <c r="D365" s="368"/>
    </row>
    <row r="366" spans="1:4">
      <c r="A366" s="401" t="s">
        <v>852</v>
      </c>
      <c r="B366" s="368"/>
      <c r="C366" s="368"/>
      <c r="D366" s="368"/>
    </row>
    <row r="367" spans="1:4">
      <c r="A367" s="400"/>
      <c r="B367" s="368"/>
      <c r="C367" s="368"/>
      <c r="D367" s="368"/>
    </row>
    <row r="368" spans="1:4">
      <c r="A368" s="401" t="s">
        <v>853</v>
      </c>
      <c r="B368" s="368"/>
      <c r="C368" s="368"/>
      <c r="D368" s="368"/>
    </row>
    <row r="369" spans="1:4">
      <c r="A369" s="400"/>
      <c r="B369" s="368"/>
      <c r="C369" s="368"/>
      <c r="D369" s="368"/>
    </row>
    <row r="370" spans="1:4">
      <c r="A370" s="401" t="s">
        <v>854</v>
      </c>
      <c r="B370" s="368"/>
      <c r="C370" s="368"/>
      <c r="D370" s="368"/>
    </row>
    <row r="371" spans="1:4">
      <c r="A371" s="385"/>
      <c r="B371" s="368"/>
      <c r="C371" s="368"/>
      <c r="D371" s="368"/>
    </row>
    <row r="372" spans="1:4">
      <c r="A372" s="369" t="s">
        <v>855</v>
      </c>
      <c r="B372" s="368"/>
      <c r="C372" s="368"/>
      <c r="D372" s="368"/>
    </row>
    <row r="373" spans="1:4">
      <c r="A373" s="372"/>
      <c r="B373" s="368"/>
      <c r="C373" s="368"/>
      <c r="D373" s="368"/>
    </row>
    <row r="374" spans="1:4">
      <c r="A374" s="402" t="s">
        <v>856</v>
      </c>
      <c r="B374" s="368"/>
      <c r="C374" s="368"/>
      <c r="D374" s="368"/>
    </row>
    <row r="375" spans="1:4">
      <c r="A375" s="385"/>
      <c r="B375" s="368"/>
      <c r="C375" s="368"/>
      <c r="D375" s="368"/>
    </row>
    <row r="376" spans="1:4">
      <c r="A376" s="393" t="s">
        <v>857</v>
      </c>
      <c r="B376" s="368"/>
      <c r="C376" s="368"/>
      <c r="D376" s="368"/>
    </row>
    <row r="377" spans="1:4">
      <c r="A377" s="387"/>
      <c r="B377" s="368"/>
      <c r="C377" s="368"/>
      <c r="D377" s="368"/>
    </row>
    <row r="378" spans="1:4">
      <c r="A378" s="388" t="s">
        <v>858</v>
      </c>
      <c r="B378" s="368"/>
      <c r="C378" s="368"/>
      <c r="D378" s="368"/>
    </row>
    <row r="379" spans="1:4">
      <c r="A379" s="387"/>
      <c r="B379" s="368"/>
      <c r="C379" s="368"/>
      <c r="D379" s="368"/>
    </row>
    <row r="380" spans="1:4">
      <c r="A380" s="388" t="s">
        <v>859</v>
      </c>
      <c r="B380" s="368"/>
      <c r="C380" s="368"/>
      <c r="D380" s="368"/>
    </row>
    <row r="381" spans="1:4">
      <c r="A381" s="387"/>
      <c r="B381" s="368"/>
      <c r="C381" s="368"/>
      <c r="D381" s="368"/>
    </row>
    <row r="382" spans="1:4">
      <c r="A382" s="388" t="s">
        <v>860</v>
      </c>
      <c r="B382" s="368"/>
      <c r="C382" s="368"/>
      <c r="D382" s="368"/>
    </row>
    <row r="383" spans="1:4">
      <c r="A383" s="385"/>
      <c r="B383" s="368"/>
      <c r="C383" s="368"/>
      <c r="D383" s="368"/>
    </row>
    <row r="384" spans="1:4">
      <c r="A384" s="393" t="s">
        <v>861</v>
      </c>
      <c r="B384" s="368"/>
      <c r="C384" s="368"/>
      <c r="D384" s="368"/>
    </row>
    <row r="385" spans="1:4">
      <c r="A385" s="387"/>
      <c r="B385" s="368"/>
      <c r="C385" s="368"/>
      <c r="D385" s="368"/>
    </row>
    <row r="386" spans="1:4">
      <c r="A386" s="388" t="s">
        <v>862</v>
      </c>
      <c r="B386" s="368"/>
      <c r="C386" s="368"/>
      <c r="D386" s="368"/>
    </row>
    <row r="387" spans="1:4">
      <c r="A387" s="387"/>
      <c r="B387" s="368"/>
      <c r="C387" s="368"/>
      <c r="D387" s="368"/>
    </row>
    <row r="388" spans="1:4">
      <c r="A388" s="388" t="s">
        <v>863</v>
      </c>
      <c r="B388" s="368"/>
      <c r="C388" s="368"/>
      <c r="D388" s="368"/>
    </row>
    <row r="389" spans="1:4">
      <c r="A389" s="387"/>
      <c r="B389" s="368"/>
      <c r="C389" s="368"/>
      <c r="D389" s="368"/>
    </row>
    <row r="390" spans="1:4">
      <c r="A390" s="389" t="s">
        <v>864</v>
      </c>
      <c r="B390" s="368"/>
      <c r="C390" s="368"/>
      <c r="D390" s="368"/>
    </row>
    <row r="391" spans="1:4">
      <c r="A391" s="387"/>
      <c r="B391" s="368"/>
      <c r="C391" s="368"/>
      <c r="D391" s="368"/>
    </row>
    <row r="392" spans="1:4">
      <c r="A392" s="403" t="s">
        <v>865</v>
      </c>
      <c r="B392" s="368"/>
      <c r="C392" s="368"/>
      <c r="D392" s="368"/>
    </row>
    <row r="393" spans="1:4">
      <c r="A393" s="385"/>
      <c r="B393" s="368"/>
      <c r="C393" s="368"/>
      <c r="D393" s="368"/>
    </row>
    <row r="394" spans="1:4">
      <c r="A394" s="393" t="s">
        <v>866</v>
      </c>
      <c r="B394" s="368"/>
      <c r="C394" s="368"/>
      <c r="D394" s="368"/>
    </row>
    <row r="395" spans="1:4">
      <c r="A395" s="387"/>
      <c r="B395" s="368"/>
      <c r="C395" s="368"/>
      <c r="D395" s="368"/>
    </row>
    <row r="396" spans="1:4">
      <c r="A396" s="388" t="s">
        <v>867</v>
      </c>
      <c r="B396" s="368"/>
      <c r="C396" s="368"/>
      <c r="D396" s="368"/>
    </row>
    <row r="397" spans="1:4">
      <c r="A397" s="394"/>
      <c r="B397" s="368"/>
      <c r="C397" s="368"/>
      <c r="D397" s="368"/>
    </row>
    <row r="398" spans="1:4">
      <c r="A398" s="404" t="s">
        <v>868</v>
      </c>
      <c r="B398" s="368"/>
      <c r="C398" s="368"/>
      <c r="D398" s="368"/>
    </row>
    <row r="399" spans="1:4">
      <c r="A399" s="387"/>
      <c r="B399" s="368"/>
      <c r="C399" s="368"/>
      <c r="D399" s="368"/>
    </row>
    <row r="400" spans="1:4">
      <c r="A400" s="388" t="s">
        <v>869</v>
      </c>
      <c r="B400" s="368"/>
      <c r="C400" s="368"/>
      <c r="D400" s="368"/>
    </row>
    <row r="401" spans="1:4">
      <c r="A401" s="394"/>
      <c r="B401" s="368"/>
      <c r="C401" s="368"/>
      <c r="D401" s="368"/>
    </row>
    <row r="402" spans="1:4">
      <c r="A402" s="405" t="s">
        <v>870</v>
      </c>
      <c r="B402" s="368"/>
      <c r="C402" s="368"/>
      <c r="D402" s="368"/>
    </row>
    <row r="403" spans="1:4">
      <c r="A403" s="394"/>
      <c r="B403" s="368"/>
      <c r="C403" s="368"/>
      <c r="D403" s="368"/>
    </row>
    <row r="404" spans="1:4">
      <c r="A404" s="405" t="s">
        <v>871</v>
      </c>
      <c r="B404" s="368"/>
      <c r="C404" s="368"/>
      <c r="D404" s="368"/>
    </row>
    <row r="405" spans="1:4">
      <c r="A405" s="396"/>
      <c r="B405" s="368"/>
      <c r="C405" s="368"/>
      <c r="D405" s="368"/>
    </row>
    <row r="406" spans="1:4">
      <c r="A406" s="406" t="s">
        <v>872</v>
      </c>
      <c r="B406" s="368"/>
      <c r="C406" s="368"/>
      <c r="D406" s="368"/>
    </row>
    <row r="407" spans="1:4">
      <c r="A407" s="396"/>
      <c r="B407" s="368"/>
      <c r="C407" s="368"/>
      <c r="D407" s="368"/>
    </row>
    <row r="408" spans="1:4">
      <c r="A408" s="406" t="s">
        <v>873</v>
      </c>
      <c r="B408" s="368"/>
      <c r="C408" s="368"/>
      <c r="D408" s="368"/>
    </row>
    <row r="409" spans="1:4">
      <c r="A409" s="400"/>
      <c r="B409" s="368"/>
      <c r="C409" s="368"/>
      <c r="D409" s="368"/>
    </row>
    <row r="410" spans="1:4">
      <c r="A410" s="407" t="s">
        <v>874</v>
      </c>
      <c r="B410" s="368"/>
      <c r="C410" s="368"/>
      <c r="D410" s="368"/>
    </row>
    <row r="411" spans="1:4">
      <c r="A411" s="408"/>
      <c r="B411" s="368"/>
      <c r="C411" s="368"/>
      <c r="D411" s="368"/>
    </row>
    <row r="412" spans="1:4">
      <c r="A412" s="409" t="s">
        <v>875</v>
      </c>
      <c r="B412" s="368"/>
      <c r="C412" s="368"/>
      <c r="D412" s="368"/>
    </row>
    <row r="413" spans="1:4">
      <c r="A413" s="408"/>
      <c r="B413" s="368"/>
      <c r="C413" s="368"/>
      <c r="D413" s="368"/>
    </row>
    <row r="414" spans="1:4">
      <c r="A414" s="409" t="s">
        <v>876</v>
      </c>
      <c r="B414" s="368"/>
      <c r="C414" s="368"/>
      <c r="D414" s="368"/>
    </row>
    <row r="415" spans="1:4">
      <c r="A415" s="410"/>
      <c r="B415" s="368"/>
      <c r="C415" s="368"/>
      <c r="D415" s="368"/>
    </row>
    <row r="416" spans="1:4">
      <c r="A416" s="411" t="s">
        <v>877</v>
      </c>
      <c r="B416" s="368"/>
      <c r="C416" s="368"/>
      <c r="D416" s="368"/>
    </row>
    <row r="417" spans="1:4">
      <c r="A417" s="408"/>
      <c r="B417" s="368"/>
      <c r="C417" s="368"/>
      <c r="D417" s="368"/>
    </row>
    <row r="418" spans="1:4">
      <c r="A418" s="409" t="s">
        <v>878</v>
      </c>
      <c r="B418" s="368"/>
      <c r="C418" s="368"/>
      <c r="D418" s="368"/>
    </row>
    <row r="419" spans="1:4">
      <c r="A419" s="410"/>
      <c r="B419" s="368"/>
      <c r="C419" s="368"/>
      <c r="D419" s="368"/>
    </row>
    <row r="420" spans="1:4">
      <c r="A420" s="411" t="s">
        <v>879</v>
      </c>
      <c r="B420" s="368"/>
      <c r="C420" s="368"/>
      <c r="D420" s="368"/>
    </row>
    <row r="421" spans="1:4">
      <c r="A421" s="408"/>
      <c r="B421" s="368"/>
      <c r="C421" s="368"/>
      <c r="D421" s="368"/>
    </row>
    <row r="422" spans="1:4">
      <c r="A422" s="409" t="s">
        <v>880</v>
      </c>
      <c r="B422" s="368"/>
      <c r="C422" s="368"/>
      <c r="D422" s="368"/>
    </row>
    <row r="423" spans="1:4">
      <c r="A423" s="400"/>
      <c r="B423" s="368"/>
      <c r="C423" s="368"/>
      <c r="D423" s="368"/>
    </row>
    <row r="424" spans="1:4">
      <c r="A424" s="407" t="s">
        <v>881</v>
      </c>
      <c r="B424" s="368"/>
      <c r="C424" s="368"/>
      <c r="D424" s="368"/>
    </row>
    <row r="425" spans="1:4">
      <c r="A425" s="408"/>
      <c r="B425" s="368"/>
      <c r="C425" s="368"/>
      <c r="D425" s="368"/>
    </row>
    <row r="426" spans="1:4">
      <c r="A426" s="412" t="s">
        <v>882</v>
      </c>
      <c r="B426" s="368"/>
      <c r="C426" s="368"/>
      <c r="D426" s="368"/>
    </row>
    <row r="427" spans="1:4">
      <c r="A427" s="394"/>
      <c r="B427" s="368"/>
      <c r="C427" s="368"/>
      <c r="D427" s="368"/>
    </row>
    <row r="428" spans="1:4">
      <c r="A428" s="405" t="s">
        <v>883</v>
      </c>
      <c r="B428" s="368"/>
      <c r="C428" s="368"/>
      <c r="D428" s="368"/>
    </row>
    <row r="429" spans="1:4">
      <c r="A429" s="405"/>
      <c r="B429" s="368"/>
      <c r="C429" s="368"/>
      <c r="D429" s="368"/>
    </row>
    <row r="430" spans="1:4">
      <c r="A430" s="399" t="s">
        <v>884</v>
      </c>
      <c r="B430" s="368"/>
      <c r="C430" s="368"/>
      <c r="D430" s="368"/>
    </row>
    <row r="431" spans="1:4">
      <c r="A431" s="396"/>
      <c r="B431" s="368"/>
      <c r="C431" s="368"/>
      <c r="D431" s="368"/>
    </row>
    <row r="432" spans="1:4">
      <c r="A432" s="397" t="s">
        <v>885</v>
      </c>
      <c r="B432" s="368"/>
      <c r="C432" s="368"/>
      <c r="D432" s="368"/>
    </row>
    <row r="433" spans="1:4">
      <c r="A433" s="387"/>
      <c r="B433" s="368"/>
      <c r="C433" s="368"/>
      <c r="D433" s="368"/>
    </row>
    <row r="434" spans="1:4">
      <c r="A434" s="389" t="s">
        <v>886</v>
      </c>
      <c r="B434" s="368"/>
      <c r="C434" s="368"/>
      <c r="D434" s="368"/>
    </row>
    <row r="435" spans="1:4">
      <c r="A435" s="368"/>
    </row>
    <row r="436" spans="1:4" s="414" customFormat="1" ht="18">
      <c r="A436" s="413" t="s">
        <v>887</v>
      </c>
    </row>
    <row r="437" spans="1:4" s="414" customFormat="1">
      <c r="A437" s="415"/>
    </row>
    <row r="438" spans="1:4" s="414" customFormat="1">
      <c r="A438" s="415" t="s">
        <v>888</v>
      </c>
    </row>
    <row r="439" spans="1:4" s="414" customFormat="1">
      <c r="A439" s="415"/>
    </row>
    <row r="440" spans="1:4" s="414" customFormat="1">
      <c r="A440" s="416" t="s">
        <v>889</v>
      </c>
    </row>
    <row r="441" spans="1:4" s="414" customFormat="1">
      <c r="A441" s="417"/>
    </row>
    <row r="442" spans="1:4" s="414" customFormat="1">
      <c r="A442" s="418" t="s">
        <v>776</v>
      </c>
    </row>
    <row r="443" spans="1:4" s="414" customFormat="1">
      <c r="A443" s="419"/>
    </row>
    <row r="444" spans="1:4" s="414" customFormat="1">
      <c r="A444" s="420" t="s">
        <v>890</v>
      </c>
    </row>
    <row r="445" spans="1:4" s="414" customFormat="1">
      <c r="A445" s="421"/>
    </row>
    <row r="446" spans="1:4" s="414" customFormat="1">
      <c r="A446" s="422" t="s">
        <v>891</v>
      </c>
    </row>
    <row r="447" spans="1:4" s="414" customFormat="1">
      <c r="A447" s="423"/>
    </row>
    <row r="448" spans="1:4" s="414" customFormat="1">
      <c r="A448" s="424" t="s">
        <v>892</v>
      </c>
    </row>
    <row r="449" spans="1:1" s="414" customFormat="1">
      <c r="A449" s="425"/>
    </row>
    <row r="450" spans="1:1" s="414" customFormat="1">
      <c r="A450" s="426" t="s">
        <v>893</v>
      </c>
    </row>
    <row r="451" spans="1:1" s="414" customFormat="1">
      <c r="A451" s="425"/>
    </row>
    <row r="452" spans="1:1" s="414" customFormat="1">
      <c r="A452" s="426" t="s">
        <v>894</v>
      </c>
    </row>
    <row r="453" spans="1:1" s="414" customFormat="1">
      <c r="A453" s="425"/>
    </row>
    <row r="454" spans="1:1" s="414" customFormat="1">
      <c r="A454" s="426" t="s">
        <v>895</v>
      </c>
    </row>
    <row r="455" spans="1:1" s="414" customFormat="1">
      <c r="A455" s="425"/>
    </row>
    <row r="456" spans="1:1" s="414" customFormat="1">
      <c r="A456" s="426" t="s">
        <v>896</v>
      </c>
    </row>
    <row r="457" spans="1:1" s="414" customFormat="1">
      <c r="A457" s="415"/>
    </row>
    <row r="458" spans="1:1" s="414" customFormat="1">
      <c r="A458" s="416" t="s">
        <v>897</v>
      </c>
    </row>
    <row r="459" spans="1:1" s="414" customFormat="1">
      <c r="A459" s="417"/>
    </row>
    <row r="460" spans="1:1" s="414" customFormat="1">
      <c r="A460" s="418" t="s">
        <v>898</v>
      </c>
    </row>
    <row r="461" spans="1:1" s="414" customFormat="1">
      <c r="A461" s="419"/>
    </row>
    <row r="462" spans="1:1" s="414" customFormat="1">
      <c r="A462" s="427" t="s">
        <v>899</v>
      </c>
    </row>
    <row r="463" spans="1:1" s="414" customFormat="1">
      <c r="A463" s="421"/>
    </row>
    <row r="464" spans="1:1" s="414" customFormat="1">
      <c r="A464" s="422" t="s">
        <v>900</v>
      </c>
    </row>
    <row r="465" spans="1:1" s="414" customFormat="1">
      <c r="A465" s="417"/>
    </row>
    <row r="466" spans="1:1" s="414" customFormat="1">
      <c r="A466" s="418" t="s">
        <v>901</v>
      </c>
    </row>
    <row r="467" spans="1:1" s="414" customFormat="1">
      <c r="A467" s="419"/>
    </row>
    <row r="468" spans="1:1" s="414" customFormat="1">
      <c r="A468" s="420" t="s">
        <v>902</v>
      </c>
    </row>
    <row r="469" spans="1:1" s="414" customFormat="1">
      <c r="A469" s="419"/>
    </row>
    <row r="470" spans="1:1" s="414" customFormat="1">
      <c r="A470" s="420" t="s">
        <v>903</v>
      </c>
    </row>
    <row r="471" spans="1:1" s="414" customFormat="1">
      <c r="A471" s="419"/>
    </row>
    <row r="472" spans="1:1" s="414" customFormat="1">
      <c r="A472" s="420" t="s">
        <v>904</v>
      </c>
    </row>
    <row r="473" spans="1:1" s="414" customFormat="1">
      <c r="A473" s="419"/>
    </row>
    <row r="474" spans="1:1" s="414" customFormat="1">
      <c r="A474" s="420" t="s">
        <v>905</v>
      </c>
    </row>
    <row r="475" spans="1:1" s="414" customFormat="1">
      <c r="A475" s="417"/>
    </row>
    <row r="476" spans="1:1" s="414" customFormat="1">
      <c r="A476" s="418" t="s">
        <v>906</v>
      </c>
    </row>
    <row r="477" spans="1:1" s="414" customFormat="1">
      <c r="A477" s="415"/>
    </row>
    <row r="478" spans="1:1" s="414" customFormat="1">
      <c r="A478" s="416" t="s">
        <v>907</v>
      </c>
    </row>
    <row r="479" spans="1:1" s="414" customFormat="1">
      <c r="A479" s="417"/>
    </row>
    <row r="480" spans="1:1" s="414" customFormat="1">
      <c r="A480" s="418" t="s">
        <v>908</v>
      </c>
    </row>
    <row r="481" spans="1:1" s="414" customFormat="1">
      <c r="A481" s="419"/>
    </row>
    <row r="482" spans="1:1" s="414" customFormat="1">
      <c r="A482" s="427" t="s">
        <v>909</v>
      </c>
    </row>
    <row r="483" spans="1:1" s="414" customFormat="1">
      <c r="A483" s="419"/>
    </row>
    <row r="484" spans="1:1" s="414" customFormat="1">
      <c r="A484" s="427" t="s">
        <v>910</v>
      </c>
    </row>
    <row r="485" spans="1:1" s="414" customFormat="1">
      <c r="A485" s="421"/>
    </row>
    <row r="486" spans="1:1" s="414" customFormat="1">
      <c r="A486" s="422" t="s">
        <v>911</v>
      </c>
    </row>
    <row r="487" spans="1:1" s="414" customFormat="1">
      <c r="A487" s="421"/>
    </row>
    <row r="488" spans="1:1" s="414" customFormat="1">
      <c r="A488" s="422" t="s">
        <v>912</v>
      </c>
    </row>
    <row r="489" spans="1:1" s="414" customFormat="1">
      <c r="A489" s="423"/>
    </row>
    <row r="490" spans="1:1" s="414" customFormat="1">
      <c r="A490" s="428" t="s">
        <v>913</v>
      </c>
    </row>
    <row r="491" spans="1:1" s="414" customFormat="1">
      <c r="A491" s="423"/>
    </row>
    <row r="492" spans="1:1" s="414" customFormat="1">
      <c r="A492" s="424" t="s">
        <v>914</v>
      </c>
    </row>
    <row r="493" spans="1:1" s="414" customFormat="1">
      <c r="A493" s="425"/>
    </row>
    <row r="494" spans="1:1" s="414" customFormat="1">
      <c r="A494" s="425" t="s">
        <v>915</v>
      </c>
    </row>
    <row r="495" spans="1:1" s="414" customFormat="1">
      <c r="A495" s="423"/>
    </row>
    <row r="496" spans="1:1" s="414" customFormat="1">
      <c r="A496" s="424" t="s">
        <v>916</v>
      </c>
    </row>
    <row r="497" spans="1:1" s="414" customFormat="1">
      <c r="A497" s="425"/>
    </row>
    <row r="498" spans="1:1" s="414" customFormat="1">
      <c r="A498" s="429" t="s">
        <v>917</v>
      </c>
    </row>
    <row r="499" spans="1:1" s="414" customFormat="1">
      <c r="A499" s="419"/>
    </row>
    <row r="500" spans="1:1" s="414" customFormat="1">
      <c r="A500" s="427" t="s">
        <v>918</v>
      </c>
    </row>
    <row r="501" spans="1:1">
      <c r="A501" s="368"/>
    </row>
    <row r="502" spans="1:1" ht="18">
      <c r="A502" s="371" t="s">
        <v>919</v>
      </c>
    </row>
    <row r="503" spans="1:1">
      <c r="A503" s="372"/>
    </row>
    <row r="504" spans="1:1">
      <c r="A504" s="374" t="s">
        <v>770</v>
      </c>
    </row>
    <row r="505" spans="1:1">
      <c r="A505" s="385"/>
    </row>
    <row r="506" spans="1:1">
      <c r="A506" s="386" t="s">
        <v>920</v>
      </c>
    </row>
    <row r="507" spans="1:1">
      <c r="A507" s="385"/>
    </row>
    <row r="508" spans="1:1">
      <c r="A508" s="386" t="s">
        <v>921</v>
      </c>
    </row>
    <row r="509" spans="1:1">
      <c r="A509" s="385"/>
    </row>
    <row r="510" spans="1:1">
      <c r="A510" s="386" t="s">
        <v>922</v>
      </c>
    </row>
    <row r="511" spans="1:1">
      <c r="A511" s="387"/>
    </row>
    <row r="512" spans="1:1">
      <c r="A512" s="392" t="s">
        <v>923</v>
      </c>
    </row>
    <row r="513" spans="1:1">
      <c r="A513" s="387"/>
    </row>
    <row r="514" spans="1:1">
      <c r="A514" s="392" t="s">
        <v>924</v>
      </c>
    </row>
    <row r="515" spans="1:1">
      <c r="A515" s="387"/>
    </row>
    <row r="516" spans="1:1">
      <c r="A516" s="392" t="s">
        <v>925</v>
      </c>
    </row>
    <row r="517" spans="1:1">
      <c r="A517" s="394"/>
    </row>
    <row r="518" spans="1:1">
      <c r="A518" s="394" t="s">
        <v>926</v>
      </c>
    </row>
    <row r="519" spans="1:1">
      <c r="A519" s="394"/>
    </row>
    <row r="520" spans="1:1">
      <c r="A520" s="399" t="s">
        <v>927</v>
      </c>
    </row>
    <row r="521" spans="1:1">
      <c r="A521" s="372"/>
    </row>
    <row r="522" spans="1:1">
      <c r="A522" s="374" t="s">
        <v>928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1F2F-EE55-4A1D-AD43-807AD5E86F27}">
  <sheetPr>
    <tabColor theme="4" tint="0.39997558519241921"/>
  </sheetPr>
  <dimension ref="A1:X38"/>
  <sheetViews>
    <sheetView zoomScaleNormal="100" workbookViewId="0">
      <selection activeCell="G27" sqref="G27"/>
    </sheetView>
  </sheetViews>
  <sheetFormatPr defaultColWidth="10.28515625" defaultRowHeight="15.75"/>
  <cols>
    <col min="1" max="1" width="10.28515625" style="221"/>
    <col min="2" max="2" width="16" style="221" customWidth="1"/>
    <col min="3" max="18" width="14.28515625" style="221" customWidth="1"/>
    <col min="19" max="23" width="10.28515625" style="221"/>
    <col min="24" max="24" width="10.28515625" style="221" customWidth="1"/>
    <col min="25" max="16384" width="10.28515625" style="221"/>
  </cols>
  <sheetData>
    <row r="1" spans="1:24" ht="30.75" customHeight="1">
      <c r="A1" s="219" t="s">
        <v>260</v>
      </c>
      <c r="B1" s="220"/>
    </row>
    <row r="2" spans="1:24" ht="30.75" customHeight="1">
      <c r="A2" s="222" t="s">
        <v>261</v>
      </c>
      <c r="B2" s="220"/>
    </row>
    <row r="3" spans="1:24" ht="43.5" customHeight="1">
      <c r="A3" s="223" t="s">
        <v>262</v>
      </c>
      <c r="B3" s="223"/>
      <c r="F3" s="224"/>
      <c r="G3" s="225"/>
      <c r="H3" s="225"/>
      <c r="J3" s="226"/>
      <c r="M3" s="227"/>
      <c r="N3" s="226"/>
    </row>
    <row r="4" spans="1:24" ht="28.5" customHeight="1">
      <c r="A4" s="228" t="s">
        <v>233</v>
      </c>
      <c r="B4" s="229"/>
      <c r="C4" s="230">
        <v>46105</v>
      </c>
      <c r="D4" s="230">
        <f>C4+7</f>
        <v>46112</v>
      </c>
      <c r="E4" s="230">
        <v>46120</v>
      </c>
      <c r="F4" s="230">
        <f>E4+6</f>
        <v>46126</v>
      </c>
      <c r="G4" s="230">
        <f t="shared" ref="G4:K4" si="0">F4+7</f>
        <v>46133</v>
      </c>
      <c r="H4" s="230">
        <f t="shared" si="0"/>
        <v>46140</v>
      </c>
      <c r="I4" s="230">
        <v>46148</v>
      </c>
      <c r="J4" s="230">
        <f>I4+6</f>
        <v>46154</v>
      </c>
      <c r="K4" s="230">
        <f t="shared" si="0"/>
        <v>46161</v>
      </c>
      <c r="L4" s="231"/>
      <c r="M4" s="231"/>
      <c r="N4" s="231"/>
      <c r="O4" s="231"/>
      <c r="P4" s="231"/>
      <c r="Q4" s="231"/>
      <c r="X4" s="232" t="s">
        <v>242</v>
      </c>
    </row>
    <row r="5" spans="1:24" ht="28.5" customHeight="1">
      <c r="A5" s="228" t="s">
        <v>235</v>
      </c>
      <c r="B5" s="229"/>
      <c r="C5" s="233">
        <f t="shared" ref="C5:J5" si="1">WEEKDAY(C4,1)</f>
        <v>3</v>
      </c>
      <c r="D5" s="233">
        <f t="shared" si="1"/>
        <v>3</v>
      </c>
      <c r="E5" s="233">
        <f t="shared" si="1"/>
        <v>4</v>
      </c>
      <c r="F5" s="233">
        <f t="shared" si="1"/>
        <v>3</v>
      </c>
      <c r="G5" s="233">
        <f t="shared" si="1"/>
        <v>3</v>
      </c>
      <c r="H5" s="233">
        <f t="shared" si="1"/>
        <v>3</v>
      </c>
      <c r="I5" s="233">
        <f t="shared" si="1"/>
        <v>4</v>
      </c>
      <c r="J5" s="233">
        <f t="shared" si="1"/>
        <v>3</v>
      </c>
      <c r="K5" s="233">
        <f>WEEKDAY(K4,1)</f>
        <v>3</v>
      </c>
      <c r="L5" s="234"/>
      <c r="M5" s="235"/>
      <c r="N5" s="235"/>
      <c r="O5" s="235"/>
      <c r="P5" s="235"/>
      <c r="Q5" s="235"/>
      <c r="X5" s="232" t="s">
        <v>249</v>
      </c>
    </row>
    <row r="6" spans="1:24" ht="28.5" customHeight="1">
      <c r="A6" s="228" t="s">
        <v>237</v>
      </c>
      <c r="B6" s="229"/>
      <c r="C6" s="236" t="s">
        <v>238</v>
      </c>
      <c r="D6" s="236" t="s">
        <v>238</v>
      </c>
      <c r="E6" s="236" t="s">
        <v>263</v>
      </c>
      <c r="F6" s="236" t="s">
        <v>238</v>
      </c>
      <c r="G6" s="236" t="s">
        <v>238</v>
      </c>
      <c r="H6" s="236" t="s">
        <v>238</v>
      </c>
      <c r="I6" s="236" t="s">
        <v>263</v>
      </c>
      <c r="J6" s="236" t="s">
        <v>238</v>
      </c>
      <c r="K6" s="236" t="s">
        <v>238</v>
      </c>
      <c r="L6" s="237"/>
      <c r="M6" s="238"/>
      <c r="N6" s="238"/>
      <c r="O6" s="238"/>
      <c r="P6" s="238"/>
      <c r="Q6" s="238"/>
      <c r="X6" s="239" t="s">
        <v>252</v>
      </c>
    </row>
    <row r="7" spans="1:24" ht="28.5" customHeight="1">
      <c r="A7" s="228" t="s">
        <v>237</v>
      </c>
      <c r="B7" s="229"/>
      <c r="C7" s="240" t="s">
        <v>264</v>
      </c>
      <c r="D7" s="236" t="s">
        <v>241</v>
      </c>
      <c r="E7" s="236" t="s">
        <v>241</v>
      </c>
      <c r="F7" s="236" t="s">
        <v>241</v>
      </c>
      <c r="G7" s="236" t="s">
        <v>241</v>
      </c>
      <c r="H7" s="240" t="s">
        <v>264</v>
      </c>
      <c r="I7" s="236" t="s">
        <v>241</v>
      </c>
      <c r="J7" s="236" t="s">
        <v>241</v>
      </c>
      <c r="K7" s="236" t="s">
        <v>241</v>
      </c>
      <c r="L7" s="237"/>
      <c r="M7" s="238"/>
      <c r="N7" s="238"/>
      <c r="O7" s="238"/>
      <c r="P7" s="238"/>
      <c r="Q7" s="238"/>
      <c r="X7" s="232" t="s">
        <v>265</v>
      </c>
    </row>
    <row r="8" spans="1:24" ht="42" customHeight="1">
      <c r="A8" s="223" t="s">
        <v>266</v>
      </c>
      <c r="B8" s="223"/>
      <c r="H8" s="241" t="s">
        <v>267</v>
      </c>
    </row>
    <row r="9" spans="1:24" ht="24.75" customHeight="1">
      <c r="A9" s="228" t="s">
        <v>233</v>
      </c>
      <c r="B9" s="229"/>
      <c r="C9" s="242">
        <v>46168</v>
      </c>
      <c r="D9" s="242">
        <v>46170</v>
      </c>
      <c r="E9" s="242">
        <v>46175</v>
      </c>
      <c r="F9" s="242">
        <v>46177</v>
      </c>
      <c r="G9" s="242">
        <v>46182</v>
      </c>
      <c r="H9" s="242">
        <v>46184</v>
      </c>
      <c r="I9" s="230">
        <v>46189</v>
      </c>
      <c r="J9" s="230">
        <v>46191</v>
      </c>
      <c r="K9" s="242">
        <v>46196</v>
      </c>
      <c r="L9" s="242">
        <v>46198</v>
      </c>
      <c r="M9" s="230">
        <v>46203</v>
      </c>
      <c r="N9" s="230">
        <v>46205</v>
      </c>
      <c r="O9" s="242">
        <v>46210</v>
      </c>
      <c r="P9" s="242">
        <v>46212</v>
      </c>
      <c r="Q9" s="230">
        <v>46217</v>
      </c>
      <c r="R9" s="230">
        <v>46219</v>
      </c>
      <c r="X9" s="232" t="s">
        <v>258</v>
      </c>
    </row>
    <row r="10" spans="1:24" ht="24.75" customHeight="1">
      <c r="A10" s="228" t="s">
        <v>235</v>
      </c>
      <c r="B10" s="229"/>
      <c r="C10" s="243">
        <v>3</v>
      </c>
      <c r="D10" s="243">
        <v>5</v>
      </c>
      <c r="E10" s="243">
        <v>3</v>
      </c>
      <c r="F10" s="243">
        <v>5</v>
      </c>
      <c r="G10" s="243">
        <v>3</v>
      </c>
      <c r="H10" s="243">
        <v>5</v>
      </c>
      <c r="I10" s="233">
        <v>3</v>
      </c>
      <c r="J10" s="233">
        <v>5</v>
      </c>
      <c r="K10" s="243">
        <v>3</v>
      </c>
      <c r="L10" s="243">
        <v>5</v>
      </c>
      <c r="M10" s="233">
        <v>3</v>
      </c>
      <c r="N10" s="233">
        <v>5</v>
      </c>
      <c r="O10" s="243">
        <v>3</v>
      </c>
      <c r="P10" s="243">
        <v>5</v>
      </c>
      <c r="Q10" s="233">
        <v>3</v>
      </c>
      <c r="R10" s="233">
        <v>5</v>
      </c>
    </row>
    <row r="11" spans="1:24" ht="24.75" customHeight="1" thickBot="1">
      <c r="A11" s="228" t="s">
        <v>237</v>
      </c>
      <c r="B11" s="229"/>
      <c r="C11" s="240" t="s">
        <v>264</v>
      </c>
      <c r="D11" s="262" t="s">
        <v>264</v>
      </c>
      <c r="E11" s="244" t="s">
        <v>248</v>
      </c>
      <c r="F11" s="268" t="s">
        <v>248</v>
      </c>
      <c r="G11" s="244" t="s">
        <v>248</v>
      </c>
      <c r="H11" s="268" t="s">
        <v>241</v>
      </c>
      <c r="I11" s="236" t="s">
        <v>241</v>
      </c>
      <c r="J11" s="269" t="s">
        <v>248</v>
      </c>
      <c r="K11" s="240" t="s">
        <v>264</v>
      </c>
      <c r="L11" s="262" t="s">
        <v>264</v>
      </c>
      <c r="M11" s="244" t="s">
        <v>248</v>
      </c>
      <c r="N11" s="268" t="s">
        <v>248</v>
      </c>
      <c r="O11" s="244" t="s">
        <v>248</v>
      </c>
      <c r="P11" s="268" t="s">
        <v>248</v>
      </c>
      <c r="Q11" s="236" t="s">
        <v>241</v>
      </c>
      <c r="R11" s="269" t="s">
        <v>248</v>
      </c>
    </row>
    <row r="12" spans="1:24" ht="24.75" customHeight="1" thickTop="1" thickBot="1">
      <c r="A12" s="260" t="s">
        <v>250</v>
      </c>
      <c r="B12" s="236" t="s">
        <v>270</v>
      </c>
      <c r="C12" s="263"/>
      <c r="D12" s="274" t="s">
        <v>225</v>
      </c>
      <c r="E12" s="264"/>
      <c r="F12" s="275" t="s">
        <v>225</v>
      </c>
      <c r="G12" s="265"/>
      <c r="H12" s="276" t="s">
        <v>225</v>
      </c>
      <c r="I12" s="266"/>
      <c r="J12" s="277" t="s">
        <v>225</v>
      </c>
      <c r="K12" s="267"/>
      <c r="L12" s="274" t="s">
        <v>225</v>
      </c>
      <c r="M12" s="264"/>
      <c r="N12" s="275" t="s">
        <v>225</v>
      </c>
      <c r="O12" s="265"/>
      <c r="P12" s="276" t="s">
        <v>225</v>
      </c>
      <c r="Q12" s="266"/>
      <c r="R12" s="277" t="s">
        <v>225</v>
      </c>
    </row>
    <row r="13" spans="1:24" ht="24.75" customHeight="1" thickTop="1">
      <c r="A13" s="261"/>
      <c r="B13" s="236" t="s">
        <v>271</v>
      </c>
      <c r="C13" s="245"/>
      <c r="D13" s="270" t="s">
        <v>268</v>
      </c>
      <c r="E13" s="246"/>
      <c r="F13" s="271" t="s">
        <v>268</v>
      </c>
      <c r="G13" s="251"/>
      <c r="H13" s="272" t="s">
        <v>268</v>
      </c>
      <c r="I13" s="252"/>
      <c r="J13" s="273" t="s">
        <v>268</v>
      </c>
      <c r="K13" s="245"/>
      <c r="L13" s="270" t="s">
        <v>268</v>
      </c>
      <c r="M13" s="246"/>
      <c r="N13" s="271" t="s">
        <v>268</v>
      </c>
      <c r="O13" s="251"/>
      <c r="P13" s="272" t="s">
        <v>268</v>
      </c>
      <c r="Q13" s="252"/>
      <c r="R13" s="273" t="s">
        <v>268</v>
      </c>
      <c r="X13" s="239"/>
    </row>
    <row r="14" spans="1:24" ht="24.75" hidden="1" customHeight="1">
      <c r="A14" s="228" t="s">
        <v>233</v>
      </c>
      <c r="B14" s="254"/>
      <c r="C14" s="230">
        <f>Q9+7</f>
        <v>46224</v>
      </c>
      <c r="D14" s="242">
        <f>R9+7</f>
        <v>46226</v>
      </c>
      <c r="E14" s="242">
        <f>C14+7</f>
        <v>46231</v>
      </c>
      <c r="F14" s="230">
        <f>D14+7</f>
        <v>46233</v>
      </c>
      <c r="G14" s="230">
        <f t="shared" ref="G14:M14" si="2">E14+7</f>
        <v>46238</v>
      </c>
      <c r="H14" s="242">
        <f t="shared" si="2"/>
        <v>46240</v>
      </c>
      <c r="I14" s="242">
        <f t="shared" si="2"/>
        <v>46245</v>
      </c>
      <c r="J14" s="230">
        <f t="shared" si="2"/>
        <v>46247</v>
      </c>
      <c r="K14" s="230">
        <f t="shared" si="2"/>
        <v>46252</v>
      </c>
      <c r="L14" s="242">
        <f t="shared" si="2"/>
        <v>46254</v>
      </c>
      <c r="M14" s="242">
        <f t="shared" si="2"/>
        <v>46259</v>
      </c>
      <c r="N14" s="230">
        <f>L14+7</f>
        <v>46261</v>
      </c>
      <c r="O14" s="230">
        <f t="shared" ref="O14:Q14" si="3">M14+7</f>
        <v>46266</v>
      </c>
      <c r="P14" s="242">
        <f t="shared" si="3"/>
        <v>46268</v>
      </c>
      <c r="Q14" s="242">
        <f t="shared" si="3"/>
        <v>46273</v>
      </c>
    </row>
    <row r="15" spans="1:24" ht="24.75" hidden="1" customHeight="1">
      <c r="A15" s="228" t="s">
        <v>235</v>
      </c>
      <c r="B15" s="254"/>
      <c r="C15" s="233">
        <f>WEEKDAY(C14,1)</f>
        <v>3</v>
      </c>
      <c r="D15" s="243">
        <f>WEEKDAY(D14,1)</f>
        <v>5</v>
      </c>
      <c r="E15" s="243">
        <f>WEEKDAY(E14,1)</f>
        <v>3</v>
      </c>
      <c r="F15" s="233">
        <f t="shared" ref="F15:Q15" si="4">WEEKDAY(F14,1)</f>
        <v>5</v>
      </c>
      <c r="G15" s="233">
        <f t="shared" si="4"/>
        <v>3</v>
      </c>
      <c r="H15" s="243">
        <f t="shared" si="4"/>
        <v>5</v>
      </c>
      <c r="I15" s="243">
        <f t="shared" si="4"/>
        <v>3</v>
      </c>
      <c r="J15" s="233">
        <f t="shared" si="4"/>
        <v>5</v>
      </c>
      <c r="K15" s="233">
        <f t="shared" si="4"/>
        <v>3</v>
      </c>
      <c r="L15" s="243">
        <f t="shared" si="4"/>
        <v>5</v>
      </c>
      <c r="M15" s="243">
        <f t="shared" si="4"/>
        <v>3</v>
      </c>
      <c r="N15" s="233">
        <f t="shared" si="4"/>
        <v>5</v>
      </c>
      <c r="O15" s="233">
        <f t="shared" si="4"/>
        <v>3</v>
      </c>
      <c r="P15" s="243">
        <f t="shared" si="4"/>
        <v>5</v>
      </c>
      <c r="Q15" s="243">
        <f t="shared" si="4"/>
        <v>3</v>
      </c>
    </row>
    <row r="16" spans="1:24" ht="24.75" hidden="1" customHeight="1">
      <c r="A16" s="228" t="s">
        <v>237</v>
      </c>
      <c r="B16" s="254"/>
      <c r="C16" s="236" t="s">
        <v>248</v>
      </c>
      <c r="D16" s="244" t="s">
        <v>248</v>
      </c>
      <c r="E16" s="244" t="s">
        <v>248</v>
      </c>
      <c r="F16" s="236" t="s">
        <v>248</v>
      </c>
      <c r="G16" s="236" t="s">
        <v>248</v>
      </c>
      <c r="H16" s="244" t="s">
        <v>264</v>
      </c>
      <c r="I16" s="244" t="s">
        <v>264</v>
      </c>
      <c r="J16" s="236" t="s">
        <v>248</v>
      </c>
      <c r="K16" s="236" t="s">
        <v>248</v>
      </c>
      <c r="L16" s="244" t="s">
        <v>248</v>
      </c>
      <c r="M16" s="244" t="s">
        <v>248</v>
      </c>
      <c r="N16" s="236" t="s">
        <v>248</v>
      </c>
      <c r="O16" s="236" t="s">
        <v>248</v>
      </c>
      <c r="P16" s="244" t="s">
        <v>264</v>
      </c>
      <c r="Q16" s="244" t="s">
        <v>264</v>
      </c>
    </row>
    <row r="17" spans="1:24" ht="24.75" hidden="1" customHeight="1">
      <c r="A17" s="255" t="s">
        <v>250</v>
      </c>
      <c r="B17" s="256" t="s">
        <v>251</v>
      </c>
      <c r="C17" s="257"/>
      <c r="D17" s="258"/>
      <c r="E17" s="259"/>
      <c r="F17" s="258"/>
      <c r="G17" s="259"/>
      <c r="H17" s="258"/>
      <c r="I17" s="259"/>
      <c r="J17" s="257"/>
      <c r="K17" s="240"/>
      <c r="L17" s="258" t="s">
        <v>269</v>
      </c>
      <c r="M17" s="259" t="s">
        <v>269</v>
      </c>
      <c r="N17" s="257" t="s">
        <v>269</v>
      </c>
      <c r="O17" s="257" t="s">
        <v>269</v>
      </c>
      <c r="P17" s="258" t="s">
        <v>269</v>
      </c>
      <c r="Q17" s="259" t="s">
        <v>269</v>
      </c>
    </row>
    <row r="18" spans="1:24" ht="24.75" hidden="1" customHeight="1">
      <c r="A18" s="228"/>
      <c r="B18" s="256" t="s">
        <v>254</v>
      </c>
      <c r="C18" s="257"/>
      <c r="D18" s="244"/>
      <c r="E18" s="244"/>
      <c r="F18" s="244"/>
      <c r="G18" s="244"/>
      <c r="H18" s="244"/>
      <c r="I18" s="244"/>
      <c r="J18" s="257"/>
      <c r="K18" s="236"/>
      <c r="L18" s="244" t="s">
        <v>269</v>
      </c>
      <c r="M18" s="244" t="s">
        <v>269</v>
      </c>
      <c r="N18" s="257" t="s">
        <v>269</v>
      </c>
      <c r="O18" s="257" t="s">
        <v>269</v>
      </c>
      <c r="P18" s="244" t="s">
        <v>269</v>
      </c>
      <c r="Q18" s="244" t="s">
        <v>269</v>
      </c>
    </row>
    <row r="19" spans="1:24" ht="24" hidden="1" customHeight="1"/>
    <row r="20" spans="1:24" ht="24.75" customHeight="1">
      <c r="A20" s="260" t="s">
        <v>250</v>
      </c>
      <c r="B20" s="236" t="s">
        <v>251</v>
      </c>
      <c r="C20" s="245" t="s">
        <v>257</v>
      </c>
      <c r="D20" s="169"/>
      <c r="E20" s="246" t="s">
        <v>257</v>
      </c>
      <c r="F20" s="246"/>
      <c r="G20" s="247" t="s">
        <v>257</v>
      </c>
      <c r="H20" s="248"/>
      <c r="I20" s="182" t="s">
        <v>257</v>
      </c>
      <c r="J20" s="249"/>
      <c r="K20" s="245" t="s">
        <v>257</v>
      </c>
      <c r="L20" s="169"/>
      <c r="M20" s="246" t="s">
        <v>257</v>
      </c>
      <c r="N20" s="246"/>
      <c r="O20" s="247" t="s">
        <v>257</v>
      </c>
      <c r="P20" s="248"/>
      <c r="Q20" s="182" t="s">
        <v>257</v>
      </c>
      <c r="R20" s="249"/>
    </row>
    <row r="21" spans="1:24" ht="24.75" customHeight="1">
      <c r="A21" s="261"/>
      <c r="B21" s="236" t="s">
        <v>254</v>
      </c>
      <c r="C21" s="245" t="s">
        <v>255</v>
      </c>
      <c r="D21" s="250"/>
      <c r="E21" s="246" t="s">
        <v>255</v>
      </c>
      <c r="F21" s="246"/>
      <c r="G21" s="251" t="s">
        <v>255</v>
      </c>
      <c r="H21" s="251"/>
      <c r="I21" s="252" t="s">
        <v>255</v>
      </c>
      <c r="J21" s="249"/>
      <c r="K21" s="245" t="s">
        <v>255</v>
      </c>
      <c r="L21" s="253"/>
      <c r="M21" s="246" t="s">
        <v>255</v>
      </c>
      <c r="N21" s="246"/>
      <c r="O21" s="251" t="s">
        <v>255</v>
      </c>
      <c r="P21" s="251"/>
      <c r="Q21" s="252" t="s">
        <v>255</v>
      </c>
      <c r="R21" s="249"/>
      <c r="X21" s="239"/>
    </row>
    <row r="22" spans="1:24" ht="15.75" customHeight="1">
      <c r="J22" s="232"/>
    </row>
    <row r="23" spans="1:24" ht="18.75">
      <c r="J23" s="232"/>
    </row>
    <row r="24" spans="1:24" ht="18.75">
      <c r="J24" s="239"/>
    </row>
    <row r="25" spans="1:24" ht="18.75">
      <c r="J25" s="232"/>
    </row>
    <row r="37" ht="20.25" customHeight="1"/>
    <row r="38" ht="20.25" customHeight="1"/>
  </sheetData>
  <mergeCells count="13">
    <mergeCell ref="A20:A21"/>
    <mergeCell ref="A11:B11"/>
    <mergeCell ref="A12:A13"/>
    <mergeCell ref="A14:B14"/>
    <mergeCell ref="A15:B15"/>
    <mergeCell ref="A16:B16"/>
    <mergeCell ref="A17:A18"/>
    <mergeCell ref="A4:B4"/>
    <mergeCell ref="A5:B5"/>
    <mergeCell ref="A6:B6"/>
    <mergeCell ref="A7:B7"/>
    <mergeCell ref="A9:B9"/>
    <mergeCell ref="A10:B10"/>
  </mergeCells>
  <phoneticPr fontId="2" type="noConversion"/>
  <dataValidations count="1">
    <dataValidation type="list" allowBlank="1" showInputMessage="1" showErrorMessage="1" sqref="C17:Q18 C12:R13 C20:R21" xr:uid="{59DA075A-DF56-4325-9D06-410F5BA3666A}">
      <formula1>$X$4:$X$13</formula1>
    </dataValidation>
  </dataValidations>
  <printOptions horizontalCentered="1" verticalCentered="1"/>
  <pageMargins left="0" right="0" top="0" bottom="0" header="0" footer="0"/>
  <pageSetup paperSize="9" scale="55" orientation="landscape" r:id="rId1"/>
  <headerFooter>
    <oddHeader>&amp;C&amp;"Calibri"&amp;10&amp;K000000  AGC Group Internal Use Only 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F908-99D4-482C-882D-021F640162B5}">
  <sheetPr>
    <tabColor theme="4" tint="0.39997558519241921"/>
  </sheetPr>
  <dimension ref="A1:I99"/>
  <sheetViews>
    <sheetView view="pageBreakPreview" zoomScale="130" zoomScaleNormal="115" zoomScaleSheetLayoutView="130" workbookViewId="0">
      <selection activeCell="G14" sqref="G14"/>
    </sheetView>
  </sheetViews>
  <sheetFormatPr defaultColWidth="19.42578125" defaultRowHeight="15.75"/>
  <cols>
    <col min="1" max="1" width="1.5703125" style="217" customWidth="1"/>
    <col min="2" max="2" width="12.28515625" style="217" customWidth="1"/>
    <col min="3" max="3" width="14.28515625" style="217" customWidth="1"/>
    <col min="4" max="4" width="34.85546875" style="217" customWidth="1"/>
    <col min="5" max="5" width="17.5703125" style="217" customWidth="1"/>
    <col min="6" max="6" width="11.7109375" style="217" customWidth="1"/>
    <col min="7" max="7" width="9" style="217" customWidth="1"/>
    <col min="8" max="8" width="83.5703125" style="217" customWidth="1"/>
    <col min="9" max="9" width="1.42578125" style="217" customWidth="1"/>
    <col min="10" max="16384" width="19.42578125" style="217"/>
  </cols>
  <sheetData>
    <row r="1" spans="1:9" ht="7.5" customHeight="1">
      <c r="A1" s="278"/>
      <c r="B1" s="278"/>
      <c r="C1" s="278"/>
      <c r="D1" s="278"/>
      <c r="E1" s="278"/>
      <c r="F1" s="278"/>
      <c r="G1" s="278"/>
      <c r="H1" s="278"/>
      <c r="I1" s="278"/>
    </row>
    <row r="2" spans="1:9" ht="26.25" customHeight="1">
      <c r="A2" s="278"/>
      <c r="B2" s="279" t="s">
        <v>272</v>
      </c>
      <c r="C2" s="278"/>
      <c r="D2" s="278"/>
      <c r="E2" s="278"/>
      <c r="F2" s="278"/>
      <c r="G2" s="278"/>
      <c r="H2" s="278"/>
      <c r="I2" s="278"/>
    </row>
    <row r="3" spans="1:9" ht="37.5">
      <c r="A3" s="278"/>
      <c r="B3" s="280" t="s">
        <v>273</v>
      </c>
      <c r="C3" s="280" t="s">
        <v>102</v>
      </c>
      <c r="D3" s="280" t="s">
        <v>274</v>
      </c>
      <c r="E3" s="281" t="s">
        <v>275</v>
      </c>
      <c r="F3" s="281" t="s">
        <v>276</v>
      </c>
      <c r="G3" s="281" t="s">
        <v>277</v>
      </c>
      <c r="H3" s="280" t="s">
        <v>278</v>
      </c>
      <c r="I3" s="278"/>
    </row>
    <row r="4" spans="1:9" ht="50.25" customHeight="1">
      <c r="A4" s="278"/>
      <c r="B4" s="282" t="s">
        <v>279</v>
      </c>
      <c r="C4" s="283" t="s">
        <v>249</v>
      </c>
      <c r="D4" s="284" t="s">
        <v>280</v>
      </c>
      <c r="E4" s="284" t="s">
        <v>281</v>
      </c>
      <c r="F4" s="284" t="s">
        <v>282</v>
      </c>
      <c r="G4" s="284">
        <v>1</v>
      </c>
      <c r="H4" s="285" t="s">
        <v>283</v>
      </c>
      <c r="I4" s="278"/>
    </row>
    <row r="5" spans="1:9" ht="53.25" hidden="1" customHeight="1">
      <c r="A5" s="278"/>
      <c r="B5" s="286" t="s">
        <v>279</v>
      </c>
      <c r="C5" s="283"/>
      <c r="D5" s="287"/>
      <c r="E5" s="287"/>
      <c r="F5" s="287"/>
      <c r="G5" s="287"/>
      <c r="H5" s="288"/>
      <c r="I5" s="278"/>
    </row>
    <row r="6" spans="1:9" ht="53.25" hidden="1" customHeight="1">
      <c r="A6" s="278"/>
      <c r="B6" s="286" t="s">
        <v>279</v>
      </c>
      <c r="C6" s="283"/>
      <c r="D6" s="287"/>
      <c r="E6" s="287"/>
      <c r="F6" s="287"/>
      <c r="G6" s="287"/>
      <c r="H6" s="288"/>
      <c r="I6" s="278"/>
    </row>
    <row r="7" spans="1:9" ht="8.25" customHeight="1">
      <c r="A7" s="278"/>
      <c r="B7" s="278"/>
      <c r="C7" s="278"/>
      <c r="D7" s="278"/>
      <c r="E7" s="278"/>
      <c r="F7" s="278"/>
      <c r="G7" s="278"/>
      <c r="H7" s="278"/>
      <c r="I7" s="278"/>
    </row>
    <row r="8" spans="1:9">
      <c r="A8" s="278"/>
      <c r="B8" s="278" t="s">
        <v>284</v>
      </c>
      <c r="C8" s="278"/>
      <c r="D8" s="278"/>
      <c r="E8" s="278"/>
      <c r="F8" s="278"/>
      <c r="G8" s="278"/>
      <c r="H8" s="278"/>
      <c r="I8" s="278"/>
    </row>
    <row r="9" spans="1:9">
      <c r="A9" s="278"/>
      <c r="B9" s="278" t="s">
        <v>285</v>
      </c>
      <c r="C9" s="278"/>
      <c r="D9" s="278"/>
      <c r="E9" s="278"/>
      <c r="F9" s="278"/>
      <c r="G9" s="278"/>
      <c r="H9" s="278"/>
      <c r="I9" s="278"/>
    </row>
    <row r="10" spans="1:9">
      <c r="A10" s="278"/>
      <c r="B10" s="278"/>
      <c r="C10" s="278"/>
      <c r="D10" s="278"/>
      <c r="E10" s="278"/>
      <c r="F10" s="278"/>
      <c r="G10" s="278"/>
      <c r="H10" s="278"/>
      <c r="I10" s="278"/>
    </row>
    <row r="11" spans="1:9">
      <c r="A11" s="278"/>
      <c r="B11" s="278" t="s">
        <v>286</v>
      </c>
      <c r="C11" s="278"/>
      <c r="D11" s="278"/>
      <c r="E11" s="278"/>
      <c r="F11" s="278"/>
      <c r="G11" s="278"/>
      <c r="H11" s="278"/>
      <c r="I11" s="278"/>
    </row>
    <row r="12" spans="1:9">
      <c r="A12" s="278"/>
      <c r="B12" s="289" t="s">
        <v>287</v>
      </c>
      <c r="C12" s="290" t="s">
        <v>288</v>
      </c>
      <c r="D12" s="278"/>
      <c r="E12" s="278"/>
      <c r="F12" s="278"/>
      <c r="G12" s="278" t="s">
        <v>289</v>
      </c>
      <c r="H12" s="278"/>
      <c r="I12" s="278"/>
    </row>
    <row r="13" spans="1:9">
      <c r="A13" s="278"/>
      <c r="B13" s="289" t="s">
        <v>290</v>
      </c>
      <c r="C13" s="290" t="s">
        <v>291</v>
      </c>
      <c r="D13" s="278"/>
      <c r="E13" s="278"/>
      <c r="F13" s="278"/>
      <c r="G13" s="278" t="s">
        <v>292</v>
      </c>
      <c r="H13" s="278"/>
      <c r="I13" s="278"/>
    </row>
    <row r="14" spans="1:9">
      <c r="A14" s="278"/>
      <c r="B14" s="289" t="s">
        <v>293</v>
      </c>
      <c r="C14" s="290" t="s">
        <v>294</v>
      </c>
      <c r="D14" s="278"/>
      <c r="E14" s="278"/>
      <c r="F14" s="278"/>
      <c r="G14" s="278" t="s">
        <v>295</v>
      </c>
      <c r="H14" s="278"/>
      <c r="I14" s="278"/>
    </row>
    <row r="15" spans="1:9">
      <c r="A15" s="278"/>
      <c r="B15" s="278"/>
      <c r="C15" s="278"/>
      <c r="D15" s="278"/>
      <c r="E15" s="278"/>
      <c r="F15" s="278"/>
      <c r="G15" s="278"/>
      <c r="H15" s="278"/>
      <c r="I15" s="278"/>
    </row>
    <row r="16" spans="1:9">
      <c r="A16" s="278"/>
      <c r="B16" s="278" t="s">
        <v>296</v>
      </c>
      <c r="C16" s="278"/>
      <c r="D16" s="278"/>
      <c r="E16" s="278"/>
      <c r="F16" s="278"/>
      <c r="G16" s="278"/>
      <c r="H16" s="278"/>
      <c r="I16" s="278"/>
    </row>
    <row r="17" spans="1:9">
      <c r="A17" s="278"/>
      <c r="B17" s="289" t="s">
        <v>297</v>
      </c>
      <c r="C17" s="290" t="s">
        <v>298</v>
      </c>
      <c r="D17" s="278"/>
      <c r="E17" s="278" t="s">
        <v>299</v>
      </c>
      <c r="F17" s="278"/>
      <c r="G17" s="278"/>
      <c r="H17" s="278"/>
      <c r="I17" s="278"/>
    </row>
    <row r="18" spans="1:9" ht="12" customHeight="1">
      <c r="A18" s="278"/>
      <c r="B18" s="278"/>
      <c r="C18" s="278"/>
      <c r="D18" s="278"/>
      <c r="E18" s="278"/>
      <c r="F18" s="278"/>
      <c r="G18" s="278"/>
      <c r="H18" s="278"/>
      <c r="I18" s="278"/>
    </row>
    <row r="19" spans="1:9" ht="11.25" customHeight="1">
      <c r="A19" s="291"/>
      <c r="B19" s="291"/>
      <c r="C19" s="291"/>
      <c r="D19" s="291"/>
      <c r="E19" s="291"/>
      <c r="F19" s="291"/>
      <c r="G19" s="291"/>
      <c r="H19" s="291"/>
      <c r="I19" s="291"/>
    </row>
    <row r="20" spans="1:9" ht="11.25" customHeight="1">
      <c r="A20" s="278"/>
      <c r="B20" s="278"/>
      <c r="C20" s="278"/>
      <c r="D20" s="278"/>
      <c r="E20" s="278"/>
      <c r="F20" s="278"/>
      <c r="G20" s="278"/>
      <c r="H20" s="278"/>
      <c r="I20" s="278"/>
    </row>
    <row r="21" spans="1:9">
      <c r="A21" s="278"/>
      <c r="B21" s="278" t="s">
        <v>300</v>
      </c>
      <c r="C21" s="278"/>
      <c r="D21" s="278"/>
      <c r="E21" s="278"/>
      <c r="F21" s="278"/>
      <c r="G21" s="278"/>
      <c r="H21" s="278"/>
      <c r="I21" s="278"/>
    </row>
    <row r="22" spans="1:9" ht="11.25" customHeight="1">
      <c r="A22" s="278"/>
      <c r="B22" s="278"/>
      <c r="C22" s="278"/>
      <c r="D22" s="278"/>
      <c r="E22" s="278"/>
      <c r="F22" s="278"/>
      <c r="G22" s="278"/>
      <c r="H22" s="278"/>
      <c r="I22" s="278"/>
    </row>
    <row r="23" spans="1:9">
      <c r="A23" s="278"/>
      <c r="B23" s="292" t="s">
        <v>301</v>
      </c>
      <c r="C23" s="278"/>
      <c r="D23" s="278"/>
      <c r="E23" s="278"/>
      <c r="F23" s="278"/>
      <c r="G23" s="278"/>
      <c r="H23" s="278"/>
      <c r="I23" s="278"/>
    </row>
    <row r="24" spans="1:9">
      <c r="A24" s="278"/>
      <c r="B24" s="289" t="s">
        <v>302</v>
      </c>
      <c r="C24" s="278" t="s">
        <v>303</v>
      </c>
      <c r="D24" s="278"/>
      <c r="E24" s="278"/>
      <c r="F24" s="278"/>
      <c r="G24" s="278"/>
      <c r="H24" s="278"/>
      <c r="I24" s="278"/>
    </row>
    <row r="25" spans="1:9">
      <c r="A25" s="278"/>
      <c r="B25" s="289"/>
      <c r="C25" s="278"/>
      <c r="D25" s="278"/>
      <c r="E25" s="278"/>
      <c r="F25" s="278"/>
      <c r="G25" s="278"/>
      <c r="H25" s="278"/>
      <c r="I25" s="278"/>
    </row>
    <row r="26" spans="1:9">
      <c r="A26" s="278"/>
      <c r="B26" s="289" t="s">
        <v>304</v>
      </c>
      <c r="C26" s="278" t="s">
        <v>305</v>
      </c>
      <c r="D26" s="278"/>
      <c r="E26" s="278"/>
      <c r="F26" s="278"/>
      <c r="G26" s="278"/>
      <c r="H26" s="278"/>
      <c r="I26" s="278"/>
    </row>
    <row r="27" spans="1:9">
      <c r="A27" s="278"/>
      <c r="B27" s="289"/>
      <c r="C27" s="278"/>
      <c r="D27" s="278"/>
      <c r="E27" s="278"/>
      <c r="F27" s="278"/>
      <c r="G27" s="278"/>
      <c r="H27" s="278"/>
      <c r="I27" s="278"/>
    </row>
    <row r="28" spans="1:9">
      <c r="A28" s="278"/>
      <c r="B28" s="289" t="s">
        <v>306</v>
      </c>
      <c r="C28" s="278" t="s">
        <v>307</v>
      </c>
      <c r="D28" s="278"/>
      <c r="E28" s="278"/>
      <c r="F28" s="278"/>
      <c r="G28" s="278"/>
      <c r="H28" s="278"/>
      <c r="I28" s="278"/>
    </row>
    <row r="29" spans="1:9">
      <c r="A29" s="278"/>
      <c r="B29" s="289"/>
      <c r="C29" s="278"/>
      <c r="D29" s="278"/>
      <c r="E29" s="278"/>
      <c r="F29" s="278"/>
      <c r="G29" s="278"/>
      <c r="H29" s="278"/>
      <c r="I29" s="278"/>
    </row>
    <row r="30" spans="1:9">
      <c r="A30" s="278"/>
      <c r="B30" s="289" t="s">
        <v>308</v>
      </c>
      <c r="C30" s="278" t="s">
        <v>309</v>
      </c>
      <c r="D30" s="278"/>
      <c r="E30" s="278"/>
      <c r="F30" s="278"/>
      <c r="G30" s="278"/>
      <c r="H30" s="278"/>
      <c r="I30" s="278"/>
    </row>
    <row r="31" spans="1:9">
      <c r="A31" s="278"/>
      <c r="B31" s="289"/>
      <c r="C31" s="278"/>
      <c r="D31" s="278"/>
      <c r="E31" s="278"/>
      <c r="F31" s="278"/>
      <c r="G31" s="278"/>
      <c r="H31" s="278"/>
      <c r="I31" s="278"/>
    </row>
    <row r="32" spans="1:9">
      <c r="A32" s="278"/>
      <c r="B32" s="289" t="s">
        <v>310</v>
      </c>
      <c r="C32" s="278" t="s">
        <v>311</v>
      </c>
      <c r="D32" s="278"/>
      <c r="E32" s="278"/>
      <c r="F32" s="278"/>
      <c r="G32" s="278"/>
      <c r="H32" s="278"/>
      <c r="I32" s="278"/>
    </row>
    <row r="33" spans="1:9">
      <c r="A33" s="278"/>
      <c r="B33" s="289"/>
      <c r="C33" s="278"/>
      <c r="D33" s="278"/>
      <c r="E33" s="278"/>
      <c r="F33" s="278"/>
      <c r="G33" s="278"/>
      <c r="H33" s="278"/>
      <c r="I33" s="278"/>
    </row>
    <row r="34" spans="1:9">
      <c r="A34" s="278"/>
      <c r="B34" s="289" t="s">
        <v>312</v>
      </c>
      <c r="C34" s="278" t="s">
        <v>313</v>
      </c>
      <c r="D34" s="278"/>
      <c r="E34" s="278"/>
      <c r="F34" s="278"/>
      <c r="G34" s="278"/>
      <c r="H34" s="278"/>
      <c r="I34" s="278"/>
    </row>
    <row r="35" spans="1:9">
      <c r="A35" s="278"/>
      <c r="B35" s="289"/>
      <c r="C35" s="278" t="s">
        <v>314</v>
      </c>
      <c r="D35" s="278"/>
      <c r="E35" s="278"/>
      <c r="F35" s="278"/>
      <c r="G35" s="278"/>
      <c r="H35" s="278"/>
      <c r="I35" s="278"/>
    </row>
    <row r="36" spans="1:9">
      <c r="A36" s="278"/>
      <c r="B36" s="289"/>
      <c r="C36" s="278"/>
      <c r="D36" s="278"/>
      <c r="E36" s="278"/>
      <c r="F36" s="278"/>
      <c r="G36" s="278"/>
      <c r="H36" s="278"/>
      <c r="I36" s="278"/>
    </row>
    <row r="37" spans="1:9">
      <c r="A37" s="278"/>
      <c r="B37" s="289" t="s">
        <v>315</v>
      </c>
      <c r="C37" s="278" t="s">
        <v>316</v>
      </c>
      <c r="D37" s="278"/>
      <c r="E37" s="278"/>
      <c r="F37" s="278"/>
      <c r="G37" s="278"/>
      <c r="H37" s="278"/>
      <c r="I37" s="278"/>
    </row>
    <row r="38" spans="1:9">
      <c r="A38" s="278"/>
      <c r="B38" s="289"/>
      <c r="C38" s="278"/>
      <c r="D38" s="278"/>
      <c r="E38" s="278"/>
      <c r="F38" s="278"/>
      <c r="G38" s="278"/>
      <c r="H38" s="278"/>
      <c r="I38" s="278"/>
    </row>
    <row r="39" spans="1:9">
      <c r="A39" s="278"/>
      <c r="B39" s="289" t="s">
        <v>317</v>
      </c>
      <c r="C39" s="278" t="s">
        <v>318</v>
      </c>
      <c r="D39" s="278"/>
      <c r="E39" s="278"/>
      <c r="F39" s="278"/>
      <c r="G39" s="278"/>
      <c r="H39" s="278"/>
      <c r="I39" s="278"/>
    </row>
    <row r="40" spans="1:9">
      <c r="A40" s="278"/>
      <c r="B40" s="289"/>
      <c r="C40" s="278"/>
      <c r="D40" s="278"/>
      <c r="E40" s="278"/>
      <c r="F40" s="278"/>
      <c r="G40" s="278"/>
      <c r="H40" s="278"/>
      <c r="I40" s="278"/>
    </row>
    <row r="41" spans="1:9">
      <c r="A41" s="278"/>
      <c r="B41" s="289" t="s">
        <v>319</v>
      </c>
      <c r="C41" s="278" t="s">
        <v>320</v>
      </c>
      <c r="D41" s="278"/>
      <c r="E41" s="278"/>
      <c r="F41" s="278"/>
      <c r="G41" s="278"/>
      <c r="H41" s="278"/>
      <c r="I41" s="278"/>
    </row>
    <row r="42" spans="1:9">
      <c r="A42" s="278"/>
      <c r="B42" s="289"/>
      <c r="C42" s="278"/>
      <c r="D42" s="278"/>
      <c r="E42" s="278"/>
      <c r="F42" s="278"/>
      <c r="G42" s="278"/>
      <c r="H42" s="278"/>
      <c r="I42" s="278"/>
    </row>
    <row r="43" spans="1:9" ht="11.25" customHeight="1">
      <c r="A43" s="291"/>
      <c r="B43" s="293"/>
      <c r="C43" s="291"/>
      <c r="D43" s="291"/>
      <c r="E43" s="291"/>
      <c r="F43" s="291"/>
      <c r="G43" s="291"/>
      <c r="H43" s="291"/>
      <c r="I43" s="291"/>
    </row>
    <row r="44" spans="1:9">
      <c r="A44" s="278"/>
      <c r="B44" s="289"/>
      <c r="C44" s="278"/>
      <c r="D44" s="278"/>
      <c r="E44" s="278"/>
      <c r="F44" s="278"/>
      <c r="G44" s="278"/>
      <c r="H44" s="278"/>
      <c r="I44" s="278"/>
    </row>
    <row r="45" spans="1:9">
      <c r="A45" s="278"/>
      <c r="B45" s="292" t="s">
        <v>321</v>
      </c>
      <c r="C45" s="278"/>
      <c r="D45" s="278"/>
      <c r="E45" s="278"/>
      <c r="F45" s="278"/>
      <c r="G45" s="278"/>
      <c r="H45" s="278"/>
      <c r="I45" s="278"/>
    </row>
    <row r="46" spans="1:9">
      <c r="A46" s="278"/>
      <c r="B46" s="289" t="s">
        <v>302</v>
      </c>
      <c r="C46" s="278" t="s">
        <v>322</v>
      </c>
      <c r="D46" s="278"/>
      <c r="E46" s="278"/>
      <c r="F46" s="278"/>
      <c r="G46" s="278"/>
      <c r="H46" s="278"/>
      <c r="I46" s="278"/>
    </row>
    <row r="47" spans="1:9">
      <c r="A47" s="278"/>
      <c r="B47" s="289"/>
      <c r="C47" s="278"/>
      <c r="D47" s="278"/>
      <c r="E47" s="278"/>
      <c r="F47" s="278"/>
      <c r="G47" s="278"/>
      <c r="H47" s="278"/>
      <c r="I47" s="278"/>
    </row>
    <row r="48" spans="1:9">
      <c r="A48" s="278"/>
      <c r="B48" s="289" t="s">
        <v>304</v>
      </c>
      <c r="C48" s="278" t="s">
        <v>323</v>
      </c>
      <c r="D48" s="278"/>
      <c r="E48" s="278"/>
      <c r="F48" s="278"/>
      <c r="G48" s="278"/>
      <c r="H48" s="278"/>
      <c r="I48" s="278"/>
    </row>
    <row r="49" spans="1:9">
      <c r="A49" s="278"/>
      <c r="B49" s="289"/>
      <c r="C49" s="278"/>
      <c r="D49" s="278"/>
      <c r="E49" s="278"/>
      <c r="F49" s="278"/>
      <c r="G49" s="278"/>
      <c r="H49" s="278"/>
      <c r="I49" s="278"/>
    </row>
    <row r="50" spans="1:9">
      <c r="A50" s="278"/>
      <c r="B50" s="289" t="s">
        <v>306</v>
      </c>
      <c r="C50" s="278" t="s">
        <v>324</v>
      </c>
      <c r="D50" s="278"/>
      <c r="E50" s="278"/>
      <c r="F50" s="278"/>
      <c r="G50" s="278"/>
      <c r="H50" s="278"/>
      <c r="I50" s="278"/>
    </row>
    <row r="51" spans="1:9">
      <c r="A51" s="278"/>
      <c r="B51" s="289"/>
      <c r="C51" s="278"/>
      <c r="D51" s="278"/>
      <c r="E51" s="278"/>
      <c r="F51" s="278"/>
      <c r="G51" s="278"/>
      <c r="H51" s="278"/>
      <c r="I51" s="278"/>
    </row>
    <row r="52" spans="1:9">
      <c r="A52" s="278"/>
      <c r="B52" s="289" t="s">
        <v>308</v>
      </c>
      <c r="C52" s="278" t="s">
        <v>325</v>
      </c>
      <c r="D52" s="278"/>
      <c r="E52" s="278"/>
      <c r="F52" s="278"/>
      <c r="G52" s="278"/>
      <c r="H52" s="278"/>
      <c r="I52" s="278"/>
    </row>
    <row r="53" spans="1:9">
      <c r="A53" s="278"/>
      <c r="B53" s="289"/>
      <c r="C53" s="278"/>
      <c r="D53" s="278"/>
      <c r="E53" s="278"/>
      <c r="F53" s="278"/>
      <c r="G53" s="278"/>
      <c r="H53" s="278"/>
      <c r="I53" s="278"/>
    </row>
    <row r="54" spans="1:9">
      <c r="A54" s="278"/>
      <c r="B54" s="289" t="s">
        <v>310</v>
      </c>
      <c r="C54" s="278" t="s">
        <v>326</v>
      </c>
      <c r="D54" s="278"/>
      <c r="E54" s="278"/>
      <c r="F54" s="278"/>
      <c r="G54" s="278"/>
      <c r="H54" s="278"/>
      <c r="I54" s="278"/>
    </row>
    <row r="55" spans="1:9">
      <c r="A55" s="278"/>
      <c r="B55" s="289"/>
      <c r="C55" s="278"/>
      <c r="D55" s="278"/>
      <c r="E55" s="278"/>
      <c r="F55" s="278"/>
      <c r="G55" s="278"/>
      <c r="H55" s="278"/>
      <c r="I55" s="278"/>
    </row>
    <row r="56" spans="1:9">
      <c r="A56" s="278"/>
      <c r="B56" s="289" t="s">
        <v>312</v>
      </c>
      <c r="C56" s="278" t="s">
        <v>327</v>
      </c>
      <c r="D56" s="278"/>
      <c r="E56" s="278"/>
      <c r="F56" s="278"/>
      <c r="G56" s="278"/>
      <c r="H56" s="278"/>
      <c r="I56" s="278"/>
    </row>
    <row r="57" spans="1:9">
      <c r="A57" s="278"/>
      <c r="B57" s="289"/>
      <c r="C57" s="278"/>
      <c r="D57" s="278"/>
      <c r="E57" s="278"/>
      <c r="F57" s="278"/>
      <c r="G57" s="278"/>
      <c r="H57" s="278"/>
      <c r="I57" s="278"/>
    </row>
    <row r="58" spans="1:9">
      <c r="A58" s="278"/>
      <c r="B58" s="289" t="s">
        <v>315</v>
      </c>
      <c r="C58" s="278" t="s">
        <v>328</v>
      </c>
      <c r="D58" s="278"/>
      <c r="E58" s="278"/>
      <c r="F58" s="278"/>
      <c r="G58" s="278"/>
      <c r="H58" s="278"/>
      <c r="I58" s="278"/>
    </row>
    <row r="59" spans="1:9">
      <c r="A59" s="278"/>
      <c r="B59" s="289"/>
      <c r="C59" s="278"/>
      <c r="D59" s="278"/>
      <c r="E59" s="278"/>
      <c r="F59" s="278"/>
      <c r="G59" s="278"/>
      <c r="H59" s="278"/>
      <c r="I59" s="278"/>
    </row>
    <row r="60" spans="1:9" ht="11.25" customHeight="1">
      <c r="A60" s="291"/>
      <c r="B60" s="293"/>
      <c r="C60" s="291"/>
      <c r="D60" s="291"/>
      <c r="E60" s="291"/>
      <c r="F60" s="291"/>
      <c r="G60" s="291"/>
      <c r="H60" s="291"/>
      <c r="I60" s="291"/>
    </row>
    <row r="61" spans="1:9">
      <c r="A61" s="278"/>
      <c r="B61" s="289"/>
      <c r="C61" s="278"/>
      <c r="D61" s="278"/>
      <c r="E61" s="278"/>
      <c r="F61" s="278"/>
      <c r="G61" s="278"/>
      <c r="H61" s="278"/>
      <c r="I61" s="278"/>
    </row>
    <row r="62" spans="1:9">
      <c r="A62" s="278"/>
      <c r="B62" s="292" t="s">
        <v>329</v>
      </c>
      <c r="C62" s="278"/>
      <c r="D62" s="278"/>
      <c r="E62" s="278"/>
      <c r="F62" s="278"/>
      <c r="G62" s="278"/>
      <c r="H62" s="278"/>
      <c r="I62" s="278"/>
    </row>
    <row r="63" spans="1:9">
      <c r="A63" s="278"/>
      <c r="B63" s="289" t="s">
        <v>302</v>
      </c>
      <c r="C63" s="278" t="s">
        <v>330</v>
      </c>
      <c r="D63" s="278"/>
      <c r="E63" s="278"/>
      <c r="F63" s="278"/>
      <c r="G63" s="278"/>
      <c r="H63" s="278"/>
      <c r="I63" s="278"/>
    </row>
    <row r="64" spans="1:9">
      <c r="A64" s="278"/>
      <c r="B64" s="289"/>
      <c r="C64" s="278"/>
      <c r="D64" s="278"/>
      <c r="E64" s="278"/>
      <c r="F64" s="278"/>
      <c r="G64" s="278"/>
      <c r="H64" s="278"/>
      <c r="I64" s="278"/>
    </row>
    <row r="65" spans="1:9">
      <c r="A65" s="278"/>
      <c r="B65" s="289" t="s">
        <v>304</v>
      </c>
      <c r="C65" s="278" t="s">
        <v>331</v>
      </c>
      <c r="D65" s="278"/>
      <c r="E65" s="278"/>
      <c r="F65" s="278"/>
      <c r="G65" s="278"/>
      <c r="H65" s="278"/>
      <c r="I65" s="278"/>
    </row>
    <row r="66" spans="1:9">
      <c r="A66" s="278"/>
      <c r="B66" s="289"/>
      <c r="C66" s="278" t="s">
        <v>332</v>
      </c>
      <c r="D66" s="278"/>
      <c r="E66" s="278"/>
      <c r="F66" s="278"/>
      <c r="G66" s="278"/>
      <c r="H66" s="278"/>
      <c r="I66" s="278"/>
    </row>
    <row r="67" spans="1:9">
      <c r="A67" s="278"/>
      <c r="B67" s="289"/>
      <c r="C67" s="278"/>
      <c r="D67" s="278"/>
      <c r="E67" s="278"/>
      <c r="F67" s="278"/>
      <c r="G67" s="278"/>
      <c r="H67" s="278"/>
      <c r="I67" s="278"/>
    </row>
    <row r="68" spans="1:9">
      <c r="A68" s="278"/>
      <c r="B68" s="289" t="s">
        <v>306</v>
      </c>
      <c r="C68" s="278" t="s">
        <v>333</v>
      </c>
      <c r="D68" s="278"/>
      <c r="E68" s="278"/>
      <c r="F68" s="278"/>
      <c r="G68" s="278"/>
      <c r="H68" s="278"/>
      <c r="I68" s="278"/>
    </row>
    <row r="69" spans="1:9">
      <c r="A69" s="278"/>
      <c r="B69" s="289"/>
      <c r="C69" s="278" t="s">
        <v>334</v>
      </c>
      <c r="D69" s="278"/>
      <c r="E69" s="278"/>
      <c r="F69" s="278"/>
      <c r="G69" s="278"/>
      <c r="H69" s="278"/>
      <c r="I69" s="278"/>
    </row>
    <row r="70" spans="1:9">
      <c r="A70" s="278"/>
      <c r="B70" s="289"/>
      <c r="C70" s="278" t="s">
        <v>335</v>
      </c>
      <c r="D70" s="278"/>
      <c r="E70" s="278"/>
      <c r="F70" s="278"/>
      <c r="G70" s="278"/>
      <c r="H70" s="278"/>
      <c r="I70" s="278"/>
    </row>
    <row r="71" spans="1:9">
      <c r="A71" s="278"/>
      <c r="B71" s="289"/>
      <c r="C71" s="278" t="s">
        <v>336</v>
      </c>
      <c r="D71" s="278"/>
      <c r="E71" s="278"/>
      <c r="F71" s="278"/>
      <c r="G71" s="278"/>
      <c r="H71" s="278"/>
      <c r="I71" s="278"/>
    </row>
    <row r="72" spans="1:9">
      <c r="A72" s="278"/>
      <c r="B72" s="289"/>
      <c r="C72" s="278"/>
      <c r="D72" s="278"/>
      <c r="E72" s="278"/>
      <c r="F72" s="278"/>
      <c r="G72" s="278"/>
      <c r="H72" s="278"/>
      <c r="I72" s="278"/>
    </row>
    <row r="73" spans="1:9">
      <c r="A73" s="278"/>
      <c r="B73" s="289"/>
      <c r="C73" s="278"/>
      <c r="D73" s="278"/>
      <c r="E73" s="278"/>
      <c r="F73" s="278"/>
      <c r="G73" s="278"/>
      <c r="H73" s="278"/>
      <c r="I73" s="278"/>
    </row>
    <row r="74" spans="1:9">
      <c r="A74" s="278"/>
      <c r="B74" s="289"/>
      <c r="C74" s="278"/>
      <c r="D74" s="278"/>
      <c r="E74" s="278"/>
      <c r="F74" s="278"/>
      <c r="G74" s="278"/>
      <c r="H74" s="278"/>
      <c r="I74" s="278"/>
    </row>
    <row r="75" spans="1:9">
      <c r="A75" s="278"/>
      <c r="B75" s="289"/>
      <c r="C75" s="278"/>
      <c r="D75" s="278"/>
      <c r="E75" s="278"/>
      <c r="F75" s="278"/>
      <c r="G75" s="278"/>
      <c r="H75" s="278"/>
      <c r="I75" s="278"/>
    </row>
    <row r="76" spans="1:9">
      <c r="A76" s="278"/>
      <c r="B76" s="289"/>
      <c r="C76" s="278"/>
      <c r="D76" s="278"/>
      <c r="E76" s="278"/>
      <c r="F76" s="278"/>
      <c r="G76" s="278"/>
      <c r="H76" s="278"/>
      <c r="I76" s="278"/>
    </row>
    <row r="77" spans="1:9">
      <c r="A77" s="278"/>
      <c r="B77" s="289"/>
      <c r="C77" s="278"/>
      <c r="D77" s="278"/>
      <c r="E77" s="278"/>
      <c r="F77" s="278"/>
      <c r="G77" s="278"/>
      <c r="H77" s="278"/>
      <c r="I77" s="278"/>
    </row>
    <row r="78" spans="1:9">
      <c r="A78" s="278"/>
      <c r="B78" s="289"/>
      <c r="C78" s="278"/>
      <c r="D78" s="278"/>
      <c r="E78" s="278"/>
      <c r="F78" s="278"/>
      <c r="G78" s="278"/>
      <c r="H78" s="278"/>
      <c r="I78" s="278"/>
    </row>
    <row r="79" spans="1:9">
      <c r="A79" s="278"/>
      <c r="B79" s="289"/>
      <c r="C79" s="278"/>
      <c r="D79" s="278"/>
      <c r="E79" s="278"/>
      <c r="F79" s="278"/>
      <c r="G79" s="278"/>
      <c r="H79" s="278"/>
      <c r="I79" s="278"/>
    </row>
    <row r="80" spans="1:9">
      <c r="A80" s="278"/>
      <c r="B80" s="289"/>
      <c r="C80" s="278"/>
      <c r="D80" s="278"/>
      <c r="E80" s="278"/>
      <c r="F80" s="278"/>
      <c r="G80" s="278"/>
      <c r="H80" s="278"/>
      <c r="I80" s="278"/>
    </row>
    <row r="81" spans="1:9">
      <c r="A81" s="278"/>
      <c r="B81" s="289"/>
      <c r="C81" s="278"/>
      <c r="D81" s="278"/>
      <c r="E81" s="278"/>
      <c r="F81" s="278"/>
      <c r="G81" s="278"/>
      <c r="H81" s="278"/>
      <c r="I81" s="278"/>
    </row>
    <row r="82" spans="1:9">
      <c r="A82" s="278"/>
      <c r="B82" s="289"/>
      <c r="C82" s="278"/>
      <c r="D82" s="278"/>
      <c r="E82" s="278"/>
      <c r="F82" s="278"/>
      <c r="G82" s="278"/>
      <c r="H82" s="278"/>
      <c r="I82" s="278"/>
    </row>
    <row r="83" spans="1:9">
      <c r="A83" s="278"/>
      <c r="B83" s="289"/>
      <c r="C83" s="278"/>
      <c r="D83" s="278"/>
      <c r="E83" s="278"/>
      <c r="F83" s="278"/>
      <c r="G83" s="278"/>
      <c r="H83" s="278"/>
      <c r="I83" s="278"/>
    </row>
    <row r="84" spans="1:9">
      <c r="A84" s="278"/>
      <c r="B84" s="289"/>
      <c r="C84" s="278"/>
      <c r="D84" s="278"/>
      <c r="E84" s="278"/>
      <c r="F84" s="278"/>
      <c r="G84" s="278"/>
      <c r="H84" s="278"/>
      <c r="I84" s="278"/>
    </row>
    <row r="85" spans="1:9">
      <c r="A85" s="278"/>
      <c r="B85" s="289"/>
      <c r="C85" s="278"/>
      <c r="D85" s="278"/>
      <c r="E85" s="278"/>
      <c r="F85" s="278"/>
      <c r="G85" s="278"/>
      <c r="H85" s="278"/>
      <c r="I85" s="278"/>
    </row>
    <row r="86" spans="1:9">
      <c r="A86" s="278"/>
      <c r="B86" s="289"/>
      <c r="C86" s="278"/>
      <c r="D86" s="278"/>
      <c r="E86" s="278"/>
      <c r="F86" s="278"/>
      <c r="G86" s="278"/>
      <c r="H86" s="278"/>
      <c r="I86" s="278"/>
    </row>
    <row r="87" spans="1:9">
      <c r="A87" s="278"/>
      <c r="B87" s="289"/>
      <c r="C87" s="278"/>
      <c r="D87" s="278"/>
      <c r="E87" s="278"/>
      <c r="F87" s="278"/>
      <c r="G87" s="278"/>
      <c r="H87" s="278"/>
      <c r="I87" s="278"/>
    </row>
    <row r="88" spans="1:9">
      <c r="A88" s="278"/>
      <c r="B88" s="289"/>
      <c r="C88" s="278"/>
      <c r="D88" s="278"/>
      <c r="E88" s="278"/>
      <c r="F88" s="278"/>
      <c r="G88" s="278"/>
      <c r="H88" s="278"/>
      <c r="I88" s="278"/>
    </row>
    <row r="89" spans="1:9">
      <c r="A89" s="278"/>
      <c r="B89" s="289"/>
      <c r="C89" s="278"/>
      <c r="D89" s="278"/>
      <c r="E89" s="278"/>
      <c r="F89" s="278"/>
      <c r="G89" s="278"/>
      <c r="H89" s="278"/>
      <c r="I89" s="278"/>
    </row>
    <row r="90" spans="1:9">
      <c r="A90" s="278"/>
      <c r="B90" s="289"/>
      <c r="C90" s="278"/>
      <c r="D90" s="278"/>
      <c r="E90" s="278"/>
      <c r="F90" s="278"/>
      <c r="G90" s="278"/>
      <c r="H90" s="278"/>
      <c r="I90" s="278"/>
    </row>
    <row r="91" spans="1:9">
      <c r="A91" s="278"/>
      <c r="B91" s="289"/>
      <c r="C91" s="278"/>
      <c r="D91" s="278"/>
      <c r="E91" s="278"/>
      <c r="F91" s="278"/>
      <c r="G91" s="278"/>
      <c r="H91" s="278"/>
      <c r="I91" s="278"/>
    </row>
    <row r="92" spans="1:9">
      <c r="A92" s="278"/>
      <c r="B92" s="289"/>
      <c r="C92" s="278"/>
      <c r="D92" s="278"/>
      <c r="E92" s="278"/>
      <c r="F92" s="278"/>
      <c r="G92" s="278"/>
      <c r="H92" s="278"/>
      <c r="I92" s="278"/>
    </row>
    <row r="93" spans="1:9">
      <c r="A93" s="278"/>
      <c r="B93" s="289"/>
      <c r="C93" s="278"/>
      <c r="D93" s="278"/>
      <c r="E93" s="278"/>
      <c r="F93" s="278"/>
      <c r="G93" s="278"/>
      <c r="H93" s="278"/>
      <c r="I93" s="278"/>
    </row>
    <row r="94" spans="1:9">
      <c r="A94" s="278"/>
      <c r="B94" s="289"/>
      <c r="C94" s="278"/>
      <c r="D94" s="278"/>
      <c r="E94" s="278"/>
      <c r="F94" s="278"/>
      <c r="G94" s="278"/>
      <c r="H94" s="278"/>
      <c r="I94" s="278"/>
    </row>
    <row r="95" spans="1:9">
      <c r="A95" s="278"/>
      <c r="B95" s="289"/>
      <c r="C95" s="278"/>
      <c r="D95" s="278"/>
      <c r="E95" s="278"/>
      <c r="F95" s="278"/>
      <c r="G95" s="278"/>
      <c r="H95" s="278"/>
      <c r="I95" s="278"/>
    </row>
    <row r="96" spans="1:9">
      <c r="A96" s="278"/>
      <c r="B96" s="289"/>
      <c r="C96" s="278"/>
      <c r="D96" s="278"/>
      <c r="E96" s="278"/>
      <c r="F96" s="278"/>
      <c r="G96" s="278"/>
      <c r="H96" s="278"/>
      <c r="I96" s="278"/>
    </row>
    <row r="97" spans="1:9">
      <c r="A97" s="278"/>
      <c r="B97" s="289"/>
      <c r="C97" s="278"/>
      <c r="D97" s="278"/>
      <c r="E97" s="278"/>
      <c r="F97" s="278"/>
      <c r="G97" s="278"/>
      <c r="H97" s="278"/>
      <c r="I97" s="278"/>
    </row>
    <row r="98" spans="1:9">
      <c r="A98" s="278"/>
      <c r="B98" s="289"/>
      <c r="C98" s="278"/>
      <c r="D98" s="278"/>
      <c r="E98" s="278"/>
      <c r="F98" s="278"/>
      <c r="G98" s="278"/>
      <c r="H98" s="278"/>
      <c r="I98" s="278"/>
    </row>
    <row r="99" spans="1:9">
      <c r="A99" s="278"/>
      <c r="B99" s="289"/>
      <c r="C99" s="278"/>
      <c r="D99" s="278"/>
      <c r="E99" s="278"/>
      <c r="F99" s="278"/>
      <c r="G99" s="278"/>
      <c r="H99" s="278"/>
      <c r="I99" s="278"/>
    </row>
  </sheetData>
  <phoneticPr fontId="2" type="noConversion"/>
  <hyperlinks>
    <hyperlink ref="C13" r:id="rId1" xr:uid="{3748ABF5-6C89-4738-9AAD-1FD7708F8FA4}"/>
    <hyperlink ref="C14" r:id="rId2" xr:uid="{2AB1A3AB-CD15-48EA-A788-B61D7F16C241}"/>
    <hyperlink ref="C17" r:id="rId3" xr:uid="{A1B8FC44-9D1F-4E42-BBE1-7757A22F4AF6}"/>
  </hyperlinks>
  <pageMargins left="0.7" right="0.7" top="0.75" bottom="0.75" header="0.3" footer="0.3"/>
  <pageSetup paperSize="9" scale="39" orientation="portrait" r:id="rId4"/>
  <headerFooter>
    <oddHeader>&amp;C&amp;"Calibri"&amp;10&amp;K000000  AGC Group Internal Use Only 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5A93-5AC1-4429-9851-EDCE5C9DDB7F}">
  <sheetPr>
    <tabColor theme="4" tint="-0.249977111117893"/>
  </sheetPr>
  <dimension ref="A1:AC227"/>
  <sheetViews>
    <sheetView workbookViewId="0">
      <selection activeCell="K33" sqref="K33"/>
    </sheetView>
  </sheetViews>
  <sheetFormatPr defaultRowHeight="15.75"/>
  <sheetData>
    <row r="1" spans="1:1" ht="18">
      <c r="A1" s="371" t="s">
        <v>1058</v>
      </c>
    </row>
    <row r="2" spans="1:1">
      <c r="A2" s="368"/>
    </row>
    <row r="3" spans="1:1">
      <c r="A3" s="368" t="s">
        <v>1059</v>
      </c>
    </row>
    <row r="4" spans="1:1">
      <c r="A4" s="372"/>
    </row>
    <row r="5" spans="1:1">
      <c r="A5" s="374" t="s">
        <v>1060</v>
      </c>
    </row>
    <row r="6" spans="1:1">
      <c r="A6" s="385"/>
    </row>
    <row r="7" spans="1:1">
      <c r="A7" s="386" t="s">
        <v>1061</v>
      </c>
    </row>
    <row r="8" spans="1:1">
      <c r="A8" s="385"/>
    </row>
    <row r="9" spans="1:1">
      <c r="A9" s="386" t="s">
        <v>1062</v>
      </c>
    </row>
    <row r="10" spans="1:1">
      <c r="A10" s="372"/>
    </row>
    <row r="11" spans="1:1">
      <c r="A11" s="374" t="s">
        <v>1063</v>
      </c>
    </row>
    <row r="12" spans="1:1">
      <c r="A12" s="385"/>
    </row>
    <row r="13" spans="1:1">
      <c r="A13" s="386" t="s">
        <v>1064</v>
      </c>
    </row>
    <row r="14" spans="1:1">
      <c r="A14" s="385"/>
    </row>
    <row r="15" spans="1:1">
      <c r="A15" s="386" t="s">
        <v>1065</v>
      </c>
    </row>
    <row r="16" spans="1:1">
      <c r="A16" s="372"/>
    </row>
    <row r="17" spans="1:1">
      <c r="A17" s="374" t="s">
        <v>1066</v>
      </c>
    </row>
    <row r="18" spans="1:1">
      <c r="A18" s="385"/>
    </row>
    <row r="19" spans="1:1">
      <c r="A19" s="386" t="s">
        <v>1067</v>
      </c>
    </row>
    <row r="20" spans="1:1">
      <c r="A20" s="385"/>
    </row>
    <row r="21" spans="1:1">
      <c r="A21" s="386" t="s">
        <v>1068</v>
      </c>
    </row>
    <row r="22" spans="1:1">
      <c r="A22" s="372"/>
    </row>
    <row r="23" spans="1:1">
      <c r="A23" s="374" t="s">
        <v>1069</v>
      </c>
    </row>
    <row r="24" spans="1:1">
      <c r="A24" s="385"/>
    </row>
    <row r="25" spans="1:1">
      <c r="A25" s="386" t="s">
        <v>1070</v>
      </c>
    </row>
    <row r="26" spans="1:1">
      <c r="A26" s="385"/>
    </row>
    <row r="27" spans="1:1">
      <c r="A27" s="386" t="s">
        <v>1071</v>
      </c>
    </row>
    <row r="28" spans="1:1">
      <c r="A28" s="368"/>
    </row>
    <row r="29" spans="1:1" ht="18">
      <c r="A29" s="371" t="s">
        <v>1072</v>
      </c>
    </row>
    <row r="30" spans="1:1">
      <c r="A30" s="368"/>
    </row>
    <row r="31" spans="1:1">
      <c r="A31" s="368" t="s">
        <v>1073</v>
      </c>
    </row>
    <row r="32" spans="1:1">
      <c r="A32" s="372"/>
    </row>
    <row r="33" spans="1:1">
      <c r="A33" s="374" t="s">
        <v>1074</v>
      </c>
    </row>
    <row r="34" spans="1:1">
      <c r="A34" s="385"/>
    </row>
    <row r="35" spans="1:1">
      <c r="A35" s="386" t="s">
        <v>1075</v>
      </c>
    </row>
    <row r="36" spans="1:1">
      <c r="A36" s="385"/>
    </row>
    <row r="37" spans="1:1">
      <c r="A37" s="386" t="s">
        <v>1076</v>
      </c>
    </row>
    <row r="38" spans="1:1">
      <c r="A38" s="372"/>
    </row>
    <row r="39" spans="1:1">
      <c r="A39" s="374" t="s">
        <v>1077</v>
      </c>
    </row>
    <row r="40" spans="1:1">
      <c r="A40" s="385"/>
    </row>
    <row r="41" spans="1:1">
      <c r="A41" s="386" t="s">
        <v>1078</v>
      </c>
    </row>
    <row r="42" spans="1:1">
      <c r="A42" s="385"/>
    </row>
    <row r="43" spans="1:1">
      <c r="A43" s="386" t="s">
        <v>1079</v>
      </c>
    </row>
    <row r="44" spans="1:1">
      <c r="A44" s="387"/>
    </row>
    <row r="45" spans="1:1">
      <c r="A45" s="387" t="s">
        <v>1080</v>
      </c>
    </row>
    <row r="46" spans="1:1">
      <c r="A46" s="387"/>
    </row>
    <row r="47" spans="1:1">
      <c r="A47" s="387" t="s">
        <v>1081</v>
      </c>
    </row>
    <row r="48" spans="1:1">
      <c r="A48" s="372"/>
    </row>
    <row r="49" spans="1:1">
      <c r="A49" s="374" t="s">
        <v>1082</v>
      </c>
    </row>
    <row r="50" spans="1:1">
      <c r="A50" s="385"/>
    </row>
    <row r="51" spans="1:1">
      <c r="A51" s="386" t="s">
        <v>1083</v>
      </c>
    </row>
    <row r="52" spans="1:1">
      <c r="A52" s="385"/>
    </row>
    <row r="53" spans="1:1">
      <c r="A53" s="386" t="s">
        <v>1084</v>
      </c>
    </row>
    <row r="54" spans="1:1">
      <c r="A54" s="372"/>
    </row>
    <row r="55" spans="1:1">
      <c r="A55" s="374" t="s">
        <v>1085</v>
      </c>
    </row>
    <row r="56" spans="1:1">
      <c r="A56" s="385"/>
    </row>
    <row r="57" spans="1:1">
      <c r="A57" s="386" t="s">
        <v>1086</v>
      </c>
    </row>
    <row r="58" spans="1:1">
      <c r="A58" s="385"/>
    </row>
    <row r="59" spans="1:1">
      <c r="A59" s="386" t="s">
        <v>1087</v>
      </c>
    </row>
    <row r="60" spans="1:1">
      <c r="A60" s="372"/>
    </row>
    <row r="61" spans="1:1">
      <c r="A61" s="374" t="s">
        <v>1088</v>
      </c>
    </row>
    <row r="62" spans="1:1">
      <c r="A62" s="385"/>
    </row>
    <row r="63" spans="1:1">
      <c r="A63" s="386" t="s">
        <v>1089</v>
      </c>
    </row>
    <row r="64" spans="1:1">
      <c r="A64" s="385"/>
    </row>
    <row r="65" spans="1:1">
      <c r="A65" s="386" t="s">
        <v>1090</v>
      </c>
    </row>
    <row r="66" spans="1:1">
      <c r="A66" s="372"/>
    </row>
    <row r="67" spans="1:1">
      <c r="A67" s="374" t="s">
        <v>1091</v>
      </c>
    </row>
    <row r="68" spans="1:1">
      <c r="A68" s="385"/>
    </row>
    <row r="69" spans="1:1">
      <c r="A69" s="386" t="s">
        <v>1092</v>
      </c>
    </row>
    <row r="70" spans="1:1">
      <c r="A70" s="385"/>
    </row>
    <row r="71" spans="1:1">
      <c r="A71" s="386" t="s">
        <v>1093</v>
      </c>
    </row>
    <row r="72" spans="1:1">
      <c r="A72" s="387"/>
    </row>
    <row r="73" spans="1:1">
      <c r="A73" s="387" t="s">
        <v>1094</v>
      </c>
    </row>
    <row r="74" spans="1:1">
      <c r="A74" s="387"/>
    </row>
    <row r="75" spans="1:1">
      <c r="A75" s="387" t="s">
        <v>1095</v>
      </c>
    </row>
    <row r="76" spans="1:1">
      <c r="A76" s="368"/>
    </row>
    <row r="77" spans="1:1" ht="18">
      <c r="A77" s="371" t="s">
        <v>1096</v>
      </c>
    </row>
    <row r="78" spans="1:1">
      <c r="A78" s="368"/>
    </row>
    <row r="79" spans="1:1">
      <c r="A79" s="368" t="s">
        <v>1097</v>
      </c>
    </row>
    <row r="80" spans="1:1">
      <c r="A80" s="372"/>
    </row>
    <row r="81" spans="1:1">
      <c r="A81" s="374" t="s">
        <v>1098</v>
      </c>
    </row>
    <row r="82" spans="1:1">
      <c r="A82" s="385"/>
    </row>
    <row r="83" spans="1:1">
      <c r="A83" s="386" t="s">
        <v>1099</v>
      </c>
    </row>
    <row r="84" spans="1:1">
      <c r="A84" s="385"/>
    </row>
    <row r="85" spans="1:1">
      <c r="A85" s="386" t="s">
        <v>1100</v>
      </c>
    </row>
    <row r="86" spans="1:1">
      <c r="A86" s="387"/>
    </row>
    <row r="87" spans="1:1">
      <c r="A87" s="387" t="s">
        <v>1101</v>
      </c>
    </row>
    <row r="88" spans="1:1">
      <c r="A88" s="372"/>
    </row>
    <row r="89" spans="1:1">
      <c r="A89" s="374" t="s">
        <v>1102</v>
      </c>
    </row>
    <row r="90" spans="1:1">
      <c r="A90" s="385"/>
    </row>
    <row r="91" spans="1:1">
      <c r="A91" s="386" t="s">
        <v>1103</v>
      </c>
    </row>
    <row r="92" spans="1:1">
      <c r="A92" s="385"/>
    </row>
    <row r="93" spans="1:1">
      <c r="A93" s="386" t="s">
        <v>1104</v>
      </c>
    </row>
    <row r="94" spans="1:1">
      <c r="A94" s="372"/>
    </row>
    <row r="95" spans="1:1">
      <c r="A95" s="374" t="s">
        <v>1105</v>
      </c>
    </row>
    <row r="96" spans="1:1">
      <c r="A96" s="385"/>
    </row>
    <row r="97" spans="1:1">
      <c r="A97" s="386" t="s">
        <v>1106</v>
      </c>
    </row>
    <row r="98" spans="1:1">
      <c r="A98" s="385"/>
    </row>
    <row r="99" spans="1:1">
      <c r="A99" s="386" t="s">
        <v>1107</v>
      </c>
    </row>
    <row r="100" spans="1:1">
      <c r="A100" s="387"/>
    </row>
    <row r="101" spans="1:1">
      <c r="A101" s="387" t="s">
        <v>1108</v>
      </c>
    </row>
    <row r="102" spans="1:1">
      <c r="A102" s="387"/>
    </row>
    <row r="103" spans="1:1">
      <c r="A103" s="387" t="s">
        <v>1109</v>
      </c>
    </row>
    <row r="104" spans="1:1">
      <c r="A104" s="387"/>
    </row>
    <row r="105" spans="1:1">
      <c r="A105" s="387" t="s">
        <v>1110</v>
      </c>
    </row>
    <row r="106" spans="1:1">
      <c r="A106" s="372"/>
    </row>
    <row r="107" spans="1:1">
      <c r="A107" s="374" t="s">
        <v>1111</v>
      </c>
    </row>
    <row r="108" spans="1:1">
      <c r="A108" s="385"/>
    </row>
    <row r="109" spans="1:1">
      <c r="A109" s="386" t="s">
        <v>1112</v>
      </c>
    </row>
    <row r="110" spans="1:1">
      <c r="A110" s="385"/>
    </row>
    <row r="111" spans="1:1">
      <c r="A111" s="386" t="s">
        <v>1113</v>
      </c>
    </row>
    <row r="113" spans="1:29">
      <c r="A113" s="549"/>
      <c r="B113" s="549"/>
      <c r="C113" s="549"/>
      <c r="D113" s="549"/>
      <c r="E113" s="549"/>
      <c r="F113" s="549"/>
      <c r="G113" s="549"/>
      <c r="H113" s="549"/>
      <c r="I113" s="549"/>
      <c r="J113" s="549"/>
      <c r="K113" s="549"/>
      <c r="L113" s="549"/>
      <c r="M113" s="549"/>
      <c r="N113" s="549"/>
      <c r="O113" s="549"/>
      <c r="P113" s="549"/>
      <c r="Q113" s="549"/>
      <c r="R113" s="549"/>
      <c r="S113" s="549"/>
      <c r="T113" s="549"/>
      <c r="U113" s="549"/>
      <c r="V113" s="549"/>
      <c r="W113" s="549"/>
      <c r="X113" s="549"/>
      <c r="Y113" s="549"/>
      <c r="Z113" s="549"/>
      <c r="AA113" s="549"/>
      <c r="AB113" s="549"/>
      <c r="AC113" s="549"/>
    </row>
    <row r="115" spans="1:29" ht="24">
      <c r="A115" s="370" t="s">
        <v>1114</v>
      </c>
    </row>
    <row r="116" spans="1:29">
      <c r="A116" s="368"/>
    </row>
    <row r="117" spans="1:29">
      <c r="A117" s="368" t="s">
        <v>1115</v>
      </c>
    </row>
    <row r="118" spans="1:29">
      <c r="A118" s="368"/>
    </row>
    <row r="119" spans="1:29" ht="18">
      <c r="A119" s="371" t="s">
        <v>1116</v>
      </c>
    </row>
    <row r="120" spans="1:29">
      <c r="A120" s="372"/>
    </row>
    <row r="121" spans="1:29">
      <c r="A121" s="374" t="s">
        <v>1117</v>
      </c>
    </row>
    <row r="122" spans="1:29">
      <c r="A122" s="372"/>
    </row>
    <row r="123" spans="1:29">
      <c r="A123" s="374" t="s">
        <v>1118</v>
      </c>
    </row>
    <row r="124" spans="1:29">
      <c r="A124" s="368"/>
    </row>
    <row r="125" spans="1:29" ht="18">
      <c r="A125" s="371" t="s">
        <v>1119</v>
      </c>
    </row>
    <row r="126" spans="1:29">
      <c r="A126" s="372"/>
    </row>
    <row r="127" spans="1:29">
      <c r="A127" s="374" t="s">
        <v>1120</v>
      </c>
    </row>
    <row r="128" spans="1:29">
      <c r="A128" s="372"/>
    </row>
    <row r="129" spans="1:1">
      <c r="A129" s="374" t="s">
        <v>1121</v>
      </c>
    </row>
    <row r="130" spans="1:1">
      <c r="A130" s="368"/>
    </row>
    <row r="131" spans="1:1" ht="18">
      <c r="A131" s="371" t="s">
        <v>1122</v>
      </c>
    </row>
    <row r="132" spans="1:1">
      <c r="A132" s="372"/>
    </row>
    <row r="133" spans="1:1">
      <c r="A133" s="374" t="s">
        <v>1123</v>
      </c>
    </row>
    <row r="134" spans="1:1">
      <c r="A134" s="372"/>
    </row>
    <row r="135" spans="1:1">
      <c r="A135" s="374" t="s">
        <v>1124</v>
      </c>
    </row>
    <row r="136" spans="1:1">
      <c r="A136" s="368"/>
    </row>
    <row r="137" spans="1:1" ht="18">
      <c r="A137" s="371" t="s">
        <v>1125</v>
      </c>
    </row>
    <row r="138" spans="1:1">
      <c r="A138" s="372"/>
    </row>
    <row r="139" spans="1:1">
      <c r="A139" s="374" t="s">
        <v>1126</v>
      </c>
    </row>
    <row r="140" spans="1:1">
      <c r="A140" s="372"/>
    </row>
    <row r="141" spans="1:1">
      <c r="A141" s="374" t="s">
        <v>1127</v>
      </c>
    </row>
    <row r="142" spans="1:1">
      <c r="A142" s="368"/>
    </row>
    <row r="143" spans="1:1" ht="24">
      <c r="A143" s="370" t="s">
        <v>1128</v>
      </c>
    </row>
    <row r="144" spans="1:1">
      <c r="A144" s="368"/>
    </row>
    <row r="145" spans="1:1">
      <c r="A145" s="368" t="s">
        <v>1129</v>
      </c>
    </row>
    <row r="146" spans="1:1">
      <c r="A146" s="368"/>
    </row>
    <row r="147" spans="1:1" ht="18">
      <c r="A147" s="371" t="s">
        <v>1130</v>
      </c>
    </row>
    <row r="148" spans="1:1">
      <c r="A148" s="372"/>
    </row>
    <row r="149" spans="1:1">
      <c r="A149" s="374" t="s">
        <v>1131</v>
      </c>
    </row>
    <row r="150" spans="1:1">
      <c r="A150" s="372"/>
    </row>
    <row r="151" spans="1:1">
      <c r="A151" s="374" t="s">
        <v>1132</v>
      </c>
    </row>
    <row r="152" spans="1:1">
      <c r="A152" s="368"/>
    </row>
    <row r="153" spans="1:1" ht="18">
      <c r="A153" s="371" t="s">
        <v>1133</v>
      </c>
    </row>
    <row r="154" spans="1:1">
      <c r="A154" s="372"/>
    </row>
    <row r="155" spans="1:1">
      <c r="A155" s="374" t="s">
        <v>1134</v>
      </c>
    </row>
    <row r="156" spans="1:1">
      <c r="A156" s="372"/>
    </row>
    <row r="157" spans="1:1">
      <c r="A157" s="374" t="s">
        <v>1135</v>
      </c>
    </row>
    <row r="158" spans="1:1">
      <c r="A158" s="372"/>
    </row>
    <row r="159" spans="1:1">
      <c r="A159" s="385" t="s">
        <v>1136</v>
      </c>
    </row>
    <row r="160" spans="1:1">
      <c r="A160" s="385"/>
    </row>
    <row r="161" spans="1:1">
      <c r="A161" s="385" t="s">
        <v>1137</v>
      </c>
    </row>
    <row r="162" spans="1:1">
      <c r="A162" s="368"/>
    </row>
    <row r="163" spans="1:1" ht="18">
      <c r="A163" s="371" t="s">
        <v>1138</v>
      </c>
    </row>
    <row r="164" spans="1:1">
      <c r="A164" s="372"/>
    </row>
    <row r="165" spans="1:1">
      <c r="A165" s="374" t="s">
        <v>1139</v>
      </c>
    </row>
    <row r="166" spans="1:1">
      <c r="A166" s="372"/>
    </row>
    <row r="167" spans="1:1">
      <c r="A167" s="374" t="s">
        <v>1140</v>
      </c>
    </row>
    <row r="168" spans="1:1">
      <c r="A168" s="368"/>
    </row>
    <row r="169" spans="1:1" ht="18">
      <c r="A169" s="371" t="s">
        <v>1141</v>
      </c>
    </row>
    <row r="170" spans="1:1">
      <c r="A170" s="372"/>
    </row>
    <row r="171" spans="1:1">
      <c r="A171" s="374" t="s">
        <v>1142</v>
      </c>
    </row>
    <row r="172" spans="1:1">
      <c r="A172" s="372"/>
    </row>
    <row r="173" spans="1:1">
      <c r="A173" s="374" t="s">
        <v>1143</v>
      </c>
    </row>
    <row r="174" spans="1:1">
      <c r="A174" s="368"/>
    </row>
    <row r="175" spans="1:1" ht="18">
      <c r="A175" s="371" t="s">
        <v>1144</v>
      </c>
    </row>
    <row r="176" spans="1:1">
      <c r="A176" s="372"/>
    </row>
    <row r="177" spans="1:1">
      <c r="A177" s="374" t="s">
        <v>1145</v>
      </c>
    </row>
    <row r="178" spans="1:1">
      <c r="A178" s="372"/>
    </row>
    <row r="179" spans="1:1">
      <c r="A179" s="374" t="s">
        <v>1146</v>
      </c>
    </row>
    <row r="180" spans="1:1">
      <c r="A180" s="368"/>
    </row>
    <row r="181" spans="1:1" ht="18">
      <c r="A181" s="371" t="s">
        <v>1147</v>
      </c>
    </row>
    <row r="182" spans="1:1">
      <c r="A182" s="372"/>
    </row>
    <row r="183" spans="1:1">
      <c r="A183" s="374" t="s">
        <v>1148</v>
      </c>
    </row>
    <row r="184" spans="1:1">
      <c r="A184" s="372"/>
    </row>
    <row r="185" spans="1:1">
      <c r="A185" s="374" t="s">
        <v>1107</v>
      </c>
    </row>
    <row r="186" spans="1:1">
      <c r="A186" s="385"/>
    </row>
    <row r="187" spans="1:1">
      <c r="A187" s="385" t="s">
        <v>1149</v>
      </c>
    </row>
    <row r="188" spans="1:1">
      <c r="A188" s="385"/>
    </row>
    <row r="189" spans="1:1">
      <c r="A189" s="385" t="s">
        <v>1150</v>
      </c>
    </row>
    <row r="190" spans="1:1">
      <c r="A190" s="385"/>
    </row>
    <row r="191" spans="1:1">
      <c r="A191" s="385" t="s">
        <v>1151</v>
      </c>
    </row>
    <row r="192" spans="1:1">
      <c r="A192" s="368"/>
    </row>
    <row r="193" spans="1:1" ht="24">
      <c r="A193" s="370" t="s">
        <v>1152</v>
      </c>
    </row>
    <row r="194" spans="1:1">
      <c r="A194" s="368"/>
    </row>
    <row r="195" spans="1:1">
      <c r="A195" s="368" t="s">
        <v>1153</v>
      </c>
    </row>
    <row r="196" spans="1:1">
      <c r="A196" s="368"/>
    </row>
    <row r="197" spans="1:1" ht="18">
      <c r="A197" s="371" t="s">
        <v>1154</v>
      </c>
    </row>
    <row r="198" spans="1:1">
      <c r="A198" s="372"/>
    </row>
    <row r="199" spans="1:1">
      <c r="A199" s="374" t="s">
        <v>1155</v>
      </c>
    </row>
    <row r="200" spans="1:1">
      <c r="A200" s="372"/>
    </row>
    <row r="201" spans="1:1">
      <c r="A201" s="374" t="s">
        <v>1156</v>
      </c>
    </row>
    <row r="202" spans="1:1">
      <c r="A202" s="385"/>
    </row>
    <row r="203" spans="1:1">
      <c r="A203" s="385" t="s">
        <v>1157</v>
      </c>
    </row>
    <row r="204" spans="1:1">
      <c r="A204" s="368"/>
    </row>
    <row r="205" spans="1:1" ht="18">
      <c r="A205" s="371" t="s">
        <v>1158</v>
      </c>
    </row>
    <row r="206" spans="1:1">
      <c r="A206" s="372"/>
    </row>
    <row r="207" spans="1:1">
      <c r="A207" s="374" t="s">
        <v>1159</v>
      </c>
    </row>
    <row r="208" spans="1:1">
      <c r="A208" s="372"/>
    </row>
    <row r="209" spans="1:1">
      <c r="A209" s="374" t="s">
        <v>1160</v>
      </c>
    </row>
    <row r="210" spans="1:1">
      <c r="A210" s="368"/>
    </row>
    <row r="211" spans="1:1" ht="18">
      <c r="A211" s="371" t="s">
        <v>1161</v>
      </c>
    </row>
    <row r="212" spans="1:1">
      <c r="A212" s="372"/>
    </row>
    <row r="213" spans="1:1">
      <c r="A213" s="374" t="s">
        <v>1162</v>
      </c>
    </row>
    <row r="214" spans="1:1">
      <c r="A214" s="372"/>
    </row>
    <row r="215" spans="1:1">
      <c r="A215" s="374" t="s">
        <v>1107</v>
      </c>
    </row>
    <row r="216" spans="1:1">
      <c r="A216" s="385"/>
    </row>
    <row r="217" spans="1:1">
      <c r="A217" s="385" t="s">
        <v>1163</v>
      </c>
    </row>
    <row r="218" spans="1:1">
      <c r="A218" s="385"/>
    </row>
    <row r="219" spans="1:1">
      <c r="A219" s="385" t="s">
        <v>1164</v>
      </c>
    </row>
    <row r="220" spans="1:1">
      <c r="A220" s="385"/>
    </row>
    <row r="221" spans="1:1">
      <c r="A221" s="385" t="s">
        <v>1165</v>
      </c>
    </row>
    <row r="222" spans="1:1">
      <c r="A222" s="368"/>
    </row>
    <row r="223" spans="1:1" ht="18">
      <c r="A223" s="371" t="s">
        <v>1166</v>
      </c>
    </row>
    <row r="224" spans="1:1">
      <c r="A224" s="372"/>
    </row>
    <row r="225" spans="1:1">
      <c r="A225" s="374" t="s">
        <v>1167</v>
      </c>
    </row>
    <row r="226" spans="1:1">
      <c r="A226" s="372"/>
    </row>
    <row r="227" spans="1:1">
      <c r="A227" s="374" t="s">
        <v>1168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70EE-222B-4CA4-9619-ABDA41A66ADA}">
  <sheetPr>
    <tabColor theme="7" tint="0.79998168889431442"/>
    <pageSetUpPr fitToPage="1"/>
  </sheetPr>
  <dimension ref="B1:S117"/>
  <sheetViews>
    <sheetView showGridLines="0" zoomScaleNormal="100" workbookViewId="0">
      <pane xSplit="9" ySplit="4" topLeftCell="J5" activePane="bottomRight" state="frozen"/>
      <selection pane="topRight" activeCell="I1" sqref="I1"/>
      <selection pane="bottomLeft" activeCell="A4" sqref="A4"/>
      <selection pane="bottomRight" activeCell="E6" sqref="E6"/>
    </sheetView>
  </sheetViews>
  <sheetFormatPr defaultColWidth="10" defaultRowHeight="15"/>
  <cols>
    <col min="1" max="1" width="2.28515625" style="304" customWidth="1"/>
    <col min="2" max="2" width="4" style="304" bestFit="1" customWidth="1"/>
    <col min="3" max="3" width="27.5703125" style="304" bestFit="1" customWidth="1"/>
    <col min="4" max="4" width="13.85546875" style="304" bestFit="1" customWidth="1"/>
    <col min="5" max="5" width="22" style="304" bestFit="1" customWidth="1"/>
    <col min="6" max="6" width="7.140625" style="304" customWidth="1"/>
    <col min="7" max="7" width="19.28515625" style="305" bestFit="1" customWidth="1"/>
    <col min="8" max="8" width="15" style="306" bestFit="1" customWidth="1"/>
    <col min="9" max="9" width="66.7109375" style="305" bestFit="1" customWidth="1"/>
    <col min="10" max="10" width="2.140625" style="304" customWidth="1"/>
    <col min="11" max="12" width="10" style="304"/>
    <col min="13" max="13" width="11.85546875" style="304" bestFit="1" customWidth="1"/>
    <col min="14" max="14" width="34.140625" style="304" bestFit="1" customWidth="1"/>
    <col min="15" max="15" width="177.42578125" style="304" bestFit="1" customWidth="1"/>
    <col min="16" max="16" width="52.85546875" style="304" bestFit="1" customWidth="1"/>
    <col min="17" max="17" width="29.85546875" style="304" bestFit="1" customWidth="1"/>
    <col min="18" max="18" width="26.140625" style="304" bestFit="1" customWidth="1"/>
    <col min="19" max="19" width="31.7109375" style="304" bestFit="1" customWidth="1"/>
    <col min="20" max="16384" width="10" style="304"/>
  </cols>
  <sheetData>
    <row r="1" spans="2:11" ht="18.75">
      <c r="B1" s="335" t="s">
        <v>590</v>
      </c>
      <c r="C1" s="335"/>
      <c r="D1" s="335"/>
      <c r="E1" s="335"/>
      <c r="F1" s="335"/>
      <c r="G1" s="335"/>
      <c r="H1" s="335"/>
      <c r="I1" s="335"/>
    </row>
    <row r="2" spans="2:11">
      <c r="B2" s="334"/>
      <c r="C2" s="334"/>
      <c r="D2" s="334"/>
      <c r="E2" s="334"/>
      <c r="F2" s="334"/>
      <c r="G2" s="334"/>
      <c r="H2" s="334"/>
      <c r="I2" s="333" t="s">
        <v>589</v>
      </c>
    </row>
    <row r="3" spans="2:11" ht="15.75" thickBot="1">
      <c r="B3" s="322" t="s">
        <v>588</v>
      </c>
      <c r="G3" s="322" t="s">
        <v>587</v>
      </c>
      <c r="H3" s="322"/>
      <c r="K3" s="304" t="s">
        <v>973</v>
      </c>
    </row>
    <row r="4" spans="2:11" ht="17.45" customHeight="1" thickBot="1">
      <c r="B4" s="332" t="s">
        <v>586</v>
      </c>
      <c r="C4" s="332" t="s">
        <v>585</v>
      </c>
      <c r="D4" s="332" t="s">
        <v>584</v>
      </c>
      <c r="E4" s="332" t="s">
        <v>583</v>
      </c>
      <c r="F4" s="331"/>
      <c r="G4" s="330" t="s">
        <v>582</v>
      </c>
      <c r="H4" s="329" t="s">
        <v>581</v>
      </c>
      <c r="I4" s="328"/>
    </row>
    <row r="5" spans="2:11">
      <c r="B5" s="327">
        <v>1</v>
      </c>
      <c r="C5" s="326" t="s">
        <v>580</v>
      </c>
      <c r="D5" s="325" t="s">
        <v>573</v>
      </c>
      <c r="E5" s="324" t="s">
        <v>578</v>
      </c>
      <c r="G5" s="313" t="s">
        <v>579</v>
      </c>
      <c r="H5" s="314" t="s">
        <v>578</v>
      </c>
      <c r="I5" s="310" t="s">
        <v>577</v>
      </c>
    </row>
    <row r="6" spans="2:11" ht="17.100000000000001" customHeight="1">
      <c r="B6" s="327">
        <v>2</v>
      </c>
      <c r="C6" s="326" t="s">
        <v>576</v>
      </c>
      <c r="D6" s="325" t="s">
        <v>573</v>
      </c>
      <c r="E6" s="324" t="s">
        <v>575</v>
      </c>
      <c r="G6" s="313" t="s">
        <v>417</v>
      </c>
      <c r="H6" s="311"/>
      <c r="I6" s="310" t="s">
        <v>452</v>
      </c>
      <c r="K6" s="436" t="s">
        <v>930</v>
      </c>
    </row>
    <row r="7" spans="2:11" ht="17.100000000000001" customHeight="1">
      <c r="B7" s="327">
        <v>3</v>
      </c>
      <c r="C7" s="326" t="s">
        <v>574</v>
      </c>
      <c r="D7" s="325" t="s">
        <v>573</v>
      </c>
      <c r="E7" s="324" t="s">
        <v>454</v>
      </c>
      <c r="G7" s="312"/>
      <c r="H7" s="311"/>
      <c r="I7" s="310" t="s">
        <v>572</v>
      </c>
      <c r="K7" s="437" t="s">
        <v>971</v>
      </c>
    </row>
    <row r="8" spans="2:11" ht="17.100000000000001" customHeight="1">
      <c r="B8" s="327">
        <v>4</v>
      </c>
      <c r="C8" s="326" t="s">
        <v>571</v>
      </c>
      <c r="D8" s="325" t="s">
        <v>570</v>
      </c>
      <c r="E8" s="324" t="s">
        <v>419</v>
      </c>
      <c r="G8" s="312"/>
      <c r="H8" s="311"/>
      <c r="I8" s="310" t="s">
        <v>569</v>
      </c>
      <c r="K8" s="437" t="s">
        <v>970</v>
      </c>
    </row>
    <row r="9" spans="2:11" ht="17.100000000000001" customHeight="1">
      <c r="B9" s="323" t="s">
        <v>568</v>
      </c>
      <c r="G9" s="312"/>
      <c r="H9" s="311"/>
      <c r="I9" s="310" t="s">
        <v>567</v>
      </c>
    </row>
    <row r="10" spans="2:11" ht="17.100000000000001" customHeight="1">
      <c r="B10" s="323" t="s">
        <v>566</v>
      </c>
      <c r="G10" s="312"/>
      <c r="H10" s="311"/>
      <c r="I10" s="310" t="s">
        <v>565</v>
      </c>
      <c r="K10" s="462"/>
    </row>
    <row r="11" spans="2:11" ht="17.100000000000001" customHeight="1">
      <c r="G11" s="312"/>
      <c r="H11" s="311"/>
      <c r="I11" s="310" t="s">
        <v>447</v>
      </c>
      <c r="K11" s="462" t="s">
        <v>967</v>
      </c>
    </row>
    <row r="12" spans="2:11" ht="17.100000000000001" customHeight="1">
      <c r="B12" s="322" t="s">
        <v>564</v>
      </c>
      <c r="G12" s="312"/>
      <c r="H12" s="311"/>
      <c r="I12" s="310" t="s">
        <v>446</v>
      </c>
      <c r="K12" s="463" t="s">
        <v>968</v>
      </c>
    </row>
    <row r="13" spans="2:11" ht="17.100000000000001" customHeight="1">
      <c r="B13" s="321" t="s">
        <v>563</v>
      </c>
      <c r="C13" s="321" t="s">
        <v>562</v>
      </c>
      <c r="D13" s="321" t="s">
        <v>561</v>
      </c>
      <c r="E13" s="321" t="s">
        <v>560</v>
      </c>
      <c r="G13" s="312"/>
      <c r="H13" s="311"/>
      <c r="I13" s="310" t="s">
        <v>559</v>
      </c>
      <c r="K13" s="464" t="s">
        <v>972</v>
      </c>
    </row>
    <row r="14" spans="2:11" ht="17.100000000000001" customHeight="1">
      <c r="B14" s="320">
        <v>1</v>
      </c>
      <c r="C14" s="320" t="s">
        <v>558</v>
      </c>
      <c r="D14" s="319" t="s">
        <v>557</v>
      </c>
      <c r="E14" s="319"/>
      <c r="G14" s="312"/>
      <c r="H14" s="311"/>
      <c r="I14" s="310" t="s">
        <v>556</v>
      </c>
      <c r="K14" s="464" t="s">
        <v>969</v>
      </c>
    </row>
    <row r="15" spans="2:11" ht="17.100000000000001" customHeight="1" thickBot="1">
      <c r="B15" s="337">
        <v>2</v>
      </c>
      <c r="C15" s="337" t="s">
        <v>553</v>
      </c>
      <c r="D15" s="338" t="s">
        <v>555</v>
      </c>
      <c r="E15" s="319"/>
      <c r="G15" s="312"/>
      <c r="H15" s="311"/>
      <c r="I15" s="310" t="s">
        <v>554</v>
      </c>
    </row>
    <row r="16" spans="2:11" ht="17.100000000000001" customHeight="1" thickTop="1" thickBot="1">
      <c r="B16" s="341">
        <v>3</v>
      </c>
      <c r="C16" s="342" t="s">
        <v>553</v>
      </c>
      <c r="D16" s="343" t="s">
        <v>552</v>
      </c>
      <c r="E16" s="336"/>
      <c r="G16" s="312"/>
      <c r="H16" s="311"/>
      <c r="I16" s="310" t="s">
        <v>551</v>
      </c>
    </row>
    <row r="17" spans="2:19" ht="17.100000000000001" customHeight="1" thickTop="1">
      <c r="B17" s="339">
        <v>4</v>
      </c>
      <c r="C17" s="339" t="s">
        <v>550</v>
      </c>
      <c r="D17" s="340" t="s">
        <v>549</v>
      </c>
      <c r="E17" s="319"/>
      <c r="G17" s="312"/>
      <c r="H17" s="311"/>
      <c r="I17" s="310" t="s">
        <v>548</v>
      </c>
    </row>
    <row r="18" spans="2:19" ht="17.100000000000001" customHeight="1">
      <c r="B18" s="320">
        <v>5</v>
      </c>
      <c r="C18" s="320" t="s">
        <v>547</v>
      </c>
      <c r="D18" s="319" t="s">
        <v>546</v>
      </c>
      <c r="E18" s="319"/>
      <c r="G18" s="312"/>
      <c r="H18" s="311"/>
      <c r="I18" s="310" t="s">
        <v>545</v>
      </c>
      <c r="K18" s="304" t="s">
        <v>1024</v>
      </c>
    </row>
    <row r="19" spans="2:19" ht="17.100000000000001" customHeight="1">
      <c r="B19" s="320">
        <v>6</v>
      </c>
      <c r="C19" s="320" t="s">
        <v>542</v>
      </c>
      <c r="D19" s="319" t="s">
        <v>544</v>
      </c>
      <c r="E19" s="319"/>
      <c r="G19" s="312"/>
      <c r="H19" s="311"/>
      <c r="I19" s="310" t="s">
        <v>543</v>
      </c>
    </row>
    <row r="20" spans="2:19" ht="17.100000000000001" customHeight="1">
      <c r="B20" s="320">
        <v>7</v>
      </c>
      <c r="C20" s="320" t="s">
        <v>542</v>
      </c>
      <c r="D20" s="319" t="s">
        <v>541</v>
      </c>
      <c r="E20" s="319"/>
      <c r="G20" s="312"/>
      <c r="H20" s="311"/>
      <c r="I20" s="310" t="s">
        <v>540</v>
      </c>
      <c r="K20" s="465" t="s">
        <v>974</v>
      </c>
      <c r="L20"/>
      <c r="M20"/>
      <c r="N20"/>
      <c r="O20"/>
      <c r="P20"/>
      <c r="Q20"/>
      <c r="R20"/>
      <c r="S20"/>
    </row>
    <row r="21" spans="2:19" ht="17.45" customHeight="1" thickBot="1">
      <c r="B21" s="320">
        <v>8</v>
      </c>
      <c r="C21" s="320" t="s">
        <v>539</v>
      </c>
      <c r="D21" s="319" t="s">
        <v>538</v>
      </c>
      <c r="E21" s="319"/>
      <c r="G21" s="309"/>
      <c r="H21" s="311"/>
      <c r="I21" s="307" t="s">
        <v>537</v>
      </c>
      <c r="K21" s="466" t="s">
        <v>975</v>
      </c>
      <c r="L21"/>
      <c r="M21"/>
      <c r="N21"/>
      <c r="O21"/>
      <c r="P21"/>
      <c r="Q21"/>
      <c r="R21"/>
      <c r="S21"/>
    </row>
    <row r="22" spans="2:19" ht="17.100000000000001" customHeight="1" thickBot="1">
      <c r="B22" s="320">
        <v>9</v>
      </c>
      <c r="C22" s="320" t="s">
        <v>536</v>
      </c>
      <c r="D22" s="319" t="s">
        <v>535</v>
      </c>
      <c r="E22" s="319"/>
      <c r="G22" s="313" t="s">
        <v>534</v>
      </c>
      <c r="H22" s="311"/>
      <c r="I22" s="310" t="s">
        <v>533</v>
      </c>
      <c r="K22" s="465" t="s">
        <v>976</v>
      </c>
      <c r="L22"/>
      <c r="M22"/>
      <c r="N22"/>
      <c r="O22"/>
      <c r="P22"/>
      <c r="Q22"/>
      <c r="R22"/>
      <c r="S22"/>
    </row>
    <row r="23" spans="2:19" ht="17.100000000000001" customHeight="1" thickBot="1">
      <c r="B23" s="320">
        <v>10</v>
      </c>
      <c r="C23" s="320" t="s">
        <v>532</v>
      </c>
      <c r="D23" s="319" t="s">
        <v>531</v>
      </c>
      <c r="E23" s="319"/>
      <c r="G23" s="313" t="s">
        <v>399</v>
      </c>
      <c r="H23" s="311"/>
      <c r="I23" s="310" t="s">
        <v>530</v>
      </c>
      <c r="K23" s="485" t="s">
        <v>936</v>
      </c>
      <c r="L23" s="485" t="s">
        <v>977</v>
      </c>
      <c r="M23" s="485" t="s">
        <v>978</v>
      </c>
      <c r="N23" s="467" t="s">
        <v>979</v>
      </c>
      <c r="O23" s="467" t="s">
        <v>980</v>
      </c>
      <c r="P23" s="468" t="s">
        <v>981</v>
      </c>
      <c r="Q23" s="467" t="s">
        <v>982</v>
      </c>
      <c r="R23" s="468" t="s">
        <v>983</v>
      </c>
      <c r="S23" s="467" t="s">
        <v>984</v>
      </c>
    </row>
    <row r="24" spans="2:19" ht="17.100000000000001" customHeight="1">
      <c r="B24" s="320">
        <v>11</v>
      </c>
      <c r="C24" s="320" t="s">
        <v>529</v>
      </c>
      <c r="D24" s="319" t="s">
        <v>528</v>
      </c>
      <c r="E24" s="319"/>
      <c r="G24" s="312"/>
      <c r="H24" s="311"/>
      <c r="I24" s="310" t="s">
        <v>527</v>
      </c>
      <c r="K24" s="486"/>
      <c r="L24" s="486"/>
      <c r="M24" s="486"/>
      <c r="N24" s="469" t="s">
        <v>985</v>
      </c>
      <c r="O24" s="469" t="s">
        <v>987</v>
      </c>
      <c r="P24" s="469" t="s">
        <v>989</v>
      </c>
      <c r="Q24" s="469" t="s">
        <v>991</v>
      </c>
      <c r="R24" s="472" t="s">
        <v>997</v>
      </c>
      <c r="S24" s="473" t="s">
        <v>1007</v>
      </c>
    </row>
    <row r="25" spans="2:19" ht="17.100000000000001" customHeight="1">
      <c r="B25" s="320">
        <v>12</v>
      </c>
      <c r="C25" s="320" t="s">
        <v>526</v>
      </c>
      <c r="D25" s="319" t="s">
        <v>525</v>
      </c>
      <c r="E25" s="319"/>
      <c r="G25" s="312"/>
      <c r="H25" s="311"/>
      <c r="I25" s="310" t="s">
        <v>524</v>
      </c>
      <c r="K25" s="486"/>
      <c r="L25" s="486"/>
      <c r="M25" s="486"/>
      <c r="N25" s="469" t="s">
        <v>986</v>
      </c>
      <c r="O25" s="469" t="s">
        <v>988</v>
      </c>
      <c r="P25" s="469" t="s">
        <v>990</v>
      </c>
      <c r="Q25" s="469" t="s">
        <v>992</v>
      </c>
      <c r="R25" s="473" t="s">
        <v>998</v>
      </c>
      <c r="S25" s="473" t="s">
        <v>1008</v>
      </c>
    </row>
    <row r="26" spans="2:19" ht="17.100000000000001" customHeight="1">
      <c r="B26" s="320">
        <v>13</v>
      </c>
      <c r="C26" s="320" t="s">
        <v>523</v>
      </c>
      <c r="D26" s="319" t="s">
        <v>522</v>
      </c>
      <c r="E26" s="319"/>
      <c r="G26" s="312"/>
      <c r="H26" s="311"/>
      <c r="I26" s="310" t="s">
        <v>521</v>
      </c>
      <c r="K26" s="486"/>
      <c r="L26" s="486"/>
      <c r="M26" s="486"/>
      <c r="N26" s="470"/>
      <c r="O26" s="470"/>
      <c r="P26" s="470"/>
      <c r="Q26" s="469" t="s">
        <v>993</v>
      </c>
      <c r="R26" s="473" t="s">
        <v>999</v>
      </c>
      <c r="S26" s="473" t="s">
        <v>1009</v>
      </c>
    </row>
    <row r="27" spans="2:19" ht="17.100000000000001" customHeight="1">
      <c r="B27" s="320">
        <v>14</v>
      </c>
      <c r="C27" s="320" t="s">
        <v>520</v>
      </c>
      <c r="D27" s="319" t="s">
        <v>519</v>
      </c>
      <c r="E27" s="319"/>
      <c r="G27" s="312"/>
      <c r="H27" s="311"/>
      <c r="I27" s="310" t="s">
        <v>518</v>
      </c>
      <c r="K27" s="486"/>
      <c r="L27" s="486"/>
      <c r="M27" s="486"/>
      <c r="N27" s="470"/>
      <c r="O27" s="470"/>
      <c r="P27" s="470"/>
      <c r="Q27" s="469" t="s">
        <v>994</v>
      </c>
      <c r="R27" s="473" t="s">
        <v>1000</v>
      </c>
      <c r="S27" s="473" t="s">
        <v>1010</v>
      </c>
    </row>
    <row r="28" spans="2:19" ht="17.100000000000001" customHeight="1">
      <c r="B28" s="320">
        <v>15</v>
      </c>
      <c r="C28" s="320" t="s">
        <v>517</v>
      </c>
      <c r="D28" s="319" t="s">
        <v>516</v>
      </c>
      <c r="E28" s="319"/>
      <c r="G28" s="312"/>
      <c r="H28" s="311"/>
      <c r="I28" s="310" t="s">
        <v>515</v>
      </c>
      <c r="K28" s="486"/>
      <c r="L28" s="486"/>
      <c r="M28" s="486"/>
      <c r="N28" s="470"/>
      <c r="O28" s="470"/>
      <c r="P28" s="470"/>
      <c r="Q28" s="469" t="s">
        <v>995</v>
      </c>
      <c r="R28" s="473" t="s">
        <v>1001</v>
      </c>
      <c r="S28" s="470"/>
    </row>
    <row r="29" spans="2:19" ht="17.100000000000001" customHeight="1">
      <c r="B29" s="320">
        <v>16</v>
      </c>
      <c r="C29" s="320" t="s">
        <v>514</v>
      </c>
      <c r="D29" s="319" t="s">
        <v>513</v>
      </c>
      <c r="E29" s="319"/>
      <c r="G29" s="312"/>
      <c r="H29" s="311"/>
      <c r="I29" s="310" t="s">
        <v>512</v>
      </c>
      <c r="K29" s="486"/>
      <c r="L29" s="486"/>
      <c r="M29" s="486"/>
      <c r="N29" s="470"/>
      <c r="O29" s="470"/>
      <c r="P29" s="470"/>
      <c r="Q29" s="469" t="s">
        <v>996</v>
      </c>
      <c r="R29" s="472" t="s">
        <v>1002</v>
      </c>
      <c r="S29" s="470"/>
    </row>
    <row r="30" spans="2:19" ht="17.100000000000001" customHeight="1">
      <c r="B30" s="320">
        <v>17</v>
      </c>
      <c r="C30" s="320" t="s">
        <v>511</v>
      </c>
      <c r="D30" s="319" t="s">
        <v>510</v>
      </c>
      <c r="E30" s="319"/>
      <c r="G30" s="312"/>
      <c r="H30" s="311"/>
      <c r="I30" s="310" t="s">
        <v>509</v>
      </c>
      <c r="K30" s="486"/>
      <c r="L30" s="486"/>
      <c r="M30" s="486"/>
      <c r="N30" s="470"/>
      <c r="O30" s="470"/>
      <c r="P30" s="470"/>
      <c r="Q30" s="470"/>
      <c r="R30" s="473" t="s">
        <v>1003</v>
      </c>
      <c r="S30" s="470"/>
    </row>
    <row r="31" spans="2:19" ht="17.45" customHeight="1" thickBot="1">
      <c r="B31" s="316">
        <v>18</v>
      </c>
      <c r="C31" s="316" t="s">
        <v>508</v>
      </c>
      <c r="D31" s="315" t="s">
        <v>507</v>
      </c>
      <c r="E31" s="315"/>
      <c r="G31" s="309"/>
      <c r="H31" s="308"/>
      <c r="I31" s="307" t="s">
        <v>506</v>
      </c>
      <c r="K31" s="486"/>
      <c r="L31" s="486"/>
      <c r="M31" s="486"/>
      <c r="N31" s="470"/>
      <c r="O31" s="470"/>
      <c r="P31" s="470"/>
      <c r="Q31" s="470"/>
      <c r="R31" s="473" t="s">
        <v>1004</v>
      </c>
      <c r="S31" s="470"/>
    </row>
    <row r="32" spans="2:19" ht="27">
      <c r="B32" s="316">
        <v>19</v>
      </c>
      <c r="C32" s="316" t="s">
        <v>505</v>
      </c>
      <c r="D32" s="315" t="s">
        <v>504</v>
      </c>
      <c r="E32" s="315"/>
      <c r="G32" s="313" t="s">
        <v>503</v>
      </c>
      <c r="H32" s="314" t="s">
        <v>502</v>
      </c>
      <c r="I32" s="310" t="s">
        <v>501</v>
      </c>
      <c r="K32" s="486"/>
      <c r="L32" s="486"/>
      <c r="M32" s="486"/>
      <c r="N32" s="470"/>
      <c r="O32" s="470"/>
      <c r="P32" s="470"/>
      <c r="Q32" s="470"/>
      <c r="R32" s="473" t="s">
        <v>1005</v>
      </c>
      <c r="S32" s="470"/>
    </row>
    <row r="33" spans="2:19" ht="17.100000000000001" customHeight="1" thickBot="1">
      <c r="B33" s="316">
        <v>20</v>
      </c>
      <c r="C33" s="316" t="s">
        <v>500</v>
      </c>
      <c r="D33" s="315" t="s">
        <v>499</v>
      </c>
      <c r="E33" s="315"/>
      <c r="G33" s="313" t="s">
        <v>417</v>
      </c>
      <c r="H33" s="311"/>
      <c r="I33" s="310" t="s">
        <v>498</v>
      </c>
      <c r="K33" s="487"/>
      <c r="L33" s="487"/>
      <c r="M33" s="487"/>
      <c r="N33" s="471"/>
      <c r="O33" s="471"/>
      <c r="P33" s="471"/>
      <c r="Q33" s="471"/>
      <c r="R33" s="474" t="s">
        <v>1006</v>
      </c>
      <c r="S33" s="471"/>
    </row>
    <row r="34" spans="2:19" ht="136.5" customHeight="1">
      <c r="B34" s="316">
        <v>21</v>
      </c>
      <c r="C34" s="316" t="s">
        <v>497</v>
      </c>
      <c r="D34" s="316" t="s">
        <v>496</v>
      </c>
      <c r="E34" s="316"/>
      <c r="G34" s="312"/>
      <c r="H34" s="311"/>
      <c r="I34" s="310" t="s">
        <v>495</v>
      </c>
      <c r="K34" s="489">
        <v>1</v>
      </c>
      <c r="L34" s="489" t="s">
        <v>1011</v>
      </c>
      <c r="M34" s="475" t="s">
        <v>952</v>
      </c>
      <c r="N34" s="478" t="s">
        <v>1013</v>
      </c>
      <c r="O34" s="481" t="s">
        <v>1015</v>
      </c>
      <c r="P34" s="491" t="s">
        <v>1019</v>
      </c>
      <c r="Q34" s="491" t="s">
        <v>1020</v>
      </c>
      <c r="R34" s="481" t="s">
        <v>1021</v>
      </c>
      <c r="S34" s="494" t="s">
        <v>1023</v>
      </c>
    </row>
    <row r="35" spans="2:19" ht="17.100000000000001" customHeight="1">
      <c r="B35" s="316">
        <v>22</v>
      </c>
      <c r="C35" s="316" t="s">
        <v>492</v>
      </c>
      <c r="D35" s="316" t="s">
        <v>494</v>
      </c>
      <c r="E35" s="316"/>
      <c r="G35" s="312"/>
      <c r="H35" s="311"/>
      <c r="I35" s="310" t="s">
        <v>493</v>
      </c>
      <c r="K35" s="488"/>
      <c r="L35" s="488"/>
      <c r="M35" s="475" t="s">
        <v>1012</v>
      </c>
      <c r="N35" s="478" t="s">
        <v>1014</v>
      </c>
      <c r="O35" s="482"/>
      <c r="P35" s="492"/>
      <c r="Q35" s="492"/>
      <c r="R35" s="481" t="s">
        <v>1022</v>
      </c>
      <c r="S35" s="495"/>
    </row>
    <row r="36" spans="2:19" ht="17.100000000000001" customHeight="1">
      <c r="B36" s="316">
        <v>23</v>
      </c>
      <c r="C36" s="316" t="s">
        <v>492</v>
      </c>
      <c r="D36" s="316" t="s">
        <v>491</v>
      </c>
      <c r="E36" s="316"/>
      <c r="G36" s="312"/>
      <c r="H36" s="311"/>
      <c r="I36" s="310" t="s">
        <v>490</v>
      </c>
      <c r="K36" s="488"/>
      <c r="L36" s="488"/>
      <c r="M36" s="476"/>
      <c r="N36" s="479"/>
      <c r="O36" s="481" t="s">
        <v>1016</v>
      </c>
      <c r="P36" s="492"/>
      <c r="Q36" s="492"/>
      <c r="R36" s="482"/>
      <c r="S36" s="495"/>
    </row>
    <row r="37" spans="2:19" ht="17.100000000000001" customHeight="1">
      <c r="B37" s="316">
        <v>24</v>
      </c>
      <c r="C37" s="316" t="s">
        <v>489</v>
      </c>
      <c r="D37" s="315" t="s">
        <v>488</v>
      </c>
      <c r="E37" s="315"/>
      <c r="G37" s="312"/>
      <c r="H37" s="311"/>
      <c r="I37" s="310" t="s">
        <v>487</v>
      </c>
      <c r="K37" s="488"/>
      <c r="L37" s="488"/>
      <c r="M37" s="476"/>
      <c r="N37" s="479"/>
      <c r="O37" s="481" t="s">
        <v>1017</v>
      </c>
      <c r="P37" s="492"/>
      <c r="Q37" s="492"/>
      <c r="R37" s="482"/>
      <c r="S37" s="495"/>
    </row>
    <row r="38" spans="2:19" ht="17.100000000000001" customHeight="1" thickBot="1">
      <c r="B38" s="316">
        <v>25</v>
      </c>
      <c r="C38" s="316" t="s">
        <v>484</v>
      </c>
      <c r="D38" s="315" t="s">
        <v>486</v>
      </c>
      <c r="E38" s="315"/>
      <c r="G38" s="312"/>
      <c r="H38" s="311"/>
      <c r="I38" s="310" t="s">
        <v>485</v>
      </c>
      <c r="K38" s="490"/>
      <c r="L38" s="490"/>
      <c r="M38" s="477"/>
      <c r="N38" s="480"/>
      <c r="O38" s="483" t="s">
        <v>1018</v>
      </c>
      <c r="P38" s="493"/>
      <c r="Q38" s="493"/>
      <c r="R38" s="484"/>
      <c r="S38" s="496"/>
    </row>
    <row r="39" spans="2:19" ht="17.100000000000001" customHeight="1">
      <c r="B39" s="316">
        <v>26</v>
      </c>
      <c r="C39" s="316" t="s">
        <v>484</v>
      </c>
      <c r="D39" s="315" t="s">
        <v>483</v>
      </c>
      <c r="E39" s="315"/>
      <c r="G39" s="312"/>
      <c r="H39" s="311"/>
      <c r="I39" s="310" t="s">
        <v>482</v>
      </c>
    </row>
    <row r="40" spans="2:19" ht="17.100000000000001" customHeight="1">
      <c r="B40" s="316">
        <v>27</v>
      </c>
      <c r="C40" s="316" t="s">
        <v>481</v>
      </c>
      <c r="D40" s="315" t="s">
        <v>480</v>
      </c>
      <c r="E40" s="315"/>
      <c r="G40" s="312"/>
      <c r="H40" s="311"/>
      <c r="I40" s="310" t="s">
        <v>479</v>
      </c>
    </row>
    <row r="41" spans="2:19" ht="17.100000000000001" customHeight="1">
      <c r="B41" s="316">
        <v>28</v>
      </c>
      <c r="C41" s="316" t="s">
        <v>476</v>
      </c>
      <c r="D41" s="318" t="s">
        <v>478</v>
      </c>
      <c r="E41" s="318"/>
      <c r="G41" s="312"/>
      <c r="H41" s="311"/>
      <c r="I41" s="310" t="s">
        <v>477</v>
      </c>
    </row>
    <row r="42" spans="2:19" ht="17.100000000000001" customHeight="1">
      <c r="B42" s="316">
        <v>29</v>
      </c>
      <c r="C42" s="316" t="s">
        <v>476</v>
      </c>
      <c r="D42" s="317" t="s">
        <v>475</v>
      </c>
      <c r="E42" s="317"/>
      <c r="G42" s="312"/>
      <c r="H42" s="311"/>
      <c r="I42" s="310" t="s">
        <v>474</v>
      </c>
    </row>
    <row r="43" spans="2:19" ht="17.45" customHeight="1" thickBot="1">
      <c r="B43" s="316">
        <v>30</v>
      </c>
      <c r="C43" s="316" t="s">
        <v>471</v>
      </c>
      <c r="D43" s="315" t="s">
        <v>473</v>
      </c>
      <c r="E43" s="315"/>
      <c r="G43" s="309"/>
      <c r="H43" s="311"/>
      <c r="I43" s="307" t="s">
        <v>472</v>
      </c>
    </row>
    <row r="44" spans="2:19" ht="17.100000000000001" customHeight="1">
      <c r="B44" s="316">
        <v>31</v>
      </c>
      <c r="C44" s="316" t="s">
        <v>471</v>
      </c>
      <c r="D44" s="315" t="s">
        <v>470</v>
      </c>
      <c r="E44" s="315" t="s">
        <v>469</v>
      </c>
      <c r="G44" s="313" t="s">
        <v>468</v>
      </c>
      <c r="H44" s="311"/>
      <c r="I44" s="310" t="s">
        <v>467</v>
      </c>
    </row>
    <row r="45" spans="2:19" ht="17.100000000000001" customHeight="1">
      <c r="G45" s="313" t="s">
        <v>399</v>
      </c>
      <c r="H45" s="311"/>
      <c r="I45" s="310" t="s">
        <v>466</v>
      </c>
    </row>
    <row r="46" spans="2:19" ht="17.100000000000001" customHeight="1">
      <c r="G46" s="312"/>
      <c r="H46" s="311"/>
      <c r="I46" s="310" t="s">
        <v>465</v>
      </c>
    </row>
    <row r="47" spans="2:19" ht="17.100000000000001" customHeight="1">
      <c r="G47" s="312"/>
      <c r="H47" s="311"/>
      <c r="I47" s="310" t="s">
        <v>464</v>
      </c>
    </row>
    <row r="48" spans="2:19" ht="17.100000000000001" customHeight="1">
      <c r="G48" s="312"/>
      <c r="H48" s="311"/>
      <c r="I48" s="310" t="s">
        <v>463</v>
      </c>
    </row>
    <row r="49" spans="7:9" ht="17.100000000000001" customHeight="1">
      <c r="G49" s="312"/>
      <c r="H49" s="311"/>
      <c r="I49" s="310" t="s">
        <v>462</v>
      </c>
    </row>
    <row r="50" spans="7:9" ht="17.100000000000001" customHeight="1">
      <c r="G50" s="312"/>
      <c r="H50" s="311"/>
      <c r="I50" s="310" t="s">
        <v>461</v>
      </c>
    </row>
    <row r="51" spans="7:9" ht="17.100000000000001" customHeight="1">
      <c r="G51" s="312"/>
      <c r="H51" s="311"/>
      <c r="I51" s="310" t="s">
        <v>460</v>
      </c>
    </row>
    <row r="52" spans="7:9" ht="17.100000000000001" customHeight="1">
      <c r="G52" s="312"/>
      <c r="H52" s="311"/>
      <c r="I52" s="310" t="s">
        <v>459</v>
      </c>
    </row>
    <row r="53" spans="7:9" ht="17.100000000000001" customHeight="1">
      <c r="G53" s="312"/>
      <c r="H53" s="311"/>
      <c r="I53" s="310" t="s">
        <v>458</v>
      </c>
    </row>
    <row r="54" spans="7:9" ht="17.100000000000001" customHeight="1">
      <c r="G54" s="312"/>
      <c r="H54" s="311"/>
      <c r="I54" s="310" t="s">
        <v>457</v>
      </c>
    </row>
    <row r="55" spans="7:9" ht="17.45" customHeight="1" thickBot="1">
      <c r="G55" s="309"/>
      <c r="H55" s="308"/>
      <c r="I55" s="307" t="s">
        <v>456</v>
      </c>
    </row>
    <row r="56" spans="7:9">
      <c r="G56" s="313" t="s">
        <v>455</v>
      </c>
      <c r="H56" s="314" t="s">
        <v>454</v>
      </c>
      <c r="I56" s="310" t="s">
        <v>453</v>
      </c>
    </row>
    <row r="57" spans="7:9" ht="17.100000000000001" customHeight="1">
      <c r="G57" s="313" t="s">
        <v>417</v>
      </c>
      <c r="H57" s="311"/>
      <c r="I57" s="310" t="s">
        <v>452</v>
      </c>
    </row>
    <row r="58" spans="7:9" ht="17.100000000000001" customHeight="1">
      <c r="G58" s="312"/>
      <c r="H58" s="311"/>
      <c r="I58" s="310" t="s">
        <v>451</v>
      </c>
    </row>
    <row r="59" spans="7:9" ht="17.100000000000001" customHeight="1">
      <c r="G59" s="312"/>
      <c r="H59" s="311"/>
      <c r="I59" s="310" t="s">
        <v>450</v>
      </c>
    </row>
    <row r="60" spans="7:9" ht="17.100000000000001" customHeight="1">
      <c r="G60" s="312"/>
      <c r="H60" s="311"/>
      <c r="I60" s="310" t="s">
        <v>449</v>
      </c>
    </row>
    <row r="61" spans="7:9" ht="17.100000000000001" customHeight="1">
      <c r="G61" s="312"/>
      <c r="H61" s="311"/>
      <c r="I61" s="310" t="s">
        <v>448</v>
      </c>
    </row>
    <row r="62" spans="7:9" ht="17.100000000000001" customHeight="1">
      <c r="G62" s="312"/>
      <c r="H62" s="311"/>
      <c r="I62" s="310" t="s">
        <v>447</v>
      </c>
    </row>
    <row r="63" spans="7:9" ht="17.100000000000001" customHeight="1">
      <c r="G63" s="312"/>
      <c r="H63" s="311"/>
      <c r="I63" s="310" t="s">
        <v>446</v>
      </c>
    </row>
    <row r="64" spans="7:9" ht="17.100000000000001" customHeight="1">
      <c r="G64" s="312"/>
      <c r="H64" s="311"/>
      <c r="I64" s="310" t="s">
        <v>445</v>
      </c>
    </row>
    <row r="65" spans="7:9" ht="17.100000000000001" customHeight="1">
      <c r="G65" s="312"/>
      <c r="H65" s="311"/>
      <c r="I65" s="310" t="s">
        <v>444</v>
      </c>
    </row>
    <row r="66" spans="7:9" ht="17.100000000000001" customHeight="1">
      <c r="G66" s="312"/>
      <c r="H66" s="311"/>
      <c r="I66" s="310" t="s">
        <v>443</v>
      </c>
    </row>
    <row r="67" spans="7:9" ht="17.100000000000001" customHeight="1">
      <c r="G67" s="312"/>
      <c r="H67" s="311"/>
      <c r="I67" s="310" t="s">
        <v>442</v>
      </c>
    </row>
    <row r="68" spans="7:9" ht="17.100000000000001" customHeight="1">
      <c r="G68" s="312"/>
      <c r="H68" s="311"/>
      <c r="I68" s="310" t="s">
        <v>441</v>
      </c>
    </row>
    <row r="69" spans="7:9" ht="17.100000000000001" customHeight="1">
      <c r="G69" s="312"/>
      <c r="H69" s="311"/>
      <c r="I69" s="310" t="s">
        <v>440</v>
      </c>
    </row>
    <row r="70" spans="7:9" ht="17.100000000000001" customHeight="1">
      <c r="G70" s="312"/>
      <c r="H70" s="311"/>
      <c r="I70" s="310" t="s">
        <v>439</v>
      </c>
    </row>
    <row r="71" spans="7:9" ht="17.45" customHeight="1" thickBot="1">
      <c r="G71" s="309"/>
      <c r="H71" s="311"/>
      <c r="I71" s="307" t="s">
        <v>438</v>
      </c>
    </row>
    <row r="72" spans="7:9" ht="17.100000000000001" customHeight="1">
      <c r="G72" s="313" t="s">
        <v>437</v>
      </c>
      <c r="H72" s="311"/>
      <c r="I72" s="310" t="s">
        <v>436</v>
      </c>
    </row>
    <row r="73" spans="7:9" ht="17.100000000000001" customHeight="1">
      <c r="G73" s="313" t="s">
        <v>399</v>
      </c>
      <c r="H73" s="311"/>
      <c r="I73" s="310" t="s">
        <v>435</v>
      </c>
    </row>
    <row r="74" spans="7:9" ht="17.100000000000001" customHeight="1">
      <c r="G74" s="312"/>
      <c r="H74" s="311"/>
      <c r="I74" s="310" t="s">
        <v>434</v>
      </c>
    </row>
    <row r="75" spans="7:9" ht="17.100000000000001" customHeight="1">
      <c r="G75" s="312"/>
      <c r="H75" s="311"/>
      <c r="I75" s="310" t="s">
        <v>433</v>
      </c>
    </row>
    <row r="76" spans="7:9" ht="17.100000000000001" customHeight="1">
      <c r="G76" s="312"/>
      <c r="H76" s="311"/>
      <c r="I76" s="310" t="s">
        <v>432</v>
      </c>
    </row>
    <row r="77" spans="7:9" ht="17.100000000000001" customHeight="1">
      <c r="G77" s="312"/>
      <c r="H77" s="311"/>
      <c r="I77" s="310" t="s">
        <v>431</v>
      </c>
    </row>
    <row r="78" spans="7:9" ht="17.100000000000001" customHeight="1">
      <c r="G78" s="312"/>
      <c r="H78" s="311"/>
      <c r="I78" s="310" t="s">
        <v>430</v>
      </c>
    </row>
    <row r="79" spans="7:9" ht="17.100000000000001" customHeight="1">
      <c r="G79" s="312"/>
      <c r="H79" s="311"/>
      <c r="I79" s="310" t="s">
        <v>429</v>
      </c>
    </row>
    <row r="80" spans="7:9" ht="17.100000000000001" customHeight="1">
      <c r="G80" s="312"/>
      <c r="H80" s="311"/>
      <c r="I80" s="310" t="s">
        <v>428</v>
      </c>
    </row>
    <row r="81" spans="7:9" ht="17.100000000000001" customHeight="1">
      <c r="G81" s="312"/>
      <c r="H81" s="311"/>
      <c r="I81" s="310" t="s">
        <v>427</v>
      </c>
    </row>
    <row r="82" spans="7:9" ht="17.100000000000001" customHeight="1">
      <c r="G82" s="312"/>
      <c r="H82" s="311"/>
      <c r="I82" s="310" t="s">
        <v>426</v>
      </c>
    </row>
    <row r="83" spans="7:9" ht="17.100000000000001" customHeight="1">
      <c r="G83" s="312"/>
      <c r="H83" s="311"/>
      <c r="I83" s="310" t="s">
        <v>425</v>
      </c>
    </row>
    <row r="84" spans="7:9" ht="17.100000000000001" customHeight="1">
      <c r="G84" s="312"/>
      <c r="H84" s="311"/>
      <c r="I84" s="310" t="s">
        <v>424</v>
      </c>
    </row>
    <row r="85" spans="7:9" ht="17.100000000000001" customHeight="1">
      <c r="G85" s="312"/>
      <c r="H85" s="311"/>
      <c r="I85" s="310" t="s">
        <v>423</v>
      </c>
    </row>
    <row r="86" spans="7:9" ht="17.100000000000001" customHeight="1">
      <c r="G86" s="312"/>
      <c r="H86" s="311"/>
      <c r="I86" s="310" t="s">
        <v>422</v>
      </c>
    </row>
    <row r="87" spans="7:9" ht="17.45" customHeight="1" thickBot="1">
      <c r="G87" s="309"/>
      <c r="H87" s="308"/>
      <c r="I87" s="307" t="s">
        <v>421</v>
      </c>
    </row>
    <row r="88" spans="7:9">
      <c r="G88" s="313" t="s">
        <v>420</v>
      </c>
      <c r="H88" s="314" t="s">
        <v>419</v>
      </c>
      <c r="I88" s="310" t="s">
        <v>418</v>
      </c>
    </row>
    <row r="89" spans="7:9" ht="17.100000000000001" customHeight="1">
      <c r="G89" s="313" t="s">
        <v>417</v>
      </c>
      <c r="H89" s="311"/>
      <c r="I89" s="310" t="s">
        <v>416</v>
      </c>
    </row>
    <row r="90" spans="7:9" ht="17.100000000000001" customHeight="1">
      <c r="G90" s="312"/>
      <c r="H90" s="311"/>
      <c r="I90" s="310" t="s">
        <v>415</v>
      </c>
    </row>
    <row r="91" spans="7:9" ht="17.100000000000001" customHeight="1">
      <c r="G91" s="312"/>
      <c r="H91" s="311"/>
      <c r="I91" s="310" t="s">
        <v>414</v>
      </c>
    </row>
    <row r="92" spans="7:9" ht="17.100000000000001" customHeight="1">
      <c r="G92" s="312"/>
      <c r="H92" s="311"/>
      <c r="I92" s="310" t="s">
        <v>413</v>
      </c>
    </row>
    <row r="93" spans="7:9" ht="17.100000000000001" customHeight="1">
      <c r="G93" s="312"/>
      <c r="H93" s="311"/>
      <c r="I93" s="310" t="s">
        <v>412</v>
      </c>
    </row>
    <row r="94" spans="7:9" ht="17.100000000000001" customHeight="1">
      <c r="G94" s="312"/>
      <c r="H94" s="311"/>
      <c r="I94" s="310" t="s">
        <v>411</v>
      </c>
    </row>
    <row r="95" spans="7:9" ht="17.100000000000001" customHeight="1">
      <c r="G95" s="312"/>
      <c r="H95" s="311"/>
      <c r="I95" s="310" t="s">
        <v>410</v>
      </c>
    </row>
    <row r="96" spans="7:9" ht="17.100000000000001" customHeight="1">
      <c r="G96" s="312"/>
      <c r="H96" s="311"/>
      <c r="I96" s="310" t="s">
        <v>409</v>
      </c>
    </row>
    <row r="97" spans="7:9" ht="17.100000000000001" customHeight="1">
      <c r="G97" s="312"/>
      <c r="H97" s="311"/>
      <c r="I97" s="310" t="s">
        <v>408</v>
      </c>
    </row>
    <row r="98" spans="7:9" ht="17.100000000000001" customHeight="1">
      <c r="G98" s="312"/>
      <c r="H98" s="311"/>
      <c r="I98" s="310" t="s">
        <v>407</v>
      </c>
    </row>
    <row r="99" spans="7:9" ht="17.100000000000001" customHeight="1">
      <c r="G99" s="312"/>
      <c r="H99" s="311"/>
      <c r="I99" s="310" t="s">
        <v>406</v>
      </c>
    </row>
    <row r="100" spans="7:9" ht="17.100000000000001" customHeight="1">
      <c r="G100" s="312"/>
      <c r="H100" s="311"/>
      <c r="I100" s="310" t="s">
        <v>405</v>
      </c>
    </row>
    <row r="101" spans="7:9" ht="17.100000000000001" customHeight="1">
      <c r="G101" s="312"/>
      <c r="H101" s="311"/>
      <c r="I101" s="310" t="s">
        <v>404</v>
      </c>
    </row>
    <row r="102" spans="7:9" ht="17.100000000000001" customHeight="1">
      <c r="G102" s="312"/>
      <c r="H102" s="311"/>
      <c r="I102" s="310" t="s">
        <v>403</v>
      </c>
    </row>
    <row r="103" spans="7:9" ht="17.45" customHeight="1" thickBot="1">
      <c r="G103" s="309"/>
      <c r="H103" s="311"/>
      <c r="I103" s="307" t="s">
        <v>402</v>
      </c>
    </row>
    <row r="104" spans="7:9" ht="17.100000000000001" customHeight="1">
      <c r="G104" s="313" t="s">
        <v>401</v>
      </c>
      <c r="H104" s="311"/>
      <c r="I104" s="310" t="s">
        <v>400</v>
      </c>
    </row>
    <row r="105" spans="7:9" ht="17.100000000000001" customHeight="1">
      <c r="G105" s="313" t="s">
        <v>399</v>
      </c>
      <c r="H105" s="311"/>
      <c r="I105" s="310" t="s">
        <v>398</v>
      </c>
    </row>
    <row r="106" spans="7:9" ht="17.100000000000001" customHeight="1">
      <c r="G106" s="312"/>
      <c r="H106" s="311"/>
      <c r="I106" s="310" t="s">
        <v>397</v>
      </c>
    </row>
    <row r="107" spans="7:9" ht="17.100000000000001" customHeight="1">
      <c r="G107" s="312"/>
      <c r="H107" s="311"/>
      <c r="I107" s="310" t="s">
        <v>396</v>
      </c>
    </row>
    <row r="108" spans="7:9" ht="17.100000000000001" customHeight="1">
      <c r="G108" s="312"/>
      <c r="H108" s="311"/>
      <c r="I108" s="310" t="s">
        <v>395</v>
      </c>
    </row>
    <row r="109" spans="7:9" ht="17.100000000000001" customHeight="1">
      <c r="G109" s="312"/>
      <c r="H109" s="311"/>
      <c r="I109" s="310" t="s">
        <v>394</v>
      </c>
    </row>
    <row r="110" spans="7:9" ht="17.100000000000001" customHeight="1">
      <c r="G110" s="312"/>
      <c r="H110" s="311"/>
      <c r="I110" s="310" t="s">
        <v>393</v>
      </c>
    </row>
    <row r="111" spans="7:9" ht="17.100000000000001" customHeight="1">
      <c r="G111" s="312"/>
      <c r="H111" s="311"/>
      <c r="I111" s="310" t="s">
        <v>392</v>
      </c>
    </row>
    <row r="112" spans="7:9" ht="17.100000000000001" customHeight="1">
      <c r="G112" s="312"/>
      <c r="H112" s="311"/>
      <c r="I112" s="310" t="s">
        <v>391</v>
      </c>
    </row>
    <row r="113" spans="7:9" ht="17.100000000000001" customHeight="1">
      <c r="G113" s="312"/>
      <c r="H113" s="311"/>
      <c r="I113" s="310" t="s">
        <v>390</v>
      </c>
    </row>
    <row r="114" spans="7:9" ht="17.100000000000001" customHeight="1">
      <c r="G114" s="312"/>
      <c r="H114" s="311"/>
      <c r="I114" s="310" t="s">
        <v>389</v>
      </c>
    </row>
    <row r="115" spans="7:9" ht="17.100000000000001" customHeight="1">
      <c r="G115" s="312"/>
      <c r="H115" s="311"/>
      <c r="I115" s="310" t="s">
        <v>388</v>
      </c>
    </row>
    <row r="116" spans="7:9" ht="17.100000000000001" customHeight="1">
      <c r="G116" s="312"/>
      <c r="H116" s="311"/>
      <c r="I116" s="310" t="s">
        <v>387</v>
      </c>
    </row>
    <row r="117" spans="7:9" ht="17.45" customHeight="1" thickBot="1">
      <c r="G117" s="309"/>
      <c r="H117" s="308"/>
      <c r="I117" s="307" t="s">
        <v>386</v>
      </c>
    </row>
  </sheetData>
  <mergeCells count="14">
    <mergeCell ref="Q34:Q38"/>
    <mergeCell ref="S34:S38"/>
    <mergeCell ref="K23:K33"/>
    <mergeCell ref="L23:L33"/>
    <mergeCell ref="M23:M33"/>
    <mergeCell ref="K34:K38"/>
    <mergeCell ref="L34:L38"/>
    <mergeCell ref="P34:P38"/>
    <mergeCell ref="H88:H117"/>
    <mergeCell ref="B1:I1"/>
    <mergeCell ref="H4:I4"/>
    <mergeCell ref="H5:H31"/>
    <mergeCell ref="H32:H55"/>
    <mergeCell ref="H56:H8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scale="61" fitToHeight="2" orientation="portrait" r:id="rId1"/>
  <headerFooter>
    <oddHeader>&amp;C&amp;"Aptos"&amp;10&amp;K000000  AGC Group Internal Use Only 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3B19-3623-4472-9AA7-B18E35FCDE0E}">
  <sheetPr>
    <tabColor theme="5" tint="0.59999389629810485"/>
  </sheetPr>
  <dimension ref="B1:K80"/>
  <sheetViews>
    <sheetView topLeftCell="A29" workbookViewId="0">
      <selection activeCell="I39" sqref="I39"/>
    </sheetView>
  </sheetViews>
  <sheetFormatPr defaultRowHeight="15.75"/>
  <cols>
    <col min="1" max="1" width="1.42578125" customWidth="1"/>
    <col min="2" max="2" width="40.5703125" customWidth="1"/>
    <col min="3" max="3" width="28.28515625" customWidth="1"/>
    <col min="4" max="4" width="39.42578125" customWidth="1"/>
    <col min="5" max="5" width="24" customWidth="1"/>
  </cols>
  <sheetData>
    <row r="1" spans="2:5" ht="7.5" customHeight="1" thickBot="1"/>
    <row r="2" spans="2:5" ht="16.5" thickBot="1">
      <c r="B2" s="348" t="s">
        <v>591</v>
      </c>
      <c r="C2" s="349"/>
      <c r="D2" s="349"/>
      <c r="E2" s="360"/>
    </row>
    <row r="3" spans="2:5">
      <c r="B3" s="361" t="s">
        <v>592</v>
      </c>
      <c r="C3" s="344" t="s">
        <v>593</v>
      </c>
      <c r="D3" s="350" t="s">
        <v>595</v>
      </c>
      <c r="E3" s="352"/>
    </row>
    <row r="4" spans="2:5" ht="32.25" thickBot="1">
      <c r="B4" s="362"/>
      <c r="C4" s="345" t="s">
        <v>594</v>
      </c>
      <c r="D4" s="351"/>
      <c r="E4" s="352"/>
    </row>
    <row r="5" spans="2:5" ht="16.5" thickBot="1">
      <c r="B5" s="363" t="s">
        <v>596</v>
      </c>
      <c r="C5" s="353" t="s">
        <v>613</v>
      </c>
      <c r="D5" s="364" t="s">
        <v>618</v>
      </c>
      <c r="E5" s="346"/>
    </row>
    <row r="6" spans="2:5" ht="16.5" thickBot="1">
      <c r="B6" s="363" t="s">
        <v>600</v>
      </c>
      <c r="C6" s="354"/>
      <c r="D6" s="364" t="s">
        <v>617</v>
      </c>
      <c r="E6" s="346"/>
    </row>
    <row r="7" spans="2:5" ht="16.5" thickBot="1">
      <c r="B7" s="363" t="s">
        <v>601</v>
      </c>
      <c r="C7" s="355"/>
      <c r="D7" s="366" t="s">
        <v>597</v>
      </c>
      <c r="E7" s="346"/>
    </row>
    <row r="8" spans="2:5" ht="16.5" thickBot="1">
      <c r="B8" s="363" t="s">
        <v>602</v>
      </c>
      <c r="C8" s="356" t="s">
        <v>614</v>
      </c>
      <c r="D8" s="364" t="s">
        <v>619</v>
      </c>
      <c r="E8" s="346"/>
    </row>
    <row r="9" spans="2:5" ht="16.5" thickBot="1">
      <c r="B9" s="363" t="s">
        <v>603</v>
      </c>
      <c r="C9" s="357"/>
      <c r="D9" s="364" t="s">
        <v>620</v>
      </c>
      <c r="E9" s="346"/>
    </row>
    <row r="10" spans="2:5" ht="16.5" thickBot="1">
      <c r="B10" s="363" t="s">
        <v>604</v>
      </c>
      <c r="C10" s="357"/>
      <c r="D10" s="364" t="s">
        <v>621</v>
      </c>
      <c r="E10" s="346"/>
    </row>
    <row r="11" spans="2:5" ht="16.5" thickBot="1">
      <c r="B11" s="363" t="s">
        <v>605</v>
      </c>
      <c r="C11" s="358"/>
      <c r="D11" s="364" t="s">
        <v>622</v>
      </c>
      <c r="E11" s="346"/>
    </row>
    <row r="12" spans="2:5" ht="16.5" thickBot="1">
      <c r="B12" s="363" t="s">
        <v>606</v>
      </c>
      <c r="C12" s="359" t="s">
        <v>615</v>
      </c>
      <c r="D12" s="364" t="s">
        <v>598</v>
      </c>
      <c r="E12" s="346"/>
    </row>
    <row r="13" spans="2:5" ht="16.5" thickBot="1">
      <c r="B13" s="363" t="s">
        <v>607</v>
      </c>
      <c r="C13" s="355"/>
      <c r="D13" s="364" t="s">
        <v>623</v>
      </c>
      <c r="E13" s="346"/>
    </row>
    <row r="14" spans="2:5" ht="16.5" thickBot="1">
      <c r="B14" s="363" t="s">
        <v>608</v>
      </c>
      <c r="C14" s="356" t="s">
        <v>616</v>
      </c>
      <c r="D14" s="364" t="s">
        <v>599</v>
      </c>
      <c r="E14" s="346"/>
    </row>
    <row r="15" spans="2:5" ht="16.5" thickBot="1">
      <c r="B15" s="363" t="s">
        <v>609</v>
      </c>
      <c r="C15" s="357"/>
      <c r="D15" s="364" t="s">
        <v>624</v>
      </c>
      <c r="E15" s="346"/>
    </row>
    <row r="16" spans="2:5" ht="16.5" thickBot="1">
      <c r="B16" s="363" t="s">
        <v>610</v>
      </c>
      <c r="C16" s="357"/>
      <c r="D16" s="364" t="s">
        <v>625</v>
      </c>
      <c r="E16" s="346"/>
    </row>
    <row r="17" spans="2:5" ht="16.5" thickBot="1">
      <c r="B17" s="363" t="s">
        <v>611</v>
      </c>
      <c r="C17" s="357"/>
      <c r="D17" s="364" t="s">
        <v>626</v>
      </c>
      <c r="E17" s="346"/>
    </row>
    <row r="18" spans="2:5" ht="16.5" thickBot="1">
      <c r="B18" s="363" t="s">
        <v>612</v>
      </c>
      <c r="C18" s="358"/>
      <c r="D18" s="365"/>
      <c r="E18" s="346"/>
    </row>
    <row r="19" spans="2:5">
      <c r="B19" s="347"/>
      <c r="C19" s="347"/>
      <c r="D19" s="347"/>
      <c r="E19" s="346"/>
    </row>
    <row r="21" spans="2:5">
      <c r="B21" s="436" t="s">
        <v>931</v>
      </c>
    </row>
    <row r="22" spans="2:5">
      <c r="B22" s="436" t="s">
        <v>932</v>
      </c>
    </row>
    <row r="23" spans="2:5">
      <c r="B23" s="436" t="s">
        <v>933</v>
      </c>
    </row>
    <row r="24" spans="2:5">
      <c r="B24" s="436" t="s">
        <v>934</v>
      </c>
    </row>
    <row r="25" spans="2:5">
      <c r="B25" s="436" t="s">
        <v>935</v>
      </c>
    </row>
    <row r="26" spans="2:5" ht="16.5" thickBot="1">
      <c r="B26" s="436"/>
    </row>
    <row r="27" spans="2:5" ht="16.5" thickBot="1">
      <c r="B27" s="438" t="s">
        <v>936</v>
      </c>
      <c r="C27" s="439" t="s">
        <v>643</v>
      </c>
      <c r="D27" s="440" t="s">
        <v>937</v>
      </c>
    </row>
    <row r="28" spans="2:5" ht="16.5" thickBot="1">
      <c r="B28" s="441">
        <v>1</v>
      </c>
      <c r="C28" s="442" t="s">
        <v>938</v>
      </c>
      <c r="D28" s="443" t="s">
        <v>939</v>
      </c>
    </row>
    <row r="29" spans="2:5" ht="16.5" thickBot="1">
      <c r="B29" s="441">
        <v>2</v>
      </c>
      <c r="C29" s="442" t="s">
        <v>940</v>
      </c>
      <c r="D29" s="444"/>
    </row>
    <row r="30" spans="2:5" ht="16.5" thickBot="1">
      <c r="B30" s="441">
        <v>3</v>
      </c>
      <c r="C30" s="442" t="s">
        <v>941</v>
      </c>
      <c r="D30" s="444"/>
    </row>
    <row r="31" spans="2:5" ht="16.5" thickBot="1">
      <c r="B31" s="441">
        <v>4</v>
      </c>
      <c r="C31" s="442" t="s">
        <v>942</v>
      </c>
      <c r="D31" s="444"/>
    </row>
    <row r="32" spans="2:5" ht="16.5" thickBot="1">
      <c r="B32" s="441">
        <v>5</v>
      </c>
      <c r="C32" s="442" t="s">
        <v>943</v>
      </c>
      <c r="D32" s="444"/>
    </row>
    <row r="33" spans="2:5" ht="16.5" thickBot="1">
      <c r="B33" s="441">
        <v>6</v>
      </c>
      <c r="C33" s="442" t="s">
        <v>944</v>
      </c>
      <c r="D33" s="444"/>
    </row>
    <row r="34" spans="2:5" ht="16.5" thickBot="1">
      <c r="B34" s="441">
        <v>7</v>
      </c>
      <c r="C34" s="442" t="s">
        <v>945</v>
      </c>
      <c r="D34" s="444"/>
    </row>
    <row r="35" spans="2:5" ht="16.5" thickBot="1">
      <c r="B35" s="458">
        <v>8</v>
      </c>
      <c r="C35" s="459" t="s">
        <v>946</v>
      </c>
      <c r="D35" s="445"/>
    </row>
    <row r="36" spans="2:5" ht="16.5" thickBot="1">
      <c r="B36" s="436"/>
    </row>
    <row r="37" spans="2:5">
      <c r="B37" s="451" t="s">
        <v>936</v>
      </c>
      <c r="C37" s="451" t="s">
        <v>643</v>
      </c>
      <c r="D37" s="446" t="s">
        <v>947</v>
      </c>
      <c r="E37" s="453" t="s">
        <v>949</v>
      </c>
    </row>
    <row r="38" spans="2:5" ht="16.5" thickBot="1">
      <c r="B38" s="452"/>
      <c r="C38" s="452"/>
      <c r="D38" s="447" t="s">
        <v>948</v>
      </c>
      <c r="E38" s="454"/>
    </row>
    <row r="39" spans="2:5" ht="16.5" thickBot="1">
      <c r="B39" s="441">
        <v>1</v>
      </c>
      <c r="C39" s="448" t="s">
        <v>950</v>
      </c>
      <c r="D39" s="453" t="s">
        <v>960</v>
      </c>
      <c r="E39" s="449" t="s">
        <v>951</v>
      </c>
    </row>
    <row r="40" spans="2:5" ht="16.5" thickBot="1">
      <c r="B40" s="455">
        <v>2</v>
      </c>
      <c r="C40" s="456" t="s">
        <v>952</v>
      </c>
      <c r="D40" s="444"/>
      <c r="E40" s="457" t="s">
        <v>953</v>
      </c>
    </row>
    <row r="41" spans="2:5" ht="16.5" thickBot="1">
      <c r="B41" s="450">
        <v>3</v>
      </c>
      <c r="C41" s="448" t="s">
        <v>954</v>
      </c>
      <c r="D41" s="444"/>
      <c r="E41" s="449" t="s">
        <v>955</v>
      </c>
    </row>
    <row r="42" spans="2:5" ht="16.5" thickBot="1">
      <c r="B42" s="450">
        <v>4</v>
      </c>
      <c r="C42" s="448" t="s">
        <v>956</v>
      </c>
      <c r="D42" s="444"/>
      <c r="E42" s="449" t="s">
        <v>957</v>
      </c>
    </row>
    <row r="43" spans="2:5" ht="16.5" thickBot="1">
      <c r="B43" s="450">
        <v>5</v>
      </c>
      <c r="C43" s="448" t="s">
        <v>958</v>
      </c>
      <c r="D43" s="445"/>
      <c r="E43" s="449" t="s">
        <v>959</v>
      </c>
    </row>
    <row r="50" spans="7:11">
      <c r="G50" s="460" t="s">
        <v>961</v>
      </c>
    </row>
    <row r="51" spans="7:11">
      <c r="G51" s="461" t="s">
        <v>962</v>
      </c>
    </row>
    <row r="52" spans="7:11">
      <c r="G52" s="461" t="s">
        <v>963</v>
      </c>
    </row>
    <row r="53" spans="7:11">
      <c r="G53" s="461" t="s">
        <v>964</v>
      </c>
    </row>
    <row r="54" spans="7:11">
      <c r="G54" s="461" t="s">
        <v>965</v>
      </c>
    </row>
    <row r="55" spans="7:11">
      <c r="G55" s="461" t="s">
        <v>966</v>
      </c>
    </row>
    <row r="57" spans="7:11" ht="16.5">
      <c r="G57" s="497" t="s">
        <v>1025</v>
      </c>
      <c r="H57" s="1"/>
      <c r="I57" s="498" t="s">
        <v>1026</v>
      </c>
    </row>
    <row r="59" spans="7:11">
      <c r="G59" s="377" t="s">
        <v>1027</v>
      </c>
      <c r="H59" s="368"/>
      <c r="I59" s="368"/>
      <c r="J59" s="368"/>
      <c r="K59" s="368"/>
    </row>
    <row r="60" spans="7:11">
      <c r="G60" s="368"/>
      <c r="H60" s="133" t="s">
        <v>1028</v>
      </c>
      <c r="I60" s="368"/>
      <c r="J60" s="368"/>
      <c r="K60" s="368"/>
    </row>
    <row r="61" spans="7:11">
      <c r="G61" s="368"/>
      <c r="H61" s="368"/>
      <c r="I61" s="368" t="s">
        <v>1029</v>
      </c>
      <c r="J61" s="368"/>
      <c r="K61" s="368"/>
    </row>
    <row r="62" spans="7:11">
      <c r="G62" s="368"/>
      <c r="H62" s="368"/>
      <c r="I62" s="368" t="s">
        <v>1030</v>
      </c>
      <c r="J62" s="368"/>
      <c r="K62" s="368"/>
    </row>
    <row r="63" spans="7:11">
      <c r="G63" s="368"/>
      <c r="H63" s="368"/>
      <c r="I63" s="368" t="s">
        <v>1031</v>
      </c>
      <c r="J63" s="368"/>
      <c r="K63" s="368"/>
    </row>
    <row r="64" spans="7:11">
      <c r="G64" s="368"/>
      <c r="H64" s="368"/>
      <c r="I64" s="368"/>
      <c r="J64" s="368"/>
      <c r="K64" s="368"/>
    </row>
    <row r="65" spans="7:11">
      <c r="G65" s="368"/>
      <c r="H65" s="133" t="s">
        <v>1032</v>
      </c>
      <c r="I65" s="368"/>
      <c r="J65" s="368"/>
      <c r="K65" s="368"/>
    </row>
    <row r="66" spans="7:11">
      <c r="G66" s="368"/>
      <c r="H66" s="368"/>
      <c r="I66" s="368" t="s">
        <v>1033</v>
      </c>
      <c r="J66" s="368"/>
      <c r="K66" s="368"/>
    </row>
    <row r="67" spans="7:11">
      <c r="G67" s="368"/>
      <c r="H67" s="368"/>
      <c r="I67" s="368" t="s">
        <v>1035</v>
      </c>
      <c r="J67" s="368"/>
      <c r="K67" s="368"/>
    </row>
    <row r="68" spans="7:11">
      <c r="G68" s="368"/>
      <c r="H68" s="368"/>
      <c r="I68" s="368" t="s">
        <v>1034</v>
      </c>
      <c r="J68" s="368"/>
      <c r="K68" s="368"/>
    </row>
    <row r="69" spans="7:11">
      <c r="G69" s="368"/>
      <c r="H69" s="368"/>
      <c r="I69" s="368" t="s">
        <v>1036</v>
      </c>
      <c r="J69" s="368"/>
      <c r="K69" s="368"/>
    </row>
    <row r="70" spans="7:11">
      <c r="G70" s="368"/>
      <c r="H70" s="368"/>
      <c r="I70" s="368" t="s">
        <v>1037</v>
      </c>
      <c r="J70" s="368"/>
      <c r="K70" s="368"/>
    </row>
    <row r="71" spans="7:11">
      <c r="G71" s="368"/>
      <c r="H71" s="368"/>
      <c r="I71" s="368"/>
      <c r="J71" s="368"/>
      <c r="K71" s="368"/>
    </row>
    <row r="72" spans="7:11">
      <c r="G72" s="368"/>
      <c r="H72" s="499" t="s">
        <v>1038</v>
      </c>
      <c r="I72" s="368"/>
      <c r="J72" s="368"/>
      <c r="K72" s="368"/>
    </row>
    <row r="73" spans="7:11">
      <c r="G73" s="368"/>
      <c r="H73" s="368"/>
      <c r="I73" s="368" t="s">
        <v>1039</v>
      </c>
      <c r="J73" s="368"/>
      <c r="K73" s="368" t="s">
        <v>1040</v>
      </c>
    </row>
    <row r="74" spans="7:11">
      <c r="G74" s="368"/>
      <c r="H74" s="368"/>
      <c r="I74" s="368"/>
      <c r="J74" s="368"/>
      <c r="K74" s="368" t="s">
        <v>1041</v>
      </c>
    </row>
    <row r="75" spans="7:11">
      <c r="G75" s="368"/>
      <c r="H75" s="368"/>
      <c r="I75" s="368"/>
      <c r="J75" s="368"/>
      <c r="K75" s="368" t="s">
        <v>1042</v>
      </c>
    </row>
    <row r="76" spans="7:11">
      <c r="G76" s="368"/>
      <c r="H76" s="368"/>
      <c r="I76" s="368"/>
      <c r="J76" s="368"/>
      <c r="K76" s="368"/>
    </row>
    <row r="77" spans="7:11">
      <c r="G77" s="368"/>
      <c r="H77" s="368"/>
      <c r="I77" s="368" t="s">
        <v>1043</v>
      </c>
      <c r="J77" s="368"/>
      <c r="K77" s="368" t="s">
        <v>1044</v>
      </c>
    </row>
    <row r="78" spans="7:11">
      <c r="G78" s="368"/>
      <c r="H78" s="368"/>
      <c r="I78" s="368"/>
      <c r="J78" s="368"/>
      <c r="K78" s="368" t="s">
        <v>1047</v>
      </c>
    </row>
    <row r="79" spans="7:11">
      <c r="G79" s="368"/>
      <c r="H79" s="368"/>
      <c r="I79" s="368"/>
      <c r="J79" s="368"/>
      <c r="K79" s="368" t="s">
        <v>1046</v>
      </c>
    </row>
    <row r="80" spans="7:11">
      <c r="G80" s="368"/>
      <c r="H80" s="368"/>
      <c r="I80" s="368"/>
      <c r="J80" s="368"/>
      <c r="K80" s="368" t="s">
        <v>1045</v>
      </c>
    </row>
  </sheetData>
  <mergeCells count="13">
    <mergeCell ref="E37:E38"/>
    <mergeCell ref="D39:D43"/>
    <mergeCell ref="B2:D2"/>
    <mergeCell ref="D28:D35"/>
    <mergeCell ref="B37:B38"/>
    <mergeCell ref="C37:C38"/>
    <mergeCell ref="C12:C13"/>
    <mergeCell ref="C14:C18"/>
    <mergeCell ref="B3:B4"/>
    <mergeCell ref="D3:D4"/>
    <mergeCell ref="E3:E4"/>
    <mergeCell ref="C5:C7"/>
    <mergeCell ref="C8:C11"/>
  </mergeCells>
  <phoneticPr fontId="2" type="noConversion"/>
  <hyperlinks>
    <hyperlink ref="I57" r:id="rId1" xr:uid="{2DB3DD41-2F31-4BFB-9DEB-05496302222B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DC1D-6B85-4954-B589-CAFF36F332FB}">
  <dimension ref="A1:BA82"/>
  <sheetViews>
    <sheetView view="pageBreakPreview" topLeftCell="A11" zoomScale="85" zoomScaleNormal="70" zoomScaleSheetLayoutView="85" workbookViewId="0">
      <selection activeCell="T8" sqref="T8"/>
    </sheetView>
  </sheetViews>
  <sheetFormatPr defaultRowHeight="15"/>
  <cols>
    <col min="1" max="1" width="1.42578125" style="552" customWidth="1"/>
    <col min="2" max="2" width="8" style="552" customWidth="1"/>
    <col min="3" max="3" width="37.5703125" style="552" customWidth="1"/>
    <col min="4" max="4" width="35.7109375" style="552" customWidth="1"/>
    <col min="5" max="5" width="14.28515625" style="552" customWidth="1"/>
    <col min="6" max="6" width="14.28515625" style="593" customWidth="1"/>
    <col min="7" max="8" width="14.28515625" style="552" customWidth="1"/>
    <col min="9" max="9" width="15.7109375" style="552" customWidth="1"/>
    <col min="10" max="10" width="9.140625" style="552"/>
    <col min="11" max="11" width="14.28515625" style="552" customWidth="1"/>
    <col min="12" max="15" width="11.42578125" style="552" customWidth="1"/>
    <col min="16" max="16" width="7.85546875" style="552" customWidth="1"/>
    <col min="17" max="21" width="6.42578125" style="552" customWidth="1"/>
    <col min="22" max="28" width="5.7109375" style="552" hidden="1" customWidth="1"/>
    <col min="29" max="29" width="57.140625" style="552" customWidth="1"/>
    <col min="30" max="16384" width="9.140625" style="552"/>
  </cols>
  <sheetData>
    <row r="1" spans="1:53" ht="7.5" customHeight="1">
      <c r="A1" s="550"/>
      <c r="B1" s="550"/>
      <c r="C1" s="550"/>
      <c r="D1" s="550"/>
      <c r="E1" s="550"/>
      <c r="F1" s="551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0"/>
      <c r="T1" s="550"/>
      <c r="U1" s="550"/>
      <c r="V1" s="550"/>
      <c r="W1" s="550"/>
      <c r="X1" s="550"/>
      <c r="Y1" s="550"/>
      <c r="Z1" s="550"/>
      <c r="AA1" s="550"/>
      <c r="AB1" s="550"/>
      <c r="AC1" s="550"/>
      <c r="AD1" s="550"/>
      <c r="AE1" s="550"/>
      <c r="AF1" s="550"/>
      <c r="AG1" s="550"/>
      <c r="AH1" s="550"/>
      <c r="AI1" s="550"/>
      <c r="AJ1" s="550"/>
      <c r="AK1" s="550"/>
      <c r="AL1" s="550"/>
      <c r="AM1" s="550"/>
      <c r="AN1" s="550"/>
      <c r="AO1" s="550"/>
      <c r="AP1" s="550"/>
      <c r="AQ1" s="550"/>
      <c r="AR1" s="550"/>
      <c r="AS1" s="550"/>
      <c r="AT1" s="550"/>
      <c r="AU1" s="550"/>
      <c r="AV1" s="550"/>
      <c r="AW1" s="550"/>
      <c r="AX1" s="550"/>
      <c r="AY1" s="550"/>
      <c r="AZ1" s="550"/>
      <c r="BA1" s="550"/>
    </row>
    <row r="2" spans="1:53" ht="20.100000000000001" customHeight="1">
      <c r="A2" s="550"/>
      <c r="B2" s="550"/>
      <c r="C2" s="550"/>
      <c r="D2" s="553" t="s">
        <v>1170</v>
      </c>
      <c r="E2" s="554">
        <v>46023</v>
      </c>
      <c r="F2" s="555"/>
      <c r="G2" s="550"/>
      <c r="H2" s="550"/>
      <c r="I2" s="550"/>
      <c r="J2" s="550"/>
      <c r="K2" s="550"/>
      <c r="L2" s="550"/>
      <c r="M2" s="550"/>
      <c r="N2" s="556" t="s">
        <v>1171</v>
      </c>
      <c r="O2" s="550"/>
      <c r="P2" s="550"/>
      <c r="Q2" s="550"/>
      <c r="R2" s="550"/>
      <c r="S2" s="550"/>
      <c r="T2" s="550"/>
      <c r="U2" s="550"/>
      <c r="V2" s="550"/>
      <c r="W2" s="550"/>
      <c r="X2" s="550"/>
      <c r="Y2" s="550"/>
      <c r="Z2" s="550"/>
      <c r="AA2" s="550"/>
      <c r="AB2" s="550"/>
      <c r="AC2" s="550"/>
      <c r="AD2" s="550"/>
      <c r="AE2" s="550"/>
      <c r="AF2" s="550"/>
      <c r="AG2" s="550"/>
      <c r="AH2" s="550"/>
      <c r="AI2" s="550"/>
      <c r="AJ2" s="550"/>
      <c r="AK2" s="550"/>
      <c r="AL2" s="550"/>
      <c r="AM2" s="550"/>
      <c r="AN2" s="550"/>
      <c r="AO2" s="550"/>
      <c r="AP2" s="550"/>
      <c r="AQ2" s="550"/>
      <c r="AR2" s="550"/>
      <c r="AS2" s="550"/>
      <c r="AT2" s="550"/>
      <c r="AU2" s="550"/>
      <c r="AV2" s="550"/>
      <c r="AW2" s="550"/>
      <c r="AX2" s="550"/>
      <c r="AY2" s="550"/>
      <c r="AZ2" s="550"/>
      <c r="BA2" s="550"/>
    </row>
    <row r="3" spans="1:53" ht="19.5" customHeight="1">
      <c r="A3" s="550"/>
      <c r="B3" s="557"/>
      <c r="C3" s="550"/>
      <c r="D3" s="557"/>
      <c r="E3" s="558"/>
      <c r="F3" s="559" t="s">
        <v>1172</v>
      </c>
      <c r="G3" s="560"/>
      <c r="H3" s="561"/>
      <c r="I3" s="562" t="s">
        <v>1173</v>
      </c>
      <c r="J3" s="557"/>
      <c r="K3" s="563" t="s">
        <v>1174</v>
      </c>
      <c r="L3" s="564"/>
      <c r="M3" s="564"/>
      <c r="N3" s="564"/>
      <c r="O3" s="564"/>
      <c r="P3" s="565"/>
      <c r="Q3" s="566" t="s">
        <v>1175</v>
      </c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50"/>
      <c r="AD3" s="550"/>
      <c r="AE3" s="550"/>
      <c r="AF3" s="550"/>
      <c r="AG3" s="550"/>
      <c r="AH3" s="550"/>
      <c r="AI3" s="550"/>
      <c r="AJ3" s="550"/>
      <c r="AK3" s="550"/>
      <c r="AL3" s="550"/>
      <c r="AM3" s="550"/>
      <c r="AN3" s="550"/>
      <c r="AO3" s="550"/>
      <c r="AP3" s="550"/>
      <c r="AQ3" s="550"/>
      <c r="AR3" s="550"/>
      <c r="AS3" s="550"/>
      <c r="AT3" s="550"/>
      <c r="AU3" s="550"/>
      <c r="AV3" s="550"/>
      <c r="AW3" s="550"/>
      <c r="AX3" s="550"/>
      <c r="AY3" s="550"/>
      <c r="AZ3" s="550"/>
      <c r="BA3" s="550"/>
    </row>
    <row r="4" spans="1:53" ht="37.5" customHeight="1">
      <c r="A4" s="550"/>
      <c r="B4" s="567" t="s">
        <v>1176</v>
      </c>
      <c r="C4" s="568" t="s">
        <v>1177</v>
      </c>
      <c r="D4" s="569" t="s">
        <v>1178</v>
      </c>
      <c r="E4" s="570" t="s">
        <v>1179</v>
      </c>
      <c r="F4" s="569" t="s">
        <v>1180</v>
      </c>
      <c r="G4" s="569" t="s">
        <v>1181</v>
      </c>
      <c r="H4" s="569" t="s">
        <v>1182</v>
      </c>
      <c r="I4" s="567" t="s">
        <v>1183</v>
      </c>
      <c r="J4" s="570" t="s">
        <v>1184</v>
      </c>
      <c r="K4" s="570" t="s">
        <v>1185</v>
      </c>
      <c r="L4" s="570" t="s">
        <v>1186</v>
      </c>
      <c r="M4" s="570" t="s">
        <v>1187</v>
      </c>
      <c r="N4" s="570" t="s">
        <v>1188</v>
      </c>
      <c r="O4" s="570" t="s">
        <v>1189</v>
      </c>
      <c r="P4" s="570" t="s">
        <v>1190</v>
      </c>
      <c r="Q4" s="570" t="s">
        <v>95</v>
      </c>
      <c r="R4" s="570" t="s">
        <v>117</v>
      </c>
      <c r="S4" s="570" t="s">
        <v>1191</v>
      </c>
      <c r="T4" s="570" t="s">
        <v>1192</v>
      </c>
      <c r="U4" s="570" t="s">
        <v>1193</v>
      </c>
      <c r="V4" s="570" t="s">
        <v>216</v>
      </c>
      <c r="W4" s="570" t="s">
        <v>217</v>
      </c>
      <c r="X4" s="570" t="s">
        <v>218</v>
      </c>
      <c r="Y4" s="570" t="s">
        <v>219</v>
      </c>
      <c r="Z4" s="570" t="s">
        <v>220</v>
      </c>
      <c r="AA4" s="570" t="s">
        <v>221</v>
      </c>
      <c r="AB4" s="571" t="s">
        <v>1194</v>
      </c>
      <c r="AC4" s="572" t="s">
        <v>1195</v>
      </c>
      <c r="AD4" s="550"/>
      <c r="AE4" s="550"/>
      <c r="AF4" s="550"/>
      <c r="AG4" s="550"/>
      <c r="AH4" s="550"/>
      <c r="AI4" s="550"/>
      <c r="AJ4" s="550"/>
      <c r="AK4" s="550"/>
      <c r="AL4" s="550"/>
      <c r="AM4" s="550"/>
      <c r="AN4" s="550"/>
      <c r="AO4" s="550"/>
      <c r="AP4" s="550"/>
      <c r="AQ4" s="550"/>
      <c r="AR4" s="550"/>
      <c r="AS4" s="550"/>
      <c r="AT4" s="550"/>
      <c r="AU4" s="550"/>
      <c r="AV4" s="550"/>
      <c r="AW4" s="550"/>
      <c r="AX4" s="550"/>
      <c r="AY4" s="550"/>
      <c r="AZ4" s="550"/>
      <c r="BA4" s="550"/>
    </row>
    <row r="5" spans="1:53" ht="22.5" customHeight="1">
      <c r="A5" s="550"/>
      <c r="B5" s="573" t="s">
        <v>1196</v>
      </c>
      <c r="C5" s="574" t="s">
        <v>1197</v>
      </c>
      <c r="D5" s="575" t="s">
        <v>1198</v>
      </c>
      <c r="E5" s="576" t="s">
        <v>1199</v>
      </c>
      <c r="F5" s="577">
        <v>46023</v>
      </c>
      <c r="G5" s="577">
        <v>46143</v>
      </c>
      <c r="H5" s="577">
        <v>46174</v>
      </c>
      <c r="I5" s="578"/>
      <c r="J5" s="576"/>
      <c r="K5" s="579">
        <f>$E$2</f>
        <v>46023</v>
      </c>
      <c r="L5" s="580">
        <f t="shared" ref="L5:L18" si="0">IF(ISBLANK(F5),0,F5-K5)</f>
        <v>0</v>
      </c>
      <c r="M5" s="581">
        <f>$I5*$P5</f>
        <v>0</v>
      </c>
      <c r="N5" s="581">
        <f t="shared" ref="N5:N18" si="1">P5-M5</f>
        <v>120</v>
      </c>
      <c r="O5" s="580">
        <f t="shared" ref="O5:O18" si="2">IF(ISBLANK(H5),0,(H5-F5)-P5)</f>
        <v>31</v>
      </c>
      <c r="P5" s="582">
        <f t="shared" ref="P5:P18" si="3">IF(ISBLANK(G5),0,G5-F5)</f>
        <v>120</v>
      </c>
      <c r="Q5" s="583"/>
      <c r="R5" s="584"/>
      <c r="S5" s="584"/>
      <c r="T5" s="584"/>
      <c r="U5" s="584"/>
      <c r="V5" s="584"/>
      <c r="W5" s="584"/>
      <c r="X5" s="584"/>
      <c r="Y5" s="584"/>
      <c r="Z5" s="584"/>
      <c r="AA5" s="584"/>
      <c r="AB5" s="584"/>
      <c r="AC5" s="585"/>
      <c r="AD5" s="550"/>
      <c r="AE5" s="550"/>
      <c r="AF5" s="550"/>
      <c r="AG5" s="550"/>
      <c r="AH5" s="550"/>
      <c r="AI5" s="550"/>
      <c r="AJ5" s="550"/>
      <c r="AK5" s="550"/>
      <c r="AL5" s="550"/>
      <c r="AM5" s="550"/>
      <c r="AN5" s="550"/>
      <c r="AO5" s="550"/>
      <c r="AP5" s="550"/>
      <c r="AQ5" s="550"/>
      <c r="AR5" s="550"/>
      <c r="AS5" s="550"/>
      <c r="AT5" s="550"/>
      <c r="AU5" s="550"/>
      <c r="AV5" s="550"/>
      <c r="AW5" s="550"/>
      <c r="AX5" s="550"/>
      <c r="AY5" s="550"/>
      <c r="AZ5" s="550"/>
      <c r="BA5" s="550"/>
    </row>
    <row r="6" spans="1:53" ht="22.5" customHeight="1">
      <c r="A6" s="550"/>
      <c r="B6" s="573"/>
      <c r="C6" s="574"/>
      <c r="D6" s="575" t="s">
        <v>1200</v>
      </c>
      <c r="E6" s="576" t="s">
        <v>1201</v>
      </c>
      <c r="F6" s="577">
        <v>46023</v>
      </c>
      <c r="G6" s="577">
        <v>46143</v>
      </c>
      <c r="H6" s="577">
        <v>46174</v>
      </c>
      <c r="I6" s="578"/>
      <c r="J6" s="576"/>
      <c r="K6" s="579">
        <f t="shared" ref="K6:K18" si="4">$E$2</f>
        <v>46023</v>
      </c>
      <c r="L6" s="580">
        <f t="shared" si="0"/>
        <v>0</v>
      </c>
      <c r="M6" s="581">
        <f t="shared" ref="M6:M18" si="5">$I6*$P6</f>
        <v>0</v>
      </c>
      <c r="N6" s="581">
        <f t="shared" si="1"/>
        <v>120</v>
      </c>
      <c r="O6" s="580">
        <f t="shared" si="2"/>
        <v>31</v>
      </c>
      <c r="P6" s="582">
        <f t="shared" si="3"/>
        <v>120</v>
      </c>
      <c r="Q6" s="583"/>
      <c r="R6" s="584"/>
      <c r="S6" s="584"/>
      <c r="T6" s="584"/>
      <c r="U6" s="584"/>
      <c r="V6" s="584"/>
      <c r="W6" s="584"/>
      <c r="X6" s="584"/>
      <c r="Y6" s="584"/>
      <c r="Z6" s="584"/>
      <c r="AA6" s="584"/>
      <c r="AB6" s="584"/>
      <c r="AC6" s="585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0"/>
      <c r="AW6" s="550"/>
      <c r="AX6" s="550"/>
      <c r="AY6" s="550"/>
      <c r="AZ6" s="550"/>
      <c r="BA6" s="550"/>
    </row>
    <row r="7" spans="1:53" ht="22.5" customHeight="1">
      <c r="A7" s="550"/>
      <c r="B7" s="573" t="s">
        <v>1196</v>
      </c>
      <c r="C7" s="574" t="s">
        <v>1202</v>
      </c>
      <c r="D7" s="575" t="s">
        <v>1203</v>
      </c>
      <c r="E7" s="576" t="s">
        <v>1204</v>
      </c>
      <c r="F7" s="577">
        <v>46023</v>
      </c>
      <c r="G7" s="577">
        <v>46143</v>
      </c>
      <c r="H7" s="577">
        <v>46174</v>
      </c>
      <c r="I7" s="578"/>
      <c r="J7" s="576"/>
      <c r="K7" s="579">
        <f t="shared" si="4"/>
        <v>46023</v>
      </c>
      <c r="L7" s="580">
        <f t="shared" si="0"/>
        <v>0</v>
      </c>
      <c r="M7" s="581">
        <f t="shared" si="5"/>
        <v>0</v>
      </c>
      <c r="N7" s="581">
        <f t="shared" si="1"/>
        <v>120</v>
      </c>
      <c r="O7" s="580">
        <f t="shared" si="2"/>
        <v>31</v>
      </c>
      <c r="P7" s="582">
        <f t="shared" si="3"/>
        <v>120</v>
      </c>
      <c r="Q7" s="583"/>
      <c r="R7" s="584"/>
      <c r="S7" s="584"/>
      <c r="T7" s="584"/>
      <c r="U7" s="584"/>
      <c r="V7" s="584"/>
      <c r="W7" s="584"/>
      <c r="X7" s="584"/>
      <c r="Y7" s="584"/>
      <c r="Z7" s="584"/>
      <c r="AA7" s="584"/>
      <c r="AB7" s="584"/>
      <c r="AC7" s="585"/>
      <c r="AD7" s="550"/>
      <c r="AE7" s="550"/>
      <c r="AF7" s="550"/>
      <c r="AG7" s="550"/>
      <c r="AH7" s="550"/>
      <c r="AI7" s="550"/>
      <c r="AJ7" s="550"/>
      <c r="AK7" s="550"/>
      <c r="AL7" s="550"/>
      <c r="AM7" s="550"/>
      <c r="AN7" s="550"/>
      <c r="AO7" s="550"/>
      <c r="AP7" s="550"/>
      <c r="AQ7" s="550"/>
      <c r="AR7" s="550"/>
      <c r="AS7" s="550"/>
      <c r="AT7" s="550"/>
      <c r="AU7" s="550"/>
      <c r="AV7" s="550"/>
      <c r="AW7" s="550"/>
      <c r="AX7" s="550"/>
      <c r="AY7" s="550"/>
      <c r="AZ7" s="550"/>
      <c r="BA7" s="550"/>
    </row>
    <row r="8" spans="1:53" ht="22.5" customHeight="1">
      <c r="A8" s="550"/>
      <c r="B8" s="573"/>
      <c r="C8" s="574"/>
      <c r="D8" s="575" t="s">
        <v>1205</v>
      </c>
      <c r="E8" s="576" t="s">
        <v>1204</v>
      </c>
      <c r="F8" s="577">
        <v>46023</v>
      </c>
      <c r="G8" s="577">
        <v>46143</v>
      </c>
      <c r="H8" s="577">
        <v>46174</v>
      </c>
      <c r="I8" s="578"/>
      <c r="J8" s="576"/>
      <c r="K8" s="579">
        <f t="shared" si="4"/>
        <v>46023</v>
      </c>
      <c r="L8" s="580">
        <f t="shared" si="0"/>
        <v>0</v>
      </c>
      <c r="M8" s="581">
        <f t="shared" si="5"/>
        <v>0</v>
      </c>
      <c r="N8" s="581">
        <f t="shared" si="1"/>
        <v>120</v>
      </c>
      <c r="O8" s="580">
        <f t="shared" si="2"/>
        <v>31</v>
      </c>
      <c r="P8" s="582">
        <f t="shared" si="3"/>
        <v>120</v>
      </c>
      <c r="Q8" s="583"/>
      <c r="R8" s="584"/>
      <c r="S8" s="584"/>
      <c r="T8" s="584"/>
      <c r="U8" s="584"/>
      <c r="V8" s="584"/>
      <c r="W8" s="584"/>
      <c r="X8" s="584"/>
      <c r="Y8" s="584"/>
      <c r="Z8" s="584"/>
      <c r="AA8" s="584"/>
      <c r="AB8" s="584"/>
      <c r="AC8" s="585"/>
      <c r="AD8" s="550"/>
      <c r="AE8" s="550"/>
      <c r="AF8" s="550"/>
      <c r="AG8" s="550"/>
      <c r="AH8" s="550"/>
      <c r="AI8" s="550"/>
      <c r="AJ8" s="550"/>
      <c r="AK8" s="550"/>
      <c r="AL8" s="550"/>
      <c r="AM8" s="550"/>
      <c r="AN8" s="550"/>
      <c r="AO8" s="550"/>
      <c r="AP8" s="550"/>
      <c r="AQ8" s="550"/>
      <c r="AR8" s="550"/>
      <c r="AS8" s="550"/>
      <c r="AT8" s="550"/>
      <c r="AU8" s="550"/>
      <c r="AV8" s="550"/>
      <c r="AW8" s="550"/>
      <c r="AX8" s="550"/>
      <c r="AY8" s="550"/>
      <c r="AZ8" s="550"/>
      <c r="BA8" s="550"/>
    </row>
    <row r="9" spans="1:53" ht="22.5" customHeight="1">
      <c r="A9" s="550"/>
      <c r="B9" s="573"/>
      <c r="C9" s="574"/>
      <c r="D9" s="575" t="s">
        <v>1206</v>
      </c>
      <c r="E9" s="576" t="s">
        <v>1207</v>
      </c>
      <c r="F9" s="577">
        <v>46023</v>
      </c>
      <c r="G9" s="577">
        <v>46143</v>
      </c>
      <c r="H9" s="577">
        <v>46174</v>
      </c>
      <c r="I9" s="578"/>
      <c r="J9" s="576"/>
      <c r="K9" s="579">
        <f t="shared" si="4"/>
        <v>46023</v>
      </c>
      <c r="L9" s="580">
        <f t="shared" si="0"/>
        <v>0</v>
      </c>
      <c r="M9" s="581">
        <f t="shared" si="5"/>
        <v>0</v>
      </c>
      <c r="N9" s="581">
        <f t="shared" si="1"/>
        <v>120</v>
      </c>
      <c r="O9" s="580">
        <f t="shared" si="2"/>
        <v>31</v>
      </c>
      <c r="P9" s="582">
        <f t="shared" si="3"/>
        <v>120</v>
      </c>
      <c r="Q9" s="583"/>
      <c r="R9" s="584"/>
      <c r="S9" s="584"/>
      <c r="T9" s="584"/>
      <c r="U9" s="584"/>
      <c r="V9" s="584"/>
      <c r="W9" s="584"/>
      <c r="X9" s="584"/>
      <c r="Y9" s="584"/>
      <c r="Z9" s="584"/>
      <c r="AA9" s="584"/>
      <c r="AB9" s="584"/>
      <c r="AC9" s="585"/>
      <c r="AD9" s="550"/>
      <c r="AE9" s="550"/>
      <c r="AF9" s="550"/>
      <c r="AG9" s="550"/>
      <c r="AH9" s="550"/>
      <c r="AI9" s="550"/>
      <c r="AJ9" s="550"/>
      <c r="AK9" s="550"/>
      <c r="AL9" s="550"/>
      <c r="AM9" s="550"/>
      <c r="AN9" s="550"/>
      <c r="AO9" s="550"/>
      <c r="AP9" s="550"/>
      <c r="AQ9" s="550"/>
      <c r="AR9" s="550"/>
      <c r="AS9" s="550"/>
      <c r="AT9" s="550"/>
      <c r="AU9" s="550"/>
      <c r="AV9" s="550"/>
      <c r="AW9" s="550"/>
      <c r="AX9" s="550"/>
      <c r="AY9" s="550"/>
      <c r="AZ9" s="550"/>
      <c r="BA9" s="550"/>
    </row>
    <row r="10" spans="1:53" ht="22.5" customHeight="1">
      <c r="A10" s="550"/>
      <c r="B10" s="573" t="s">
        <v>1196</v>
      </c>
      <c r="C10" s="574" t="s">
        <v>1208</v>
      </c>
      <c r="D10" s="575" t="s">
        <v>1209</v>
      </c>
      <c r="E10" s="576" t="s">
        <v>1201</v>
      </c>
      <c r="F10" s="577">
        <v>46023</v>
      </c>
      <c r="G10" s="577">
        <v>46143</v>
      </c>
      <c r="H10" s="577">
        <v>46174</v>
      </c>
      <c r="I10" s="578"/>
      <c r="J10" s="576"/>
      <c r="K10" s="579">
        <f t="shared" si="4"/>
        <v>46023</v>
      </c>
      <c r="L10" s="580">
        <f t="shared" si="0"/>
        <v>0</v>
      </c>
      <c r="M10" s="581">
        <f t="shared" si="5"/>
        <v>0</v>
      </c>
      <c r="N10" s="581">
        <f t="shared" si="1"/>
        <v>120</v>
      </c>
      <c r="O10" s="580">
        <f t="shared" si="2"/>
        <v>31</v>
      </c>
      <c r="P10" s="582">
        <f t="shared" si="3"/>
        <v>120</v>
      </c>
      <c r="Q10" s="583"/>
      <c r="R10" s="584"/>
      <c r="S10" s="584"/>
      <c r="T10" s="584"/>
      <c r="U10" s="584"/>
      <c r="V10" s="584"/>
      <c r="W10" s="584"/>
      <c r="X10" s="584"/>
      <c r="Y10" s="584"/>
      <c r="Z10" s="584"/>
      <c r="AA10" s="584"/>
      <c r="AB10" s="584"/>
      <c r="AC10" s="585"/>
      <c r="AD10" s="550"/>
      <c r="AE10" s="550"/>
      <c r="AF10" s="550"/>
      <c r="AG10" s="550"/>
      <c r="AH10" s="550"/>
      <c r="AI10" s="550"/>
      <c r="AJ10" s="550"/>
      <c r="AK10" s="550"/>
      <c r="AL10" s="550"/>
      <c r="AM10" s="550"/>
      <c r="AN10" s="550"/>
      <c r="AO10" s="550"/>
      <c r="AP10" s="550"/>
      <c r="AQ10" s="550"/>
      <c r="AR10" s="550"/>
      <c r="AS10" s="550"/>
      <c r="AT10" s="550"/>
      <c r="AU10" s="550"/>
      <c r="AV10" s="550"/>
      <c r="AW10" s="550"/>
      <c r="AX10" s="550"/>
      <c r="AY10" s="550"/>
      <c r="AZ10" s="550"/>
      <c r="BA10" s="550"/>
    </row>
    <row r="11" spans="1:53" ht="22.5" customHeight="1">
      <c r="A11" s="550"/>
      <c r="B11" s="573"/>
      <c r="C11" s="574"/>
      <c r="D11" s="575" t="s">
        <v>1210</v>
      </c>
      <c r="E11" s="576" t="s">
        <v>1211</v>
      </c>
      <c r="F11" s="577">
        <v>46023</v>
      </c>
      <c r="G11" s="577">
        <v>46143</v>
      </c>
      <c r="H11" s="577">
        <v>46174</v>
      </c>
      <c r="I11" s="578"/>
      <c r="J11" s="576"/>
      <c r="K11" s="579">
        <f t="shared" si="4"/>
        <v>46023</v>
      </c>
      <c r="L11" s="580">
        <f t="shared" si="0"/>
        <v>0</v>
      </c>
      <c r="M11" s="581">
        <f t="shared" si="5"/>
        <v>0</v>
      </c>
      <c r="N11" s="581">
        <f t="shared" si="1"/>
        <v>120</v>
      </c>
      <c r="O11" s="580">
        <f t="shared" si="2"/>
        <v>31</v>
      </c>
      <c r="P11" s="582">
        <f t="shared" si="3"/>
        <v>120</v>
      </c>
      <c r="Q11" s="583"/>
      <c r="R11" s="584"/>
      <c r="S11" s="584"/>
      <c r="T11" s="584"/>
      <c r="U11" s="584"/>
      <c r="V11" s="584"/>
      <c r="W11" s="584"/>
      <c r="X11" s="584"/>
      <c r="Y11" s="584"/>
      <c r="Z11" s="584"/>
      <c r="AA11" s="584"/>
      <c r="AB11" s="584"/>
      <c r="AC11" s="585"/>
      <c r="AD11" s="550"/>
      <c r="AE11" s="550"/>
      <c r="AF11" s="550"/>
      <c r="AG11" s="550"/>
      <c r="AH11" s="550"/>
      <c r="AI11" s="550"/>
      <c r="AJ11" s="550"/>
      <c r="AK11" s="550"/>
      <c r="AL11" s="550"/>
      <c r="AM11" s="550"/>
      <c r="AN11" s="550"/>
      <c r="AO11" s="550"/>
      <c r="AP11" s="550"/>
      <c r="AQ11" s="550"/>
      <c r="AR11" s="550"/>
      <c r="AS11" s="550"/>
      <c r="AT11" s="550"/>
      <c r="AU11" s="550"/>
      <c r="AV11" s="550"/>
      <c r="AW11" s="550"/>
      <c r="AX11" s="550"/>
      <c r="AY11" s="550"/>
      <c r="AZ11" s="550"/>
      <c r="BA11" s="550"/>
    </row>
    <row r="12" spans="1:53" ht="22.5" customHeight="1">
      <c r="A12" s="550"/>
      <c r="B12" s="573"/>
      <c r="C12" s="574"/>
      <c r="D12" s="575" t="s">
        <v>1212</v>
      </c>
      <c r="E12" s="576" t="s">
        <v>1211</v>
      </c>
      <c r="F12" s="577">
        <v>46023</v>
      </c>
      <c r="G12" s="577">
        <v>46143</v>
      </c>
      <c r="H12" s="577">
        <v>46174</v>
      </c>
      <c r="I12" s="578"/>
      <c r="J12" s="576"/>
      <c r="K12" s="579">
        <f t="shared" si="4"/>
        <v>46023</v>
      </c>
      <c r="L12" s="580">
        <f t="shared" si="0"/>
        <v>0</v>
      </c>
      <c r="M12" s="581">
        <f t="shared" si="5"/>
        <v>0</v>
      </c>
      <c r="N12" s="581">
        <f t="shared" si="1"/>
        <v>120</v>
      </c>
      <c r="O12" s="580">
        <f t="shared" si="2"/>
        <v>31</v>
      </c>
      <c r="P12" s="582">
        <f t="shared" si="3"/>
        <v>120</v>
      </c>
      <c r="Q12" s="584"/>
      <c r="R12" s="584"/>
      <c r="S12" s="584"/>
      <c r="T12" s="584"/>
      <c r="U12" s="584"/>
      <c r="V12" s="584"/>
      <c r="W12" s="584"/>
      <c r="X12" s="584"/>
      <c r="Y12" s="584"/>
      <c r="Z12" s="584"/>
      <c r="AA12" s="584"/>
      <c r="AB12" s="584"/>
      <c r="AC12" s="585"/>
      <c r="AD12" s="550"/>
      <c r="AE12" s="550"/>
      <c r="AF12" s="550"/>
      <c r="AG12" s="550"/>
      <c r="AH12" s="550"/>
      <c r="AI12" s="550"/>
      <c r="AJ12" s="550"/>
      <c r="AK12" s="550"/>
      <c r="AL12" s="550"/>
      <c r="AM12" s="550"/>
      <c r="AN12" s="550"/>
      <c r="AO12" s="550"/>
      <c r="AP12" s="550"/>
      <c r="AQ12" s="550"/>
      <c r="AR12" s="550"/>
      <c r="AS12" s="550"/>
      <c r="AT12" s="550"/>
      <c r="AU12" s="550"/>
      <c r="AV12" s="550"/>
      <c r="AW12" s="550"/>
      <c r="AX12" s="550"/>
      <c r="AY12" s="550"/>
      <c r="AZ12" s="550"/>
      <c r="BA12" s="550"/>
    </row>
    <row r="13" spans="1:53" ht="22.5" customHeight="1">
      <c r="A13" s="550"/>
      <c r="B13" s="573"/>
      <c r="C13" s="574"/>
      <c r="D13" s="575" t="s">
        <v>1213</v>
      </c>
      <c r="E13" s="576" t="s">
        <v>1214</v>
      </c>
      <c r="F13" s="577">
        <v>46023</v>
      </c>
      <c r="G13" s="577">
        <v>46143</v>
      </c>
      <c r="H13" s="577">
        <v>46174</v>
      </c>
      <c r="I13" s="578"/>
      <c r="J13" s="576"/>
      <c r="K13" s="579">
        <f t="shared" si="4"/>
        <v>46023</v>
      </c>
      <c r="L13" s="580">
        <f t="shared" si="0"/>
        <v>0</v>
      </c>
      <c r="M13" s="581">
        <f t="shared" si="5"/>
        <v>0</v>
      </c>
      <c r="N13" s="581">
        <f t="shared" si="1"/>
        <v>120</v>
      </c>
      <c r="O13" s="580">
        <f t="shared" si="2"/>
        <v>31</v>
      </c>
      <c r="P13" s="582">
        <f t="shared" si="3"/>
        <v>120</v>
      </c>
      <c r="Q13" s="584"/>
      <c r="R13" s="584"/>
      <c r="S13" s="584"/>
      <c r="T13" s="584"/>
      <c r="U13" s="584"/>
      <c r="V13" s="584"/>
      <c r="W13" s="584"/>
      <c r="X13" s="584"/>
      <c r="Y13" s="584"/>
      <c r="Z13" s="584"/>
      <c r="AA13" s="584"/>
      <c r="AB13" s="584"/>
      <c r="AC13" s="585"/>
      <c r="AD13" s="550"/>
      <c r="AE13" s="550"/>
      <c r="AF13" s="550"/>
      <c r="AG13" s="550"/>
      <c r="AH13" s="550"/>
      <c r="AI13" s="550"/>
      <c r="AJ13" s="550"/>
      <c r="AK13" s="550"/>
      <c r="AL13" s="550"/>
      <c r="AM13" s="550"/>
      <c r="AN13" s="550"/>
      <c r="AO13" s="550"/>
      <c r="AP13" s="550"/>
      <c r="AQ13" s="550"/>
      <c r="AR13" s="550"/>
      <c r="AS13" s="550"/>
      <c r="AT13" s="550"/>
      <c r="AU13" s="550"/>
      <c r="AV13" s="550"/>
      <c r="AW13" s="550"/>
      <c r="AX13" s="550"/>
      <c r="AY13" s="550"/>
      <c r="AZ13" s="550"/>
      <c r="BA13" s="550"/>
    </row>
    <row r="14" spans="1:53" ht="22.5" customHeight="1">
      <c r="A14" s="550"/>
      <c r="B14" s="573" t="s">
        <v>1215</v>
      </c>
      <c r="C14" s="574" t="s">
        <v>1216</v>
      </c>
      <c r="D14" s="575" t="s">
        <v>1217</v>
      </c>
      <c r="E14" s="576" t="s">
        <v>1211</v>
      </c>
      <c r="F14" s="577">
        <v>46023</v>
      </c>
      <c r="G14" s="577">
        <v>46143</v>
      </c>
      <c r="H14" s="577">
        <v>46174</v>
      </c>
      <c r="I14" s="578"/>
      <c r="J14" s="576"/>
      <c r="K14" s="579">
        <f t="shared" si="4"/>
        <v>46023</v>
      </c>
      <c r="L14" s="580">
        <f t="shared" si="0"/>
        <v>0</v>
      </c>
      <c r="M14" s="581">
        <f t="shared" si="5"/>
        <v>0</v>
      </c>
      <c r="N14" s="581">
        <f t="shared" si="1"/>
        <v>120</v>
      </c>
      <c r="O14" s="580">
        <f t="shared" si="2"/>
        <v>31</v>
      </c>
      <c r="P14" s="582">
        <f t="shared" si="3"/>
        <v>120</v>
      </c>
      <c r="Q14" s="583"/>
      <c r="R14" s="584"/>
      <c r="S14" s="584"/>
      <c r="T14" s="584"/>
      <c r="U14" s="584"/>
      <c r="V14" s="584"/>
      <c r="W14" s="584"/>
      <c r="X14" s="584"/>
      <c r="Y14" s="584"/>
      <c r="Z14" s="584"/>
      <c r="AA14" s="584"/>
      <c r="AB14" s="584"/>
      <c r="AC14" s="585"/>
      <c r="AD14" s="550"/>
      <c r="AE14" s="550"/>
      <c r="AF14" s="550"/>
      <c r="AG14" s="550"/>
      <c r="AH14" s="550"/>
      <c r="AI14" s="550"/>
      <c r="AJ14" s="550"/>
      <c r="AK14" s="550"/>
      <c r="AL14" s="550"/>
      <c r="AM14" s="550"/>
      <c r="AN14" s="550"/>
      <c r="AO14" s="550"/>
      <c r="AP14" s="550"/>
      <c r="AQ14" s="550"/>
      <c r="AR14" s="550"/>
      <c r="AS14" s="550"/>
      <c r="AT14" s="550"/>
      <c r="AU14" s="550"/>
      <c r="AV14" s="550"/>
      <c r="AW14" s="550"/>
      <c r="AX14" s="550"/>
      <c r="AY14" s="550"/>
      <c r="AZ14" s="550"/>
      <c r="BA14" s="550"/>
    </row>
    <row r="15" spans="1:53" ht="22.5" customHeight="1">
      <c r="A15" s="550"/>
      <c r="B15" s="573"/>
      <c r="C15" s="574"/>
      <c r="D15" s="575" t="s">
        <v>1218</v>
      </c>
      <c r="E15" s="576" t="s">
        <v>1211</v>
      </c>
      <c r="F15" s="577">
        <v>46023</v>
      </c>
      <c r="G15" s="577">
        <v>46143</v>
      </c>
      <c r="H15" s="577">
        <v>46174</v>
      </c>
      <c r="I15" s="578"/>
      <c r="J15" s="576"/>
      <c r="K15" s="579">
        <f t="shared" si="4"/>
        <v>46023</v>
      </c>
      <c r="L15" s="580">
        <f t="shared" si="0"/>
        <v>0</v>
      </c>
      <c r="M15" s="581">
        <f t="shared" si="5"/>
        <v>0</v>
      </c>
      <c r="N15" s="581">
        <f t="shared" si="1"/>
        <v>120</v>
      </c>
      <c r="O15" s="580">
        <f t="shared" si="2"/>
        <v>31</v>
      </c>
      <c r="P15" s="582">
        <f t="shared" si="3"/>
        <v>120</v>
      </c>
      <c r="Q15" s="583"/>
      <c r="R15" s="584"/>
      <c r="S15" s="584"/>
      <c r="T15" s="584"/>
      <c r="U15" s="584"/>
      <c r="V15" s="584"/>
      <c r="W15" s="584"/>
      <c r="X15" s="584"/>
      <c r="Y15" s="584"/>
      <c r="Z15" s="584"/>
      <c r="AA15" s="584"/>
      <c r="AB15" s="584"/>
      <c r="AC15" s="585"/>
      <c r="AD15" s="550"/>
      <c r="AE15" s="550"/>
      <c r="AF15" s="550"/>
      <c r="AG15" s="550"/>
      <c r="AH15" s="550"/>
      <c r="AI15" s="550"/>
      <c r="AJ15" s="550"/>
      <c r="AK15" s="550"/>
      <c r="AL15" s="550"/>
      <c r="AM15" s="550"/>
      <c r="AN15" s="550"/>
      <c r="AO15" s="550"/>
      <c r="AP15" s="550"/>
      <c r="AQ15" s="550"/>
      <c r="AR15" s="550"/>
      <c r="AS15" s="550"/>
      <c r="AT15" s="550"/>
      <c r="AU15" s="550"/>
      <c r="AV15" s="550"/>
      <c r="AW15" s="550"/>
      <c r="AX15" s="550"/>
      <c r="AY15" s="550"/>
      <c r="AZ15" s="550"/>
      <c r="BA15" s="550"/>
    </row>
    <row r="16" spans="1:53" ht="22.5" customHeight="1">
      <c r="A16" s="550"/>
      <c r="B16" s="573" t="s">
        <v>1215</v>
      </c>
      <c r="C16" s="574" t="s">
        <v>1219</v>
      </c>
      <c r="D16" s="575" t="s">
        <v>1220</v>
      </c>
      <c r="E16" s="576" t="s">
        <v>1214</v>
      </c>
      <c r="F16" s="577">
        <v>46023</v>
      </c>
      <c r="G16" s="577">
        <v>46143</v>
      </c>
      <c r="H16" s="577">
        <v>46174</v>
      </c>
      <c r="I16" s="578"/>
      <c r="J16" s="576"/>
      <c r="K16" s="579">
        <f t="shared" si="4"/>
        <v>46023</v>
      </c>
      <c r="L16" s="580">
        <f t="shared" si="0"/>
        <v>0</v>
      </c>
      <c r="M16" s="581">
        <f t="shared" si="5"/>
        <v>0</v>
      </c>
      <c r="N16" s="581">
        <f t="shared" si="1"/>
        <v>120</v>
      </c>
      <c r="O16" s="580">
        <f t="shared" si="2"/>
        <v>31</v>
      </c>
      <c r="P16" s="582">
        <f t="shared" si="3"/>
        <v>120</v>
      </c>
      <c r="Q16" s="583"/>
      <c r="R16" s="584"/>
      <c r="S16" s="584"/>
      <c r="T16" s="584"/>
      <c r="U16" s="584"/>
      <c r="V16" s="584"/>
      <c r="W16" s="584"/>
      <c r="X16" s="584"/>
      <c r="Y16" s="584"/>
      <c r="Z16" s="584"/>
      <c r="AA16" s="584"/>
      <c r="AB16" s="584"/>
      <c r="AC16" s="585"/>
      <c r="AD16" s="550"/>
      <c r="AE16" s="550"/>
      <c r="AF16" s="550"/>
      <c r="AG16" s="550"/>
      <c r="AH16" s="550"/>
      <c r="AI16" s="550"/>
      <c r="AJ16" s="550"/>
      <c r="AK16" s="550"/>
      <c r="AL16" s="550"/>
      <c r="AM16" s="550"/>
      <c r="AN16" s="550"/>
      <c r="AO16" s="550"/>
      <c r="AP16" s="550"/>
      <c r="AQ16" s="550"/>
      <c r="AR16" s="550"/>
      <c r="AS16" s="550"/>
      <c r="AT16" s="550"/>
      <c r="AU16" s="550"/>
      <c r="AV16" s="550"/>
      <c r="AW16" s="550"/>
      <c r="AX16" s="550"/>
      <c r="AY16" s="550"/>
      <c r="AZ16" s="550"/>
      <c r="BA16" s="550"/>
    </row>
    <row r="17" spans="1:53" ht="22.5" customHeight="1">
      <c r="A17" s="550"/>
      <c r="B17" s="573"/>
      <c r="C17" s="574"/>
      <c r="D17" s="575" t="s">
        <v>1221</v>
      </c>
      <c r="E17" s="576" t="s">
        <v>1214</v>
      </c>
      <c r="F17" s="577">
        <v>46023</v>
      </c>
      <c r="G17" s="577">
        <v>46143</v>
      </c>
      <c r="H17" s="577">
        <v>46174</v>
      </c>
      <c r="I17" s="578"/>
      <c r="J17" s="576"/>
      <c r="K17" s="579">
        <f t="shared" si="4"/>
        <v>46023</v>
      </c>
      <c r="L17" s="580">
        <f t="shared" si="0"/>
        <v>0</v>
      </c>
      <c r="M17" s="581">
        <f t="shared" si="5"/>
        <v>0</v>
      </c>
      <c r="N17" s="581">
        <f t="shared" si="1"/>
        <v>120</v>
      </c>
      <c r="O17" s="580">
        <f t="shared" si="2"/>
        <v>31</v>
      </c>
      <c r="P17" s="582">
        <f t="shared" si="3"/>
        <v>120</v>
      </c>
      <c r="Q17" s="583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5"/>
      <c r="AD17" s="550"/>
      <c r="AE17" s="550"/>
      <c r="AF17" s="550"/>
      <c r="AG17" s="550"/>
      <c r="AH17" s="550"/>
      <c r="AI17" s="550"/>
      <c r="AJ17" s="550"/>
      <c r="AK17" s="550"/>
      <c r="AL17" s="550"/>
      <c r="AM17" s="550"/>
      <c r="AN17" s="550"/>
      <c r="AO17" s="550"/>
      <c r="AP17" s="550"/>
      <c r="AQ17" s="550"/>
      <c r="AR17" s="550"/>
      <c r="AS17" s="550"/>
      <c r="AT17" s="550"/>
      <c r="AU17" s="550"/>
      <c r="AV17" s="550"/>
      <c r="AW17" s="550"/>
      <c r="AX17" s="550"/>
      <c r="AY17" s="550"/>
      <c r="AZ17" s="550"/>
      <c r="BA17" s="550"/>
    </row>
    <row r="18" spans="1:53" ht="22.5" customHeight="1">
      <c r="A18" s="550"/>
      <c r="B18" s="573"/>
      <c r="C18" s="574"/>
      <c r="D18" s="575" t="s">
        <v>1222</v>
      </c>
      <c r="E18" s="576" t="s">
        <v>1223</v>
      </c>
      <c r="F18" s="577">
        <v>46041</v>
      </c>
      <c r="G18" s="577">
        <v>46048</v>
      </c>
      <c r="H18" s="577">
        <v>46049</v>
      </c>
      <c r="I18" s="578">
        <v>1</v>
      </c>
      <c r="J18" s="576" t="s">
        <v>1224</v>
      </c>
      <c r="K18" s="579">
        <f t="shared" si="4"/>
        <v>46023</v>
      </c>
      <c r="L18" s="580">
        <f t="shared" si="0"/>
        <v>18</v>
      </c>
      <c r="M18" s="581">
        <f t="shared" si="5"/>
        <v>7</v>
      </c>
      <c r="N18" s="581">
        <f t="shared" si="1"/>
        <v>0</v>
      </c>
      <c r="O18" s="580">
        <f t="shared" si="2"/>
        <v>1</v>
      </c>
      <c r="P18" s="582">
        <f t="shared" si="3"/>
        <v>7</v>
      </c>
      <c r="Q18" s="583" t="s">
        <v>1225</v>
      </c>
      <c r="R18" s="584" t="s">
        <v>1225</v>
      </c>
      <c r="S18" s="584" t="s">
        <v>1225</v>
      </c>
      <c r="T18" s="584" t="s">
        <v>1225</v>
      </c>
      <c r="U18" s="584" t="s">
        <v>1225</v>
      </c>
      <c r="V18" s="584"/>
      <c r="W18" s="584"/>
      <c r="X18" s="584"/>
      <c r="Y18" s="584"/>
      <c r="Z18" s="584"/>
      <c r="AA18" s="584"/>
      <c r="AB18" s="584"/>
      <c r="AC18" s="585"/>
      <c r="AD18" s="550"/>
      <c r="AE18" s="550"/>
      <c r="AF18" s="550"/>
      <c r="AG18" s="550"/>
      <c r="AH18" s="550"/>
      <c r="AI18" s="550"/>
      <c r="AJ18" s="550"/>
      <c r="AK18" s="550"/>
      <c r="AL18" s="550"/>
      <c r="AM18" s="550"/>
      <c r="AN18" s="550"/>
      <c r="AO18" s="550"/>
      <c r="AP18" s="550"/>
      <c r="AQ18" s="550"/>
      <c r="AR18" s="550"/>
      <c r="AS18" s="550"/>
      <c r="AT18" s="550"/>
      <c r="AU18" s="550"/>
      <c r="AV18" s="550"/>
      <c r="AW18" s="550"/>
      <c r="AX18" s="550"/>
      <c r="AY18" s="550"/>
      <c r="AZ18" s="550"/>
      <c r="BA18" s="550"/>
    </row>
    <row r="19" spans="1:53" ht="22.5" customHeight="1">
      <c r="A19" s="550"/>
      <c r="B19" s="586" t="s">
        <v>1226</v>
      </c>
      <c r="C19" s="587"/>
      <c r="D19" s="588"/>
      <c r="E19" s="589"/>
      <c r="F19" s="579"/>
      <c r="G19" s="579"/>
      <c r="H19" s="579"/>
      <c r="I19" s="590"/>
      <c r="J19" s="589"/>
      <c r="K19" s="579"/>
      <c r="L19" s="580"/>
      <c r="M19" s="580"/>
      <c r="N19" s="580"/>
      <c r="O19" s="580"/>
      <c r="P19" s="582"/>
      <c r="Q19" s="591"/>
      <c r="R19" s="580"/>
      <c r="S19" s="580"/>
      <c r="T19" s="580"/>
      <c r="U19" s="580"/>
      <c r="V19" s="580"/>
      <c r="W19" s="580"/>
      <c r="X19" s="580"/>
      <c r="Y19" s="580"/>
      <c r="Z19" s="580"/>
      <c r="AA19" s="580"/>
      <c r="AB19" s="582"/>
      <c r="AC19" s="592"/>
      <c r="AD19" s="550"/>
      <c r="AE19" s="550"/>
      <c r="AF19" s="550"/>
      <c r="AG19" s="550"/>
      <c r="AH19" s="550"/>
      <c r="AI19" s="550"/>
      <c r="AJ19" s="550"/>
      <c r="AK19" s="550"/>
      <c r="AL19" s="550"/>
      <c r="AM19" s="550"/>
      <c r="AN19" s="550"/>
      <c r="AO19" s="550"/>
      <c r="AP19" s="550"/>
      <c r="AQ19" s="550"/>
      <c r="AR19" s="550"/>
      <c r="AS19" s="550"/>
      <c r="AT19" s="550"/>
      <c r="AU19" s="550"/>
      <c r="AV19" s="550"/>
      <c r="AW19" s="550"/>
      <c r="AX19" s="550"/>
      <c r="AY19" s="550"/>
      <c r="AZ19" s="550"/>
      <c r="BA19" s="550"/>
    </row>
    <row r="20" spans="1:53" ht="6.75" customHeight="1">
      <c r="A20" s="550"/>
      <c r="B20" s="550"/>
      <c r="C20" s="550"/>
      <c r="D20" s="550"/>
      <c r="E20" s="550"/>
      <c r="F20" s="551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50"/>
      <c r="AB20" s="550"/>
      <c r="AC20" s="550"/>
      <c r="AD20" s="550"/>
      <c r="AE20" s="550"/>
      <c r="AF20" s="550"/>
      <c r="AG20" s="550"/>
      <c r="AH20" s="550"/>
      <c r="AI20" s="550"/>
      <c r="AJ20" s="550"/>
      <c r="AK20" s="550"/>
      <c r="AL20" s="550"/>
      <c r="AM20" s="550"/>
      <c r="AN20" s="550"/>
      <c r="AO20" s="550"/>
      <c r="AP20" s="550"/>
      <c r="AQ20" s="550"/>
      <c r="AR20" s="550"/>
      <c r="AS20" s="550"/>
      <c r="AT20" s="550"/>
      <c r="AU20" s="550"/>
      <c r="AV20" s="550"/>
      <c r="AW20" s="550"/>
      <c r="AX20" s="550"/>
      <c r="AY20" s="550"/>
      <c r="AZ20" s="550"/>
      <c r="BA20" s="550"/>
    </row>
    <row r="21" spans="1:53">
      <c r="A21" s="550"/>
      <c r="B21" s="550"/>
      <c r="C21" s="550"/>
      <c r="D21" s="550"/>
      <c r="E21" s="550"/>
      <c r="F21" s="551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50"/>
      <c r="AB21" s="550"/>
      <c r="AC21" s="550"/>
      <c r="AD21" s="550"/>
      <c r="AE21" s="550"/>
      <c r="AF21" s="550"/>
      <c r="AG21" s="550"/>
      <c r="AH21" s="550"/>
      <c r="AI21" s="550"/>
      <c r="AJ21" s="550"/>
      <c r="AK21" s="550"/>
      <c r="AL21" s="550"/>
      <c r="AM21" s="550"/>
      <c r="AN21" s="550"/>
      <c r="AO21" s="550"/>
      <c r="AP21" s="550"/>
      <c r="AQ21" s="550"/>
      <c r="AR21" s="550"/>
      <c r="AS21" s="550"/>
      <c r="AT21" s="550"/>
      <c r="AU21" s="550"/>
      <c r="AV21" s="550"/>
      <c r="AW21" s="550"/>
      <c r="AX21" s="550"/>
      <c r="AY21" s="550"/>
      <c r="AZ21" s="550"/>
      <c r="BA21" s="550"/>
    </row>
    <row r="22" spans="1:53">
      <c r="A22" s="550"/>
      <c r="B22" s="550"/>
      <c r="C22" s="550"/>
      <c r="D22" s="550"/>
      <c r="E22" s="550"/>
      <c r="F22" s="551"/>
      <c r="G22" s="550"/>
      <c r="H22" s="550"/>
      <c r="I22" s="550"/>
      <c r="J22" s="550"/>
      <c r="K22" s="550"/>
      <c r="L22" s="550"/>
      <c r="M22" s="550"/>
      <c r="N22" s="550"/>
      <c r="O22" s="550"/>
      <c r="P22" s="550"/>
      <c r="Q22" s="550"/>
      <c r="R22" s="550"/>
      <c r="S22" s="550"/>
      <c r="T22" s="550"/>
      <c r="U22" s="550"/>
      <c r="V22" s="550"/>
      <c r="W22" s="550"/>
      <c r="X22" s="550"/>
      <c r="Y22" s="550"/>
      <c r="Z22" s="550"/>
      <c r="AA22" s="550"/>
      <c r="AB22" s="550"/>
      <c r="AC22" s="550"/>
      <c r="AD22" s="550"/>
      <c r="AE22" s="550"/>
      <c r="AF22" s="550"/>
      <c r="AG22" s="550"/>
      <c r="AH22" s="550"/>
      <c r="AI22" s="550"/>
      <c r="AJ22" s="550"/>
      <c r="AK22" s="550"/>
      <c r="AL22" s="550"/>
      <c r="AM22" s="550"/>
      <c r="AN22" s="550"/>
      <c r="AO22" s="550"/>
      <c r="AP22" s="550"/>
      <c r="AQ22" s="550"/>
      <c r="AR22" s="550"/>
      <c r="AS22" s="550"/>
      <c r="AT22" s="550"/>
      <c r="AU22" s="550"/>
      <c r="AV22" s="550"/>
      <c r="AW22" s="550"/>
      <c r="AX22" s="550"/>
      <c r="AY22" s="550"/>
      <c r="AZ22" s="550"/>
      <c r="BA22" s="550"/>
    </row>
    <row r="23" spans="1:53">
      <c r="A23" s="550"/>
      <c r="B23" s="550"/>
      <c r="C23" s="550"/>
      <c r="D23" s="550"/>
      <c r="E23" s="550"/>
      <c r="F23" s="551"/>
      <c r="G23" s="550"/>
      <c r="H23" s="550"/>
      <c r="I23" s="550"/>
      <c r="J23" s="550"/>
      <c r="K23" s="550"/>
      <c r="L23" s="550"/>
      <c r="M23" s="550"/>
      <c r="N23" s="550"/>
      <c r="O23" s="556" t="s">
        <v>1227</v>
      </c>
      <c r="P23" s="550"/>
      <c r="Q23" s="550"/>
      <c r="R23" s="550"/>
      <c r="S23" s="550"/>
      <c r="T23" s="550"/>
      <c r="U23" s="550"/>
      <c r="V23" s="550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0"/>
      <c r="AL23" s="550"/>
      <c r="AM23" s="550"/>
      <c r="AN23" s="550"/>
      <c r="AO23" s="550"/>
      <c r="AP23" s="550"/>
      <c r="AQ23" s="550"/>
      <c r="AR23" s="550"/>
      <c r="AS23" s="550"/>
      <c r="AT23" s="550"/>
      <c r="AU23" s="550"/>
      <c r="AV23" s="550"/>
      <c r="AW23" s="550"/>
      <c r="AX23" s="550"/>
      <c r="AY23" s="550"/>
      <c r="AZ23" s="550"/>
      <c r="BA23" s="550"/>
    </row>
    <row r="24" spans="1:53">
      <c r="A24" s="550"/>
      <c r="B24" s="550"/>
      <c r="C24" s="550"/>
      <c r="D24" s="550"/>
      <c r="E24" s="550"/>
      <c r="F24" s="551"/>
      <c r="G24" s="550"/>
      <c r="H24" s="550"/>
      <c r="I24" s="550"/>
      <c r="J24" s="550"/>
      <c r="K24" s="550"/>
      <c r="L24" s="550"/>
      <c r="M24" s="550"/>
      <c r="N24" s="550"/>
      <c r="O24" s="550"/>
      <c r="P24" s="550"/>
      <c r="Q24" s="550"/>
      <c r="R24" s="550"/>
      <c r="S24" s="550"/>
      <c r="T24" s="550"/>
      <c r="U24" s="550"/>
      <c r="V24" s="550"/>
      <c r="W24" s="550"/>
      <c r="X24" s="550"/>
      <c r="Y24" s="550"/>
      <c r="Z24" s="550"/>
      <c r="AA24" s="550"/>
      <c r="AB24" s="550"/>
      <c r="AC24" s="550"/>
      <c r="AD24" s="550"/>
      <c r="AE24" s="550"/>
      <c r="AF24" s="550"/>
      <c r="AG24" s="550"/>
      <c r="AH24" s="550"/>
      <c r="AI24" s="550"/>
      <c r="AJ24" s="550"/>
      <c r="AK24" s="550"/>
      <c r="AL24" s="550"/>
      <c r="AM24" s="550"/>
      <c r="AN24" s="550"/>
      <c r="AO24" s="550"/>
      <c r="AP24" s="550"/>
      <c r="AQ24" s="550"/>
      <c r="AR24" s="550"/>
      <c r="AS24" s="550"/>
      <c r="AT24" s="550"/>
      <c r="AU24" s="550"/>
      <c r="AV24" s="550"/>
      <c r="AW24" s="550"/>
      <c r="AX24" s="550"/>
      <c r="AY24" s="550"/>
      <c r="AZ24" s="550"/>
      <c r="BA24" s="550"/>
    </row>
    <row r="25" spans="1:53">
      <c r="A25" s="550"/>
      <c r="B25" s="550"/>
      <c r="C25" s="550"/>
      <c r="D25" s="550"/>
      <c r="E25" s="550"/>
      <c r="F25" s="551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50"/>
      <c r="AB25" s="550"/>
      <c r="AC25" s="550"/>
      <c r="AD25" s="550"/>
      <c r="AE25" s="550"/>
      <c r="AF25" s="550"/>
      <c r="AG25" s="550"/>
      <c r="AH25" s="550"/>
      <c r="AI25" s="550"/>
      <c r="AJ25" s="550"/>
      <c r="AK25" s="550"/>
      <c r="AL25" s="550"/>
      <c r="AM25" s="550"/>
      <c r="AN25" s="550"/>
      <c r="AO25" s="550"/>
      <c r="AP25" s="550"/>
      <c r="AQ25" s="550"/>
      <c r="AR25" s="550"/>
      <c r="AS25" s="550"/>
      <c r="AT25" s="550"/>
      <c r="AU25" s="550"/>
      <c r="AV25" s="550"/>
      <c r="AW25" s="550"/>
      <c r="AX25" s="550"/>
      <c r="AY25" s="550"/>
      <c r="AZ25" s="550"/>
      <c r="BA25" s="550"/>
    </row>
    <row r="26" spans="1:53">
      <c r="A26" s="550"/>
      <c r="B26" s="550"/>
      <c r="C26" s="550"/>
      <c r="D26" s="550"/>
      <c r="E26" s="550"/>
      <c r="F26" s="551"/>
      <c r="G26" s="550"/>
      <c r="H26" s="550"/>
      <c r="I26" s="550"/>
      <c r="J26" s="550"/>
      <c r="K26" s="550"/>
      <c r="L26" s="550"/>
      <c r="M26" s="550"/>
      <c r="N26" s="550"/>
      <c r="O26" s="550"/>
      <c r="P26" s="550"/>
      <c r="Q26" s="550"/>
      <c r="R26" s="550"/>
      <c r="S26" s="550"/>
      <c r="T26" s="550"/>
      <c r="U26" s="550"/>
      <c r="V26" s="550"/>
      <c r="W26" s="550"/>
      <c r="X26" s="550"/>
      <c r="Y26" s="550"/>
      <c r="Z26" s="550"/>
      <c r="AA26" s="550"/>
      <c r="AB26" s="550"/>
      <c r="AC26" s="550"/>
      <c r="AD26" s="550"/>
      <c r="AE26" s="550"/>
      <c r="AF26" s="550"/>
      <c r="AG26" s="550"/>
      <c r="AH26" s="550"/>
      <c r="AI26" s="550"/>
      <c r="AJ26" s="550"/>
      <c r="AK26" s="550"/>
      <c r="AL26" s="550"/>
      <c r="AM26" s="550"/>
      <c r="AN26" s="550"/>
      <c r="AO26" s="550"/>
      <c r="AP26" s="550"/>
      <c r="AQ26" s="550"/>
      <c r="AR26" s="550"/>
      <c r="AS26" s="550"/>
      <c r="AT26" s="550"/>
      <c r="AU26" s="550"/>
      <c r="AV26" s="550"/>
      <c r="AW26" s="550"/>
      <c r="AX26" s="550"/>
      <c r="AY26" s="550"/>
      <c r="AZ26" s="550"/>
      <c r="BA26" s="550"/>
    </row>
    <row r="27" spans="1:53">
      <c r="A27" s="550"/>
      <c r="B27" s="550"/>
      <c r="C27" s="550"/>
      <c r="D27" s="550"/>
      <c r="E27" s="550"/>
      <c r="F27" s="551"/>
      <c r="G27" s="550"/>
      <c r="H27" s="550"/>
      <c r="I27" s="550"/>
      <c r="J27" s="550"/>
      <c r="K27" s="550"/>
      <c r="L27" s="550"/>
      <c r="M27" s="550"/>
      <c r="N27" s="550"/>
      <c r="O27" s="550"/>
      <c r="P27" s="550"/>
      <c r="Q27" s="550"/>
      <c r="R27" s="550"/>
      <c r="S27" s="550"/>
      <c r="T27" s="550"/>
      <c r="U27" s="550"/>
      <c r="V27" s="550"/>
      <c r="W27" s="550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0"/>
      <c r="AM27" s="550"/>
      <c r="AN27" s="550"/>
      <c r="AO27" s="550"/>
      <c r="AP27" s="550"/>
      <c r="AQ27" s="550"/>
      <c r="AR27" s="550"/>
      <c r="AS27" s="550"/>
      <c r="AT27" s="550"/>
      <c r="AU27" s="550"/>
      <c r="AV27" s="550"/>
      <c r="AW27" s="550"/>
      <c r="AX27" s="550"/>
      <c r="AY27" s="550"/>
      <c r="AZ27" s="550"/>
      <c r="BA27" s="550"/>
    </row>
    <row r="28" spans="1:53">
      <c r="A28" s="550"/>
      <c r="B28" s="550"/>
      <c r="C28" s="550"/>
      <c r="D28" s="550"/>
      <c r="E28" s="550"/>
      <c r="F28" s="551"/>
      <c r="G28" s="550"/>
      <c r="H28" s="550"/>
      <c r="I28" s="550"/>
      <c r="J28" s="550"/>
      <c r="K28" s="550"/>
      <c r="L28" s="550"/>
      <c r="M28" s="550"/>
      <c r="N28" s="550"/>
      <c r="O28" s="550"/>
      <c r="P28" s="550"/>
      <c r="Q28" s="550"/>
      <c r="R28" s="550"/>
      <c r="S28" s="550"/>
      <c r="T28" s="550"/>
      <c r="U28" s="550"/>
      <c r="V28" s="550"/>
      <c r="W28" s="550"/>
      <c r="X28" s="550"/>
      <c r="Y28" s="550"/>
      <c r="Z28" s="550"/>
      <c r="AA28" s="550"/>
      <c r="AB28" s="550"/>
      <c r="AC28" s="550"/>
      <c r="AD28" s="550"/>
      <c r="AE28" s="550"/>
      <c r="AF28" s="550"/>
      <c r="AG28" s="550"/>
      <c r="AH28" s="550"/>
      <c r="AI28" s="550"/>
      <c r="AJ28" s="550"/>
      <c r="AK28" s="550"/>
      <c r="AL28" s="550"/>
      <c r="AM28" s="550"/>
      <c r="AN28" s="550"/>
      <c r="AO28" s="550"/>
      <c r="AP28" s="550"/>
      <c r="AQ28" s="550"/>
      <c r="AR28" s="550"/>
      <c r="AS28" s="550"/>
      <c r="AT28" s="550"/>
      <c r="AU28" s="550"/>
      <c r="AV28" s="550"/>
      <c r="AW28" s="550"/>
      <c r="AX28" s="550"/>
      <c r="AY28" s="550"/>
      <c r="AZ28" s="550"/>
      <c r="BA28" s="550"/>
    </row>
    <row r="29" spans="1:53">
      <c r="A29" s="550"/>
      <c r="B29" s="550"/>
      <c r="C29" s="550"/>
      <c r="D29" s="550"/>
      <c r="E29" s="550"/>
      <c r="F29" s="551"/>
      <c r="G29" s="550"/>
      <c r="H29" s="550"/>
      <c r="I29" s="550"/>
      <c r="J29" s="550"/>
      <c r="K29" s="550"/>
      <c r="L29" s="550"/>
      <c r="M29" s="550"/>
      <c r="N29" s="550"/>
      <c r="O29" s="550"/>
      <c r="P29" s="550"/>
      <c r="Q29" s="550"/>
      <c r="R29" s="550"/>
      <c r="S29" s="550"/>
      <c r="T29" s="550"/>
      <c r="U29" s="550"/>
      <c r="V29" s="550"/>
      <c r="W29" s="550"/>
      <c r="X29" s="550"/>
      <c r="Y29" s="550"/>
      <c r="Z29" s="550"/>
      <c r="AA29" s="550"/>
      <c r="AB29" s="550"/>
      <c r="AC29" s="550"/>
      <c r="AD29" s="550"/>
      <c r="AE29" s="550"/>
      <c r="AF29" s="550"/>
      <c r="AG29" s="550"/>
      <c r="AH29" s="550"/>
      <c r="AI29" s="550"/>
      <c r="AJ29" s="550"/>
      <c r="AK29" s="550"/>
      <c r="AL29" s="550"/>
      <c r="AM29" s="550"/>
      <c r="AN29" s="550"/>
      <c r="AO29" s="550"/>
      <c r="AP29" s="550"/>
      <c r="AQ29" s="550"/>
      <c r="AR29" s="550"/>
      <c r="AS29" s="550"/>
      <c r="AT29" s="550"/>
      <c r="AU29" s="550"/>
      <c r="AV29" s="550"/>
      <c r="AW29" s="550"/>
      <c r="AX29" s="550"/>
      <c r="AY29" s="550"/>
      <c r="AZ29" s="550"/>
      <c r="BA29" s="550"/>
    </row>
    <row r="30" spans="1:53">
      <c r="A30" s="550"/>
      <c r="B30" s="550"/>
      <c r="C30" s="550"/>
      <c r="D30" s="550"/>
      <c r="E30" s="550"/>
      <c r="F30" s="551"/>
      <c r="G30" s="550"/>
      <c r="H30" s="550"/>
      <c r="I30" s="550"/>
      <c r="J30" s="550"/>
      <c r="K30" s="550"/>
      <c r="L30" s="550"/>
      <c r="M30" s="550"/>
      <c r="N30" s="550"/>
      <c r="O30" s="550"/>
      <c r="P30" s="550"/>
      <c r="Q30" s="550"/>
      <c r="R30" s="550"/>
      <c r="S30" s="550"/>
      <c r="T30" s="550"/>
      <c r="U30" s="550"/>
      <c r="V30" s="550"/>
      <c r="W30" s="550"/>
      <c r="X30" s="550"/>
      <c r="Y30" s="550"/>
      <c r="Z30" s="550"/>
      <c r="AA30" s="550"/>
      <c r="AB30" s="550"/>
      <c r="AC30" s="550"/>
      <c r="AD30" s="550"/>
      <c r="AE30" s="550"/>
      <c r="AF30" s="550"/>
      <c r="AG30" s="550"/>
      <c r="AH30" s="550"/>
      <c r="AI30" s="550"/>
      <c r="AJ30" s="550"/>
      <c r="AK30" s="550"/>
      <c r="AL30" s="550"/>
      <c r="AM30" s="550"/>
      <c r="AN30" s="550"/>
      <c r="AO30" s="550"/>
      <c r="AP30" s="550"/>
      <c r="AQ30" s="550"/>
      <c r="AR30" s="550"/>
      <c r="AS30" s="550"/>
      <c r="AT30" s="550"/>
      <c r="AU30" s="550"/>
      <c r="AV30" s="550"/>
      <c r="AW30" s="550"/>
      <c r="AX30" s="550"/>
      <c r="AY30" s="550"/>
      <c r="AZ30" s="550"/>
      <c r="BA30" s="550"/>
    </row>
    <row r="31" spans="1:53">
      <c r="A31" s="550"/>
      <c r="B31" s="550"/>
      <c r="C31" s="550"/>
      <c r="D31" s="550"/>
      <c r="E31" s="550"/>
      <c r="F31" s="551"/>
      <c r="G31" s="550"/>
      <c r="H31" s="550"/>
      <c r="I31" s="550"/>
      <c r="J31" s="550"/>
      <c r="K31" s="550"/>
      <c r="L31" s="550"/>
      <c r="M31" s="550"/>
      <c r="N31" s="550"/>
      <c r="O31" s="550"/>
      <c r="P31" s="550"/>
      <c r="Q31" s="550"/>
      <c r="R31" s="550"/>
      <c r="S31" s="550"/>
      <c r="T31" s="550"/>
      <c r="U31" s="550"/>
      <c r="V31" s="550"/>
      <c r="W31" s="550"/>
      <c r="X31" s="550"/>
      <c r="Y31" s="550"/>
      <c r="Z31" s="550"/>
      <c r="AA31" s="550"/>
      <c r="AB31" s="550"/>
      <c r="AC31" s="550"/>
      <c r="AD31" s="550"/>
      <c r="AE31" s="550"/>
      <c r="AF31" s="550"/>
      <c r="AG31" s="550"/>
      <c r="AH31" s="550"/>
      <c r="AI31" s="550"/>
      <c r="AJ31" s="550"/>
      <c r="AK31" s="550"/>
      <c r="AL31" s="550"/>
      <c r="AM31" s="550"/>
      <c r="AN31" s="550"/>
      <c r="AO31" s="550"/>
      <c r="AP31" s="550"/>
      <c r="AQ31" s="550"/>
      <c r="AR31" s="550"/>
      <c r="AS31" s="550"/>
      <c r="AT31" s="550"/>
      <c r="AU31" s="550"/>
      <c r="AV31" s="550"/>
      <c r="AW31" s="550"/>
      <c r="AX31" s="550"/>
      <c r="AY31" s="550"/>
      <c r="AZ31" s="550"/>
      <c r="BA31" s="550"/>
    </row>
    <row r="32" spans="1:53">
      <c r="A32" s="550"/>
      <c r="B32" s="550"/>
      <c r="C32" s="550"/>
      <c r="D32" s="550"/>
      <c r="E32" s="550"/>
      <c r="F32" s="551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U32" s="550"/>
      <c r="V32" s="550"/>
      <c r="W32" s="550"/>
      <c r="X32" s="550"/>
      <c r="Y32" s="550"/>
      <c r="Z32" s="550"/>
      <c r="AA32" s="550"/>
      <c r="AB32" s="550"/>
      <c r="AC32" s="550"/>
      <c r="AD32" s="550"/>
      <c r="AE32" s="550"/>
      <c r="AF32" s="550"/>
      <c r="AG32" s="550"/>
      <c r="AH32" s="550"/>
      <c r="AI32" s="550"/>
      <c r="AJ32" s="550"/>
      <c r="AK32" s="550"/>
      <c r="AL32" s="550"/>
      <c r="AM32" s="550"/>
      <c r="AN32" s="550"/>
      <c r="AO32" s="550"/>
      <c r="AP32" s="550"/>
      <c r="AQ32" s="550"/>
      <c r="AR32" s="550"/>
      <c r="AS32" s="550"/>
      <c r="AT32" s="550"/>
      <c r="AU32" s="550"/>
      <c r="AV32" s="550"/>
      <c r="AW32" s="550"/>
      <c r="AX32" s="550"/>
      <c r="AY32" s="550"/>
      <c r="AZ32" s="550"/>
      <c r="BA32" s="550"/>
    </row>
    <row r="33" spans="1:53">
      <c r="A33" s="550"/>
      <c r="B33" s="550"/>
      <c r="C33" s="550"/>
      <c r="D33" s="550"/>
      <c r="E33" s="550"/>
      <c r="F33" s="551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  <c r="Z33" s="550"/>
      <c r="AA33" s="550"/>
      <c r="AB33" s="550"/>
      <c r="AC33" s="550"/>
      <c r="AD33" s="550"/>
      <c r="AE33" s="550"/>
      <c r="AF33" s="550"/>
      <c r="AG33" s="550"/>
      <c r="AH33" s="550"/>
      <c r="AI33" s="550"/>
      <c r="AJ33" s="550"/>
      <c r="AK33" s="550"/>
      <c r="AL33" s="550"/>
      <c r="AM33" s="550"/>
      <c r="AN33" s="550"/>
      <c r="AO33" s="550"/>
      <c r="AP33" s="550"/>
      <c r="AQ33" s="550"/>
      <c r="AR33" s="550"/>
      <c r="AS33" s="550"/>
      <c r="AT33" s="550"/>
      <c r="AU33" s="550"/>
      <c r="AV33" s="550"/>
      <c r="AW33" s="550"/>
      <c r="AX33" s="550"/>
      <c r="AY33" s="550"/>
      <c r="AZ33" s="550"/>
      <c r="BA33" s="550"/>
    </row>
    <row r="34" spans="1:53">
      <c r="A34" s="550"/>
      <c r="B34" s="550"/>
      <c r="C34" s="550"/>
      <c r="D34" s="550"/>
      <c r="E34" s="550"/>
      <c r="F34" s="551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550"/>
      <c r="AA34" s="550"/>
      <c r="AB34" s="550"/>
      <c r="AC34" s="550"/>
      <c r="AD34" s="550"/>
      <c r="AE34" s="550"/>
      <c r="AF34" s="550"/>
      <c r="AG34" s="550"/>
      <c r="AH34" s="550"/>
      <c r="AI34" s="550"/>
      <c r="AJ34" s="550"/>
      <c r="AK34" s="550"/>
      <c r="AL34" s="550"/>
      <c r="AM34" s="550"/>
      <c r="AN34" s="550"/>
      <c r="AO34" s="550"/>
      <c r="AP34" s="550"/>
      <c r="AQ34" s="550"/>
      <c r="AR34" s="550"/>
      <c r="AS34" s="550"/>
      <c r="AT34" s="550"/>
      <c r="AU34" s="550"/>
      <c r="AV34" s="550"/>
      <c r="AW34" s="550"/>
      <c r="AX34" s="550"/>
      <c r="AY34" s="550"/>
      <c r="AZ34" s="550"/>
      <c r="BA34" s="550"/>
    </row>
    <row r="35" spans="1:53">
      <c r="A35" s="550"/>
      <c r="B35" s="550"/>
      <c r="C35" s="550"/>
      <c r="D35" s="550"/>
      <c r="E35" s="550"/>
      <c r="F35" s="551"/>
      <c r="G35" s="550"/>
      <c r="H35" s="550"/>
      <c r="I35" s="550"/>
      <c r="J35" s="550"/>
      <c r="K35" s="550"/>
      <c r="L35" s="550"/>
      <c r="M35" s="550"/>
      <c r="N35" s="550"/>
      <c r="O35" s="550"/>
      <c r="P35" s="550"/>
      <c r="Q35" s="550"/>
      <c r="R35" s="550"/>
      <c r="S35" s="550"/>
      <c r="T35" s="550"/>
      <c r="U35" s="550"/>
      <c r="V35" s="550"/>
      <c r="W35" s="550"/>
      <c r="X35" s="550"/>
      <c r="Y35" s="550"/>
      <c r="Z35" s="550"/>
      <c r="AA35" s="550"/>
      <c r="AB35" s="550"/>
      <c r="AC35" s="550"/>
      <c r="AD35" s="550"/>
      <c r="AE35" s="550"/>
      <c r="AF35" s="550"/>
      <c r="AG35" s="550"/>
      <c r="AH35" s="550"/>
      <c r="AI35" s="550"/>
      <c r="AJ35" s="550"/>
      <c r="AK35" s="550"/>
      <c r="AL35" s="550"/>
      <c r="AM35" s="550"/>
      <c r="AN35" s="550"/>
      <c r="AO35" s="550"/>
      <c r="AP35" s="550"/>
      <c r="AQ35" s="550"/>
      <c r="AR35" s="550"/>
      <c r="AS35" s="550"/>
      <c r="AT35" s="550"/>
      <c r="AU35" s="550"/>
      <c r="AV35" s="550"/>
      <c r="AW35" s="550"/>
      <c r="AX35" s="550"/>
      <c r="AY35" s="550"/>
      <c r="AZ35" s="550"/>
      <c r="BA35" s="550"/>
    </row>
    <row r="36" spans="1:53">
      <c r="A36" s="550"/>
      <c r="B36" s="550"/>
      <c r="C36" s="550"/>
      <c r="D36" s="550"/>
      <c r="E36" s="550"/>
      <c r="F36" s="551"/>
      <c r="G36" s="550"/>
      <c r="H36" s="550"/>
      <c r="I36" s="550"/>
      <c r="J36" s="550"/>
      <c r="K36" s="550"/>
      <c r="L36" s="550"/>
      <c r="M36" s="550"/>
      <c r="N36" s="550"/>
      <c r="O36" s="550"/>
      <c r="P36" s="550"/>
      <c r="Q36" s="550"/>
      <c r="R36" s="550"/>
      <c r="S36" s="550"/>
      <c r="T36" s="550"/>
      <c r="U36" s="550"/>
      <c r="V36" s="550"/>
      <c r="W36" s="550"/>
      <c r="X36" s="550"/>
      <c r="Y36" s="550"/>
      <c r="Z36" s="550"/>
      <c r="AA36" s="550"/>
      <c r="AB36" s="550"/>
      <c r="AC36" s="550"/>
      <c r="AD36" s="550"/>
      <c r="AE36" s="550"/>
      <c r="AF36" s="550"/>
      <c r="AG36" s="550"/>
      <c r="AH36" s="550"/>
      <c r="AI36" s="550"/>
      <c r="AJ36" s="550"/>
      <c r="AK36" s="550"/>
      <c r="AL36" s="550"/>
      <c r="AM36" s="550"/>
      <c r="AN36" s="550"/>
      <c r="AO36" s="550"/>
      <c r="AP36" s="550"/>
      <c r="AQ36" s="550"/>
      <c r="AR36" s="550"/>
      <c r="AS36" s="550"/>
      <c r="AT36" s="550"/>
      <c r="AU36" s="550"/>
      <c r="AV36" s="550"/>
      <c r="AW36" s="550"/>
      <c r="AX36" s="550"/>
      <c r="AY36" s="550"/>
      <c r="AZ36" s="550"/>
      <c r="BA36" s="550"/>
    </row>
    <row r="37" spans="1:53">
      <c r="A37" s="550"/>
      <c r="B37" s="550"/>
      <c r="C37" s="550"/>
      <c r="D37" s="550"/>
      <c r="E37" s="550"/>
      <c r="F37" s="551"/>
      <c r="G37" s="550"/>
      <c r="H37" s="550"/>
      <c r="I37" s="550"/>
      <c r="J37" s="550"/>
      <c r="K37" s="550"/>
      <c r="L37" s="550"/>
      <c r="M37" s="550"/>
      <c r="N37" s="550"/>
      <c r="O37" s="550"/>
      <c r="P37" s="550"/>
      <c r="Q37" s="550"/>
      <c r="R37" s="550"/>
      <c r="S37" s="550"/>
      <c r="T37" s="550"/>
      <c r="U37" s="550"/>
      <c r="V37" s="550"/>
      <c r="W37" s="550"/>
      <c r="X37" s="550"/>
      <c r="Y37" s="550"/>
      <c r="Z37" s="550"/>
      <c r="AA37" s="550"/>
      <c r="AB37" s="550"/>
      <c r="AC37" s="550"/>
      <c r="AD37" s="550"/>
      <c r="AE37" s="550"/>
      <c r="AF37" s="550"/>
      <c r="AG37" s="550"/>
      <c r="AH37" s="550"/>
      <c r="AI37" s="550"/>
      <c r="AJ37" s="550"/>
      <c r="AK37" s="550"/>
      <c r="AL37" s="550"/>
      <c r="AM37" s="550"/>
      <c r="AN37" s="550"/>
      <c r="AO37" s="550"/>
      <c r="AP37" s="550"/>
      <c r="AQ37" s="550"/>
      <c r="AR37" s="550"/>
      <c r="AS37" s="550"/>
      <c r="AT37" s="550"/>
      <c r="AU37" s="550"/>
      <c r="AV37" s="550"/>
      <c r="AW37" s="550"/>
      <c r="AX37" s="550"/>
      <c r="AY37" s="550"/>
      <c r="AZ37" s="550"/>
      <c r="BA37" s="550"/>
    </row>
    <row r="38" spans="1:53">
      <c r="A38" s="550"/>
      <c r="B38" s="550"/>
      <c r="C38" s="550"/>
      <c r="D38" s="550"/>
      <c r="E38" s="550"/>
      <c r="F38" s="551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  <c r="Z38" s="550"/>
      <c r="AA38" s="550"/>
      <c r="AB38" s="550"/>
      <c r="AC38" s="550"/>
      <c r="AD38" s="550"/>
      <c r="AE38" s="550"/>
      <c r="AF38" s="550"/>
      <c r="AG38" s="550"/>
      <c r="AH38" s="550"/>
      <c r="AI38" s="550"/>
      <c r="AJ38" s="550"/>
      <c r="AK38" s="550"/>
      <c r="AL38" s="550"/>
      <c r="AM38" s="550"/>
      <c r="AN38" s="550"/>
      <c r="AO38" s="550"/>
      <c r="AP38" s="550"/>
      <c r="AQ38" s="550"/>
      <c r="AR38" s="550"/>
      <c r="AS38" s="550"/>
      <c r="AT38" s="550"/>
      <c r="AU38" s="550"/>
      <c r="AV38" s="550"/>
      <c r="AW38" s="550"/>
      <c r="AX38" s="550"/>
      <c r="AY38" s="550"/>
      <c r="AZ38" s="550"/>
      <c r="BA38" s="550"/>
    </row>
    <row r="39" spans="1:53">
      <c r="A39" s="550"/>
      <c r="B39" s="550"/>
      <c r="C39" s="550"/>
      <c r="D39" s="550"/>
      <c r="E39" s="550"/>
      <c r="F39" s="551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50"/>
      <c r="AB39" s="550"/>
      <c r="AC39" s="550"/>
      <c r="AD39" s="550"/>
      <c r="AE39" s="550"/>
      <c r="AF39" s="550"/>
      <c r="AG39" s="550"/>
      <c r="AH39" s="550"/>
      <c r="AI39" s="550"/>
      <c r="AJ39" s="550"/>
      <c r="AK39" s="550"/>
      <c r="AL39" s="550"/>
      <c r="AM39" s="550"/>
      <c r="AN39" s="550"/>
      <c r="AO39" s="550"/>
      <c r="AP39" s="550"/>
      <c r="AQ39" s="550"/>
      <c r="AR39" s="550"/>
      <c r="AS39" s="550"/>
      <c r="AT39" s="550"/>
      <c r="AU39" s="550"/>
      <c r="AV39" s="550"/>
      <c r="AW39" s="550"/>
      <c r="AX39" s="550"/>
      <c r="AY39" s="550"/>
      <c r="AZ39" s="550"/>
      <c r="BA39" s="550"/>
    </row>
    <row r="40" spans="1:53">
      <c r="A40" s="550"/>
      <c r="B40" s="550"/>
      <c r="C40" s="550"/>
      <c r="D40" s="550"/>
      <c r="E40" s="550"/>
      <c r="F40" s="551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50"/>
      <c r="AI40" s="550"/>
      <c r="AJ40" s="550"/>
      <c r="AK40" s="550"/>
      <c r="AL40" s="550"/>
      <c r="AM40" s="550"/>
      <c r="AN40" s="550"/>
      <c r="AO40" s="550"/>
      <c r="AP40" s="550"/>
      <c r="AQ40" s="550"/>
      <c r="AR40" s="550"/>
      <c r="AS40" s="550"/>
      <c r="AT40" s="550"/>
      <c r="AU40" s="550"/>
      <c r="AV40" s="550"/>
      <c r="AW40" s="550"/>
      <c r="AX40" s="550"/>
      <c r="AY40" s="550"/>
      <c r="AZ40" s="550"/>
      <c r="BA40" s="550"/>
    </row>
    <row r="41" spans="1:53">
      <c r="A41" s="550"/>
      <c r="B41" s="550"/>
      <c r="C41" s="550"/>
      <c r="D41" s="550"/>
      <c r="E41" s="550"/>
      <c r="F41" s="551"/>
      <c r="G41" s="550"/>
      <c r="H41" s="550"/>
      <c r="I41" s="550"/>
      <c r="J41" s="550"/>
      <c r="K41" s="550"/>
      <c r="L41" s="550"/>
      <c r="M41" s="550"/>
      <c r="N41" s="550"/>
      <c r="O41" s="550"/>
      <c r="P41" s="550"/>
      <c r="Q41" s="550"/>
      <c r="R41" s="550"/>
      <c r="S41" s="550"/>
      <c r="T41" s="550"/>
      <c r="U41" s="550"/>
      <c r="V41" s="550"/>
      <c r="W41" s="550"/>
      <c r="X41" s="550"/>
      <c r="Y41" s="550"/>
      <c r="Z41" s="550"/>
      <c r="AA41" s="550"/>
      <c r="AB41" s="550"/>
      <c r="AC41" s="550"/>
      <c r="AD41" s="550"/>
      <c r="AE41" s="550"/>
      <c r="AF41" s="550"/>
      <c r="AG41" s="550"/>
      <c r="AH41" s="550"/>
      <c r="AI41" s="550"/>
      <c r="AJ41" s="550"/>
      <c r="AK41" s="550"/>
      <c r="AL41" s="550"/>
      <c r="AM41" s="550"/>
      <c r="AN41" s="550"/>
      <c r="AO41" s="550"/>
      <c r="AP41" s="550"/>
      <c r="AQ41" s="550"/>
      <c r="AR41" s="550"/>
      <c r="AS41" s="550"/>
      <c r="AT41" s="550"/>
      <c r="AU41" s="550"/>
      <c r="AV41" s="550"/>
      <c r="AW41" s="550"/>
      <c r="AX41" s="550"/>
      <c r="AY41" s="550"/>
      <c r="AZ41" s="550"/>
      <c r="BA41" s="550"/>
    </row>
    <row r="42" spans="1:53">
      <c r="A42" s="550"/>
      <c r="B42" s="550"/>
      <c r="C42" s="550"/>
      <c r="D42" s="550"/>
      <c r="E42" s="550"/>
      <c r="F42" s="551"/>
      <c r="G42" s="550"/>
      <c r="H42" s="550"/>
      <c r="I42" s="550"/>
      <c r="J42" s="550"/>
      <c r="K42" s="550"/>
      <c r="L42" s="550"/>
      <c r="M42" s="550"/>
      <c r="N42" s="550"/>
      <c r="O42" s="550"/>
      <c r="P42" s="550"/>
      <c r="Q42" s="550"/>
      <c r="R42" s="550"/>
      <c r="S42" s="550"/>
      <c r="T42" s="550"/>
      <c r="U42" s="550"/>
      <c r="V42" s="550"/>
      <c r="W42" s="550"/>
      <c r="X42" s="550"/>
      <c r="Y42" s="550"/>
      <c r="Z42" s="550"/>
      <c r="AA42" s="550"/>
      <c r="AB42" s="550"/>
      <c r="AC42" s="550"/>
      <c r="AD42" s="550"/>
      <c r="AE42" s="550"/>
      <c r="AF42" s="550"/>
      <c r="AG42" s="550"/>
      <c r="AH42" s="550"/>
      <c r="AI42" s="550"/>
      <c r="AJ42" s="550"/>
      <c r="AK42" s="550"/>
      <c r="AL42" s="550"/>
      <c r="AM42" s="550"/>
      <c r="AN42" s="550"/>
      <c r="AO42" s="550"/>
      <c r="AP42" s="550"/>
      <c r="AQ42" s="550"/>
      <c r="AR42" s="550"/>
      <c r="AS42" s="550"/>
      <c r="AT42" s="550"/>
      <c r="AU42" s="550"/>
      <c r="AV42" s="550"/>
      <c r="AW42" s="550"/>
      <c r="AX42" s="550"/>
      <c r="AY42" s="550"/>
      <c r="AZ42" s="550"/>
      <c r="BA42" s="550"/>
    </row>
    <row r="43" spans="1:53">
      <c r="A43" s="550"/>
      <c r="B43" s="550"/>
      <c r="C43" s="550"/>
      <c r="D43" s="550"/>
      <c r="E43" s="550"/>
      <c r="F43" s="551"/>
      <c r="G43" s="550"/>
      <c r="H43" s="550"/>
      <c r="I43" s="550"/>
      <c r="J43" s="550"/>
      <c r="K43" s="550"/>
      <c r="L43" s="550"/>
      <c r="M43" s="550"/>
      <c r="N43" s="550"/>
      <c r="O43" s="550"/>
      <c r="P43" s="550"/>
      <c r="Q43" s="550"/>
      <c r="R43" s="550"/>
      <c r="S43" s="550"/>
      <c r="T43" s="550"/>
      <c r="U43" s="550"/>
      <c r="V43" s="550"/>
      <c r="W43" s="550"/>
      <c r="X43" s="550"/>
      <c r="Y43" s="550"/>
      <c r="Z43" s="550"/>
      <c r="AA43" s="550"/>
      <c r="AB43" s="550"/>
      <c r="AC43" s="550"/>
      <c r="AD43" s="550"/>
      <c r="AE43" s="550"/>
      <c r="AF43" s="550"/>
      <c r="AG43" s="550"/>
      <c r="AH43" s="550"/>
      <c r="AI43" s="550"/>
      <c r="AJ43" s="550"/>
      <c r="AK43" s="550"/>
      <c r="AL43" s="550"/>
      <c r="AM43" s="550"/>
      <c r="AN43" s="550"/>
      <c r="AO43" s="550"/>
      <c r="AP43" s="550"/>
      <c r="AQ43" s="550"/>
      <c r="AR43" s="550"/>
      <c r="AS43" s="550"/>
      <c r="AT43" s="550"/>
      <c r="AU43" s="550"/>
      <c r="AV43" s="550"/>
      <c r="AW43" s="550"/>
      <c r="AX43" s="550"/>
      <c r="AY43" s="550"/>
      <c r="AZ43" s="550"/>
      <c r="BA43" s="550"/>
    </row>
    <row r="44" spans="1:53">
      <c r="A44" s="550"/>
      <c r="B44" s="550"/>
      <c r="C44" s="550"/>
      <c r="D44" s="550"/>
      <c r="E44" s="550"/>
      <c r="F44" s="551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U44" s="550"/>
      <c r="V44" s="550"/>
      <c r="W44" s="550"/>
      <c r="X44" s="550"/>
      <c r="Y44" s="550"/>
      <c r="Z44" s="550"/>
      <c r="AA44" s="550"/>
      <c r="AB44" s="550"/>
      <c r="AC44" s="550"/>
      <c r="AD44" s="550"/>
      <c r="AE44" s="550"/>
      <c r="AF44" s="550"/>
      <c r="AG44" s="550"/>
      <c r="AH44" s="550"/>
      <c r="AI44" s="550"/>
      <c r="AJ44" s="550"/>
      <c r="AK44" s="550"/>
      <c r="AL44" s="550"/>
      <c r="AM44" s="550"/>
      <c r="AN44" s="550"/>
      <c r="AO44" s="550"/>
      <c r="AP44" s="550"/>
      <c r="AQ44" s="550"/>
      <c r="AR44" s="550"/>
      <c r="AS44" s="550"/>
      <c r="AT44" s="550"/>
      <c r="AU44" s="550"/>
      <c r="AV44" s="550"/>
      <c r="AW44" s="550"/>
      <c r="AX44" s="550"/>
      <c r="AY44" s="550"/>
      <c r="AZ44" s="550"/>
      <c r="BA44" s="550"/>
    </row>
    <row r="45" spans="1:53">
      <c r="A45" s="550"/>
      <c r="B45" s="550"/>
      <c r="C45" s="550"/>
      <c r="D45" s="550"/>
      <c r="E45" s="550"/>
      <c r="F45" s="551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  <c r="Z45" s="550"/>
      <c r="AA45" s="550"/>
      <c r="AB45" s="550"/>
      <c r="AC45" s="550"/>
      <c r="AD45" s="550"/>
      <c r="AE45" s="550"/>
      <c r="AF45" s="550"/>
      <c r="AG45" s="550"/>
      <c r="AH45" s="550"/>
      <c r="AI45" s="550"/>
      <c r="AJ45" s="550"/>
      <c r="AK45" s="550"/>
      <c r="AL45" s="550"/>
      <c r="AM45" s="550"/>
      <c r="AN45" s="550"/>
      <c r="AO45" s="550"/>
      <c r="AP45" s="550"/>
      <c r="AQ45" s="550"/>
      <c r="AR45" s="550"/>
      <c r="AS45" s="550"/>
      <c r="AT45" s="550"/>
      <c r="AU45" s="550"/>
      <c r="AV45" s="550"/>
      <c r="AW45" s="550"/>
      <c r="AX45" s="550"/>
      <c r="AY45" s="550"/>
      <c r="AZ45" s="550"/>
      <c r="BA45" s="550"/>
    </row>
    <row r="46" spans="1:53">
      <c r="A46" s="550"/>
      <c r="B46" s="550"/>
      <c r="C46" s="550"/>
      <c r="D46" s="550"/>
      <c r="E46" s="550"/>
      <c r="F46" s="551"/>
      <c r="G46" s="550"/>
      <c r="H46" s="550"/>
      <c r="I46" s="550"/>
      <c r="J46" s="550"/>
      <c r="K46" s="550"/>
      <c r="L46" s="550"/>
      <c r="M46" s="550"/>
      <c r="N46" s="550"/>
      <c r="O46" s="550"/>
      <c r="P46" s="550"/>
      <c r="Q46" s="550"/>
      <c r="R46" s="550"/>
      <c r="S46" s="550"/>
      <c r="T46" s="550"/>
      <c r="U46" s="550"/>
      <c r="V46" s="550"/>
      <c r="W46" s="550"/>
      <c r="X46" s="550"/>
      <c r="Y46" s="550"/>
      <c r="Z46" s="550"/>
      <c r="AA46" s="550"/>
      <c r="AB46" s="550"/>
      <c r="AC46" s="550"/>
      <c r="AD46" s="550"/>
      <c r="AE46" s="550"/>
      <c r="AF46" s="550"/>
      <c r="AG46" s="550"/>
      <c r="AH46" s="550"/>
      <c r="AI46" s="550"/>
      <c r="AJ46" s="550"/>
      <c r="AK46" s="550"/>
      <c r="AL46" s="550"/>
      <c r="AM46" s="550"/>
      <c r="AN46" s="550"/>
      <c r="AO46" s="550"/>
      <c r="AP46" s="550"/>
      <c r="AQ46" s="550"/>
      <c r="AR46" s="550"/>
      <c r="AS46" s="550"/>
      <c r="AT46" s="550"/>
      <c r="AU46" s="550"/>
      <c r="AV46" s="550"/>
      <c r="AW46" s="550"/>
      <c r="AX46" s="550"/>
      <c r="AY46" s="550"/>
      <c r="AZ46" s="550"/>
      <c r="BA46" s="550"/>
    </row>
    <row r="47" spans="1:53">
      <c r="A47" s="550"/>
      <c r="B47" s="550"/>
      <c r="C47" s="550"/>
      <c r="D47" s="550"/>
      <c r="E47" s="550"/>
      <c r="F47" s="551"/>
      <c r="G47" s="550"/>
      <c r="H47" s="550"/>
      <c r="I47" s="550"/>
      <c r="J47" s="550"/>
      <c r="K47" s="550"/>
      <c r="L47" s="550"/>
      <c r="M47" s="550"/>
      <c r="N47" s="550"/>
      <c r="O47" s="550"/>
      <c r="P47" s="550"/>
      <c r="Q47" s="550"/>
      <c r="R47" s="550"/>
      <c r="S47" s="550"/>
      <c r="T47" s="550"/>
      <c r="U47" s="550"/>
      <c r="V47" s="550"/>
      <c r="W47" s="550"/>
      <c r="X47" s="550"/>
      <c r="Y47" s="550"/>
      <c r="Z47" s="550"/>
      <c r="AA47" s="550"/>
      <c r="AB47" s="550"/>
      <c r="AC47" s="550"/>
      <c r="AD47" s="550"/>
      <c r="AE47" s="550"/>
      <c r="AF47" s="550"/>
      <c r="AG47" s="550"/>
      <c r="AH47" s="550"/>
      <c r="AI47" s="550"/>
      <c r="AJ47" s="550"/>
      <c r="AK47" s="550"/>
      <c r="AL47" s="550"/>
      <c r="AM47" s="550"/>
      <c r="AN47" s="550"/>
      <c r="AO47" s="550"/>
      <c r="AP47" s="550"/>
      <c r="AQ47" s="550"/>
      <c r="AR47" s="550"/>
      <c r="AS47" s="550"/>
      <c r="AT47" s="550"/>
      <c r="AU47" s="550"/>
      <c r="AV47" s="550"/>
      <c r="AW47" s="550"/>
      <c r="AX47" s="550"/>
      <c r="AY47" s="550"/>
      <c r="AZ47" s="550"/>
      <c r="BA47" s="550"/>
    </row>
    <row r="48" spans="1:53">
      <c r="A48" s="550"/>
      <c r="B48" s="550"/>
      <c r="C48" s="550"/>
      <c r="D48" s="550"/>
      <c r="E48" s="550"/>
      <c r="F48" s="551"/>
      <c r="G48" s="550"/>
      <c r="H48" s="550"/>
      <c r="I48" s="550"/>
      <c r="J48" s="550"/>
      <c r="K48" s="550"/>
      <c r="L48" s="550"/>
      <c r="M48" s="550"/>
      <c r="N48" s="550"/>
      <c r="O48" s="550"/>
      <c r="P48" s="550"/>
      <c r="Q48" s="550"/>
      <c r="R48" s="550"/>
      <c r="S48" s="550"/>
      <c r="T48" s="550"/>
      <c r="U48" s="550"/>
      <c r="V48" s="550"/>
      <c r="W48" s="550"/>
      <c r="X48" s="550"/>
      <c r="Y48" s="550"/>
      <c r="Z48" s="550"/>
      <c r="AA48" s="550"/>
      <c r="AB48" s="550"/>
      <c r="AC48" s="550"/>
      <c r="AD48" s="550"/>
      <c r="AE48" s="550"/>
      <c r="AF48" s="550"/>
      <c r="AG48" s="550"/>
      <c r="AH48" s="550"/>
      <c r="AI48" s="550"/>
      <c r="AJ48" s="550"/>
      <c r="AK48" s="550"/>
      <c r="AL48" s="550"/>
      <c r="AM48" s="550"/>
      <c r="AN48" s="550"/>
      <c r="AO48" s="550"/>
      <c r="AP48" s="550"/>
      <c r="AQ48" s="550"/>
      <c r="AR48" s="550"/>
      <c r="AS48" s="550"/>
      <c r="AT48" s="550"/>
      <c r="AU48" s="550"/>
      <c r="AV48" s="550"/>
      <c r="AW48" s="550"/>
      <c r="AX48" s="550"/>
      <c r="AY48" s="550"/>
      <c r="AZ48" s="550"/>
      <c r="BA48" s="550"/>
    </row>
    <row r="49" spans="1:53">
      <c r="A49" s="550"/>
      <c r="B49" s="550"/>
      <c r="C49" s="550"/>
      <c r="D49" s="550"/>
      <c r="E49" s="550"/>
      <c r="F49" s="551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  <c r="Z49" s="550"/>
      <c r="AA49" s="550"/>
      <c r="AB49" s="550"/>
      <c r="AC49" s="550"/>
      <c r="AD49" s="550"/>
      <c r="AE49" s="550"/>
      <c r="AF49" s="550"/>
      <c r="AG49" s="550"/>
      <c r="AH49" s="550"/>
      <c r="AI49" s="550"/>
      <c r="AJ49" s="550"/>
      <c r="AK49" s="550"/>
      <c r="AL49" s="550"/>
      <c r="AM49" s="550"/>
      <c r="AN49" s="550"/>
      <c r="AO49" s="550"/>
      <c r="AP49" s="550"/>
      <c r="AQ49" s="550"/>
      <c r="AR49" s="550"/>
      <c r="AS49" s="550"/>
      <c r="AT49" s="550"/>
      <c r="AU49" s="550"/>
      <c r="AV49" s="550"/>
      <c r="AW49" s="550"/>
      <c r="AX49" s="550"/>
      <c r="AY49" s="550"/>
      <c r="AZ49" s="550"/>
      <c r="BA49" s="550"/>
    </row>
    <row r="50" spans="1:53">
      <c r="A50" s="550"/>
      <c r="B50" s="550"/>
      <c r="C50" s="550"/>
      <c r="D50" s="550"/>
      <c r="E50" s="550"/>
      <c r="F50" s="551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50"/>
      <c r="AB50" s="550"/>
      <c r="AC50" s="550"/>
      <c r="AD50" s="550"/>
      <c r="AE50" s="550"/>
      <c r="AF50" s="550"/>
      <c r="AG50" s="550"/>
      <c r="AH50" s="550"/>
      <c r="AI50" s="550"/>
      <c r="AJ50" s="550"/>
      <c r="AK50" s="550"/>
      <c r="AL50" s="550"/>
      <c r="AM50" s="550"/>
      <c r="AN50" s="550"/>
      <c r="AO50" s="550"/>
      <c r="AP50" s="550"/>
      <c r="AQ50" s="550"/>
      <c r="AR50" s="550"/>
      <c r="AS50" s="550"/>
      <c r="AT50" s="550"/>
      <c r="AU50" s="550"/>
      <c r="AV50" s="550"/>
      <c r="AW50" s="550"/>
      <c r="AX50" s="550"/>
      <c r="AY50" s="550"/>
      <c r="AZ50" s="550"/>
      <c r="BA50" s="550"/>
    </row>
    <row r="51" spans="1:53">
      <c r="A51" s="550"/>
      <c r="B51" s="550"/>
      <c r="C51" s="550"/>
      <c r="D51" s="550"/>
      <c r="E51" s="550"/>
      <c r="F51" s="551"/>
      <c r="G51" s="550"/>
      <c r="H51" s="550"/>
      <c r="I51" s="550"/>
      <c r="J51" s="550"/>
      <c r="K51" s="550"/>
      <c r="L51" s="550"/>
      <c r="M51" s="550"/>
      <c r="N51" s="550"/>
      <c r="O51" s="550"/>
      <c r="P51" s="550"/>
      <c r="Q51" s="550"/>
      <c r="R51" s="550"/>
      <c r="S51" s="550"/>
      <c r="T51" s="550"/>
      <c r="U51" s="550"/>
      <c r="V51" s="550"/>
      <c r="W51" s="550"/>
      <c r="X51" s="550"/>
      <c r="Y51" s="550"/>
      <c r="Z51" s="550"/>
      <c r="AA51" s="550"/>
      <c r="AB51" s="550"/>
      <c r="AC51" s="550"/>
      <c r="AD51" s="550"/>
      <c r="AE51" s="550"/>
      <c r="AF51" s="550"/>
      <c r="AG51" s="550"/>
      <c r="AH51" s="550"/>
      <c r="AI51" s="550"/>
      <c r="AJ51" s="550"/>
      <c r="AK51" s="550"/>
      <c r="AL51" s="550"/>
      <c r="AM51" s="550"/>
      <c r="AN51" s="550"/>
      <c r="AO51" s="550"/>
      <c r="AP51" s="550"/>
      <c r="AQ51" s="550"/>
      <c r="AR51" s="550"/>
      <c r="AS51" s="550"/>
      <c r="AT51" s="550"/>
      <c r="AU51" s="550"/>
      <c r="AV51" s="550"/>
      <c r="AW51" s="550"/>
      <c r="AX51" s="550"/>
      <c r="AY51" s="550"/>
      <c r="AZ51" s="550"/>
      <c r="BA51" s="550"/>
    </row>
    <row r="52" spans="1:53">
      <c r="A52" s="550"/>
      <c r="B52" s="550"/>
      <c r="C52" s="550"/>
      <c r="D52" s="550"/>
      <c r="E52" s="550"/>
      <c r="F52" s="551"/>
      <c r="G52" s="550"/>
      <c r="H52" s="550"/>
      <c r="I52" s="550"/>
      <c r="J52" s="550"/>
      <c r="K52" s="550"/>
      <c r="L52" s="550"/>
      <c r="M52" s="550"/>
      <c r="N52" s="550"/>
      <c r="O52" s="550"/>
      <c r="P52" s="550"/>
      <c r="Q52" s="550"/>
      <c r="R52" s="550"/>
      <c r="S52" s="550"/>
      <c r="T52" s="550"/>
      <c r="U52" s="550"/>
      <c r="V52" s="550"/>
      <c r="W52" s="550"/>
      <c r="X52" s="550"/>
      <c r="Y52" s="550"/>
      <c r="Z52" s="550"/>
      <c r="AA52" s="550"/>
      <c r="AB52" s="550"/>
      <c r="AC52" s="550"/>
      <c r="AD52" s="550"/>
      <c r="AE52" s="550"/>
      <c r="AF52" s="550"/>
      <c r="AG52" s="550"/>
      <c r="AH52" s="550"/>
      <c r="AI52" s="550"/>
      <c r="AJ52" s="550"/>
      <c r="AK52" s="550"/>
      <c r="AL52" s="550"/>
      <c r="AM52" s="550"/>
      <c r="AN52" s="550"/>
      <c r="AO52" s="550"/>
      <c r="AP52" s="550"/>
      <c r="AQ52" s="550"/>
      <c r="AR52" s="550"/>
      <c r="AS52" s="550"/>
      <c r="AT52" s="550"/>
      <c r="AU52" s="550"/>
      <c r="AV52" s="550"/>
      <c r="AW52" s="550"/>
      <c r="AX52" s="550"/>
      <c r="AY52" s="550"/>
      <c r="AZ52" s="550"/>
      <c r="BA52" s="550"/>
    </row>
    <row r="53" spans="1:53">
      <c r="A53" s="550"/>
      <c r="B53" s="550"/>
      <c r="C53" s="550"/>
      <c r="D53" s="550"/>
      <c r="E53" s="550"/>
      <c r="F53" s="551"/>
      <c r="G53" s="550"/>
      <c r="H53" s="550"/>
      <c r="I53" s="550"/>
      <c r="J53" s="550"/>
      <c r="K53" s="550"/>
      <c r="L53" s="550"/>
      <c r="M53" s="550"/>
      <c r="N53" s="550"/>
      <c r="O53" s="550"/>
      <c r="P53" s="550"/>
      <c r="Q53" s="550"/>
      <c r="R53" s="550"/>
      <c r="S53" s="550"/>
      <c r="T53" s="550"/>
      <c r="U53" s="550"/>
      <c r="V53" s="550"/>
      <c r="W53" s="550"/>
      <c r="X53" s="550"/>
      <c r="Y53" s="550"/>
      <c r="Z53" s="550"/>
      <c r="AA53" s="550"/>
      <c r="AB53" s="550"/>
      <c r="AC53" s="550"/>
      <c r="AD53" s="550"/>
      <c r="AE53" s="550"/>
      <c r="AF53" s="550"/>
      <c r="AG53" s="550"/>
      <c r="AH53" s="550"/>
      <c r="AI53" s="550"/>
      <c r="AJ53" s="550"/>
      <c r="AK53" s="550"/>
      <c r="AL53" s="550"/>
      <c r="AM53" s="550"/>
      <c r="AN53" s="550"/>
      <c r="AO53" s="550"/>
      <c r="AP53" s="550"/>
      <c r="AQ53" s="550"/>
      <c r="AR53" s="550"/>
      <c r="AS53" s="550"/>
      <c r="AT53" s="550"/>
      <c r="AU53" s="550"/>
      <c r="AV53" s="550"/>
      <c r="AW53" s="550"/>
      <c r="AX53" s="550"/>
      <c r="AY53" s="550"/>
      <c r="AZ53" s="550"/>
      <c r="BA53" s="550"/>
    </row>
    <row r="54" spans="1:53">
      <c r="A54" s="550"/>
      <c r="B54" s="550"/>
      <c r="C54" s="550"/>
      <c r="D54" s="550"/>
      <c r="E54" s="550"/>
      <c r="F54" s="551"/>
      <c r="G54" s="550"/>
      <c r="H54" s="550"/>
      <c r="I54" s="550"/>
      <c r="J54" s="550"/>
      <c r="K54" s="550"/>
      <c r="L54" s="550"/>
      <c r="M54" s="550"/>
      <c r="N54" s="550"/>
      <c r="O54" s="550"/>
      <c r="P54" s="550"/>
      <c r="Q54" s="550"/>
      <c r="R54" s="550"/>
      <c r="S54" s="550"/>
      <c r="T54" s="550"/>
      <c r="U54" s="550"/>
      <c r="V54" s="550"/>
      <c r="W54" s="550"/>
      <c r="X54" s="550"/>
      <c r="Y54" s="550"/>
      <c r="Z54" s="550"/>
      <c r="AA54" s="550"/>
      <c r="AB54" s="550"/>
      <c r="AC54" s="550"/>
      <c r="AD54" s="550"/>
      <c r="AE54" s="550"/>
      <c r="AF54" s="550"/>
      <c r="AG54" s="550"/>
      <c r="AH54" s="550"/>
      <c r="AI54" s="550"/>
      <c r="AJ54" s="550"/>
      <c r="AK54" s="550"/>
      <c r="AL54" s="550"/>
      <c r="AM54" s="550"/>
      <c r="AN54" s="550"/>
      <c r="AO54" s="550"/>
      <c r="AP54" s="550"/>
      <c r="AQ54" s="550"/>
      <c r="AR54" s="550"/>
      <c r="AS54" s="550"/>
      <c r="AT54" s="550"/>
      <c r="AU54" s="550"/>
      <c r="AV54" s="550"/>
      <c r="AW54" s="550"/>
      <c r="AX54" s="550"/>
      <c r="AY54" s="550"/>
      <c r="AZ54" s="550"/>
      <c r="BA54" s="550"/>
    </row>
    <row r="55" spans="1:53">
      <c r="A55" s="550"/>
      <c r="B55" s="550"/>
      <c r="C55" s="550"/>
      <c r="D55" s="550"/>
      <c r="E55" s="550"/>
      <c r="F55" s="551"/>
      <c r="G55" s="550"/>
      <c r="H55" s="550"/>
      <c r="I55" s="550"/>
      <c r="J55" s="550"/>
      <c r="K55" s="550"/>
      <c r="L55" s="550"/>
      <c r="M55" s="550"/>
      <c r="N55" s="550"/>
      <c r="O55" s="550"/>
      <c r="P55" s="550"/>
      <c r="Q55" s="550"/>
      <c r="R55" s="550"/>
      <c r="S55" s="550"/>
      <c r="T55" s="550"/>
      <c r="U55" s="550"/>
      <c r="V55" s="550"/>
      <c r="W55" s="550"/>
      <c r="X55" s="550"/>
      <c r="Y55" s="550"/>
      <c r="Z55" s="550"/>
      <c r="AA55" s="550"/>
      <c r="AB55" s="550"/>
      <c r="AC55" s="550"/>
      <c r="AD55" s="550"/>
      <c r="AE55" s="550"/>
      <c r="AF55" s="550"/>
      <c r="AG55" s="550"/>
      <c r="AH55" s="550"/>
      <c r="AI55" s="550"/>
      <c r="AJ55" s="550"/>
      <c r="AK55" s="550"/>
      <c r="AL55" s="550"/>
      <c r="AM55" s="550"/>
      <c r="AN55" s="550"/>
      <c r="AO55" s="550"/>
      <c r="AP55" s="550"/>
      <c r="AQ55" s="550"/>
      <c r="AR55" s="550"/>
      <c r="AS55" s="550"/>
      <c r="AT55" s="550"/>
      <c r="AU55" s="550"/>
      <c r="AV55" s="550"/>
      <c r="AW55" s="550"/>
      <c r="AX55" s="550"/>
      <c r="AY55" s="550"/>
      <c r="AZ55" s="550"/>
      <c r="BA55" s="550"/>
    </row>
    <row r="56" spans="1:53">
      <c r="A56" s="550"/>
      <c r="B56" s="550"/>
      <c r="C56" s="550"/>
      <c r="D56" s="550"/>
      <c r="E56" s="550"/>
      <c r="F56" s="551"/>
      <c r="G56" s="550"/>
      <c r="H56" s="550"/>
      <c r="I56" s="550"/>
      <c r="J56" s="550"/>
      <c r="K56" s="550"/>
      <c r="L56" s="550"/>
      <c r="M56" s="550"/>
      <c r="N56" s="550"/>
      <c r="O56" s="550"/>
      <c r="P56" s="550"/>
      <c r="Q56" s="550"/>
      <c r="R56" s="550"/>
      <c r="S56" s="550"/>
      <c r="T56" s="550"/>
      <c r="U56" s="550"/>
      <c r="V56" s="550"/>
      <c r="W56" s="550"/>
      <c r="X56" s="550"/>
      <c r="Y56" s="550"/>
      <c r="Z56" s="550"/>
      <c r="AA56" s="550"/>
      <c r="AB56" s="550"/>
      <c r="AC56" s="550"/>
      <c r="AD56" s="550"/>
      <c r="AE56" s="550"/>
      <c r="AF56" s="550"/>
      <c r="AG56" s="550"/>
      <c r="AH56" s="550"/>
      <c r="AI56" s="550"/>
      <c r="AJ56" s="550"/>
      <c r="AK56" s="550"/>
      <c r="AL56" s="550"/>
      <c r="AM56" s="550"/>
      <c r="AN56" s="550"/>
      <c r="AO56" s="550"/>
      <c r="AP56" s="550"/>
      <c r="AQ56" s="550"/>
      <c r="AR56" s="550"/>
      <c r="AS56" s="550"/>
      <c r="AT56" s="550"/>
      <c r="AU56" s="550"/>
      <c r="AV56" s="550"/>
      <c r="AW56" s="550"/>
      <c r="AX56" s="550"/>
      <c r="AY56" s="550"/>
      <c r="AZ56" s="550"/>
      <c r="BA56" s="550"/>
    </row>
    <row r="57" spans="1:53">
      <c r="A57" s="550"/>
      <c r="B57" s="550"/>
      <c r="C57" s="550"/>
      <c r="D57" s="550"/>
      <c r="E57" s="550"/>
      <c r="F57" s="551"/>
      <c r="G57" s="550"/>
      <c r="H57" s="550"/>
      <c r="I57" s="550"/>
      <c r="J57" s="550"/>
      <c r="K57" s="550"/>
      <c r="L57" s="550"/>
      <c r="M57" s="550"/>
      <c r="N57" s="550"/>
      <c r="O57" s="550"/>
      <c r="P57" s="550"/>
      <c r="Q57" s="550"/>
      <c r="R57" s="550"/>
      <c r="S57" s="550"/>
      <c r="T57" s="550"/>
      <c r="U57" s="550"/>
      <c r="V57" s="550"/>
      <c r="W57" s="550"/>
      <c r="X57" s="550"/>
      <c r="Y57" s="550"/>
      <c r="Z57" s="550"/>
      <c r="AA57" s="550"/>
      <c r="AB57" s="550"/>
      <c r="AC57" s="550"/>
      <c r="AD57" s="550"/>
      <c r="AE57" s="550"/>
      <c r="AF57" s="550"/>
      <c r="AG57" s="550"/>
      <c r="AH57" s="550"/>
      <c r="AI57" s="550"/>
      <c r="AJ57" s="550"/>
      <c r="AK57" s="550"/>
      <c r="AL57" s="550"/>
      <c r="AM57" s="550"/>
      <c r="AN57" s="550"/>
      <c r="AO57" s="550"/>
      <c r="AP57" s="550"/>
      <c r="AQ57" s="550"/>
      <c r="AR57" s="550"/>
      <c r="AS57" s="550"/>
      <c r="AT57" s="550"/>
      <c r="AU57" s="550"/>
      <c r="AV57" s="550"/>
      <c r="AW57" s="550"/>
      <c r="AX57" s="550"/>
      <c r="AY57" s="550"/>
      <c r="AZ57" s="550"/>
      <c r="BA57" s="550"/>
    </row>
    <row r="58" spans="1:53">
      <c r="A58" s="550"/>
      <c r="B58" s="550"/>
      <c r="C58" s="550"/>
      <c r="D58" s="550"/>
      <c r="E58" s="550"/>
      <c r="F58" s="551"/>
      <c r="G58" s="550"/>
      <c r="H58" s="550"/>
      <c r="I58" s="550"/>
      <c r="J58" s="550"/>
      <c r="K58" s="550"/>
      <c r="L58" s="550"/>
      <c r="M58" s="550"/>
      <c r="N58" s="550"/>
      <c r="O58" s="550"/>
      <c r="P58" s="550"/>
      <c r="Q58" s="550"/>
      <c r="R58" s="550"/>
      <c r="S58" s="550"/>
      <c r="T58" s="550"/>
      <c r="U58" s="550"/>
      <c r="V58" s="550"/>
      <c r="W58" s="550"/>
      <c r="X58" s="550"/>
      <c r="Y58" s="550"/>
      <c r="Z58" s="550"/>
      <c r="AA58" s="550"/>
      <c r="AB58" s="550"/>
      <c r="AC58" s="550"/>
      <c r="AD58" s="550"/>
      <c r="AE58" s="550"/>
      <c r="AF58" s="550"/>
      <c r="AG58" s="550"/>
      <c r="AH58" s="550"/>
      <c r="AI58" s="550"/>
      <c r="AJ58" s="550"/>
      <c r="AK58" s="550"/>
      <c r="AL58" s="550"/>
      <c r="AM58" s="550"/>
      <c r="AN58" s="550"/>
      <c r="AO58" s="550"/>
      <c r="AP58" s="550"/>
      <c r="AQ58" s="550"/>
      <c r="AR58" s="550"/>
      <c r="AS58" s="550"/>
      <c r="AT58" s="550"/>
      <c r="AU58" s="550"/>
      <c r="AV58" s="550"/>
      <c r="AW58" s="550"/>
      <c r="AX58" s="550"/>
      <c r="AY58" s="550"/>
      <c r="AZ58" s="550"/>
      <c r="BA58" s="550"/>
    </row>
    <row r="59" spans="1:53">
      <c r="A59" s="550"/>
      <c r="B59" s="550"/>
      <c r="C59" s="550"/>
      <c r="D59" s="550"/>
      <c r="E59" s="550"/>
      <c r="F59" s="551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50"/>
      <c r="AB59" s="550"/>
      <c r="AC59" s="550"/>
      <c r="AD59" s="550"/>
      <c r="AE59" s="550"/>
      <c r="AF59" s="550"/>
      <c r="AG59" s="550"/>
      <c r="AH59" s="550"/>
      <c r="AI59" s="550"/>
      <c r="AJ59" s="550"/>
      <c r="AK59" s="550"/>
      <c r="AL59" s="550"/>
      <c r="AM59" s="550"/>
      <c r="AN59" s="550"/>
      <c r="AO59" s="550"/>
      <c r="AP59" s="550"/>
      <c r="AQ59" s="550"/>
      <c r="AR59" s="550"/>
      <c r="AS59" s="550"/>
      <c r="AT59" s="550"/>
      <c r="AU59" s="550"/>
      <c r="AV59" s="550"/>
      <c r="AW59" s="550"/>
      <c r="AX59" s="550"/>
      <c r="AY59" s="550"/>
      <c r="AZ59" s="550"/>
      <c r="BA59" s="550"/>
    </row>
    <row r="60" spans="1:53">
      <c r="A60" s="550"/>
      <c r="B60" s="550"/>
      <c r="C60" s="550"/>
      <c r="D60" s="550"/>
      <c r="E60" s="550"/>
      <c r="F60" s="551"/>
      <c r="G60" s="550"/>
      <c r="H60" s="550"/>
      <c r="I60" s="550"/>
      <c r="J60" s="550"/>
      <c r="K60" s="550"/>
      <c r="L60" s="550"/>
      <c r="M60" s="550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  <c r="Z60" s="550"/>
      <c r="AA60" s="550"/>
      <c r="AB60" s="550"/>
      <c r="AC60" s="550"/>
      <c r="AD60" s="550"/>
      <c r="AE60" s="550"/>
      <c r="AF60" s="550"/>
      <c r="AG60" s="550"/>
      <c r="AH60" s="550"/>
      <c r="AI60" s="550"/>
      <c r="AJ60" s="550"/>
      <c r="AK60" s="550"/>
      <c r="AL60" s="550"/>
      <c r="AM60" s="550"/>
      <c r="AN60" s="550"/>
      <c r="AO60" s="550"/>
      <c r="AP60" s="550"/>
      <c r="AQ60" s="550"/>
      <c r="AR60" s="550"/>
      <c r="AS60" s="550"/>
      <c r="AT60" s="550"/>
      <c r="AU60" s="550"/>
      <c r="AV60" s="550"/>
      <c r="AW60" s="550"/>
      <c r="AX60" s="550"/>
      <c r="AY60" s="550"/>
      <c r="AZ60" s="550"/>
      <c r="BA60" s="550"/>
    </row>
    <row r="61" spans="1:53">
      <c r="A61" s="550"/>
      <c r="B61" s="550"/>
      <c r="C61" s="550"/>
      <c r="D61" s="550"/>
      <c r="E61" s="550"/>
      <c r="F61" s="551"/>
      <c r="G61" s="550"/>
      <c r="H61" s="550"/>
      <c r="I61" s="550"/>
      <c r="J61" s="550"/>
      <c r="K61" s="550"/>
      <c r="L61" s="550"/>
      <c r="M61" s="550"/>
      <c r="N61" s="550"/>
      <c r="O61" s="550"/>
      <c r="P61" s="550"/>
      <c r="Q61" s="550"/>
      <c r="R61" s="550"/>
      <c r="S61" s="550"/>
      <c r="T61" s="550"/>
      <c r="U61" s="550"/>
      <c r="V61" s="550"/>
      <c r="W61" s="550"/>
      <c r="X61" s="550"/>
      <c r="Y61" s="550"/>
      <c r="Z61" s="550"/>
      <c r="AA61" s="550"/>
      <c r="AB61" s="550"/>
      <c r="AC61" s="550"/>
      <c r="AD61" s="550"/>
      <c r="AE61" s="550"/>
      <c r="AF61" s="550"/>
      <c r="AG61" s="550"/>
      <c r="AH61" s="550"/>
      <c r="AI61" s="550"/>
      <c r="AJ61" s="550"/>
      <c r="AK61" s="550"/>
      <c r="AL61" s="550"/>
      <c r="AM61" s="550"/>
      <c r="AN61" s="550"/>
      <c r="AO61" s="550"/>
      <c r="AP61" s="550"/>
      <c r="AQ61" s="550"/>
      <c r="AR61" s="550"/>
      <c r="AS61" s="550"/>
      <c r="AT61" s="550"/>
      <c r="AU61" s="550"/>
      <c r="AV61" s="550"/>
      <c r="AW61" s="550"/>
      <c r="AX61" s="550"/>
      <c r="AY61" s="550"/>
      <c r="AZ61" s="550"/>
      <c r="BA61" s="550"/>
    </row>
    <row r="62" spans="1:53">
      <c r="A62" s="550"/>
      <c r="B62" s="550"/>
      <c r="C62" s="550"/>
      <c r="D62" s="550"/>
      <c r="E62" s="550"/>
      <c r="F62" s="551"/>
      <c r="G62" s="550"/>
      <c r="H62" s="550"/>
      <c r="I62" s="550"/>
      <c r="J62" s="550"/>
      <c r="K62" s="550"/>
      <c r="L62" s="550"/>
      <c r="M62" s="550"/>
      <c r="N62" s="550"/>
      <c r="O62" s="550"/>
      <c r="P62" s="550"/>
      <c r="Q62" s="550"/>
      <c r="R62" s="550"/>
      <c r="S62" s="550"/>
      <c r="T62" s="550"/>
      <c r="U62" s="550"/>
      <c r="V62" s="550"/>
      <c r="W62" s="550"/>
      <c r="X62" s="550"/>
      <c r="Y62" s="550"/>
      <c r="Z62" s="550"/>
      <c r="AA62" s="550"/>
      <c r="AB62" s="550"/>
      <c r="AC62" s="550"/>
      <c r="AD62" s="550"/>
      <c r="AE62" s="550"/>
      <c r="AF62" s="550"/>
      <c r="AG62" s="550"/>
      <c r="AH62" s="550"/>
      <c r="AI62" s="550"/>
      <c r="AJ62" s="550"/>
      <c r="AK62" s="550"/>
      <c r="AL62" s="550"/>
      <c r="AM62" s="550"/>
      <c r="AN62" s="550"/>
      <c r="AO62" s="550"/>
      <c r="AP62" s="550"/>
      <c r="AQ62" s="550"/>
      <c r="AR62" s="550"/>
      <c r="AS62" s="550"/>
      <c r="AT62" s="550"/>
      <c r="AU62" s="550"/>
      <c r="AV62" s="550"/>
      <c r="AW62" s="550"/>
      <c r="AX62" s="550"/>
      <c r="AY62" s="550"/>
      <c r="AZ62" s="550"/>
      <c r="BA62" s="550"/>
    </row>
    <row r="63" spans="1:53">
      <c r="A63" s="550"/>
      <c r="B63" s="550"/>
      <c r="C63" s="550"/>
      <c r="D63" s="550"/>
      <c r="E63" s="550"/>
      <c r="F63" s="551"/>
      <c r="G63" s="550"/>
      <c r="H63" s="550"/>
      <c r="I63" s="550"/>
      <c r="J63" s="550"/>
      <c r="K63" s="550"/>
      <c r="L63" s="550"/>
      <c r="M63" s="550"/>
      <c r="N63" s="550"/>
      <c r="O63" s="550"/>
      <c r="P63" s="550"/>
      <c r="Q63" s="550"/>
      <c r="R63" s="550"/>
      <c r="S63" s="550"/>
      <c r="T63" s="550"/>
      <c r="U63" s="550"/>
      <c r="V63" s="550"/>
      <c r="W63" s="550"/>
      <c r="X63" s="550"/>
      <c r="Y63" s="550"/>
      <c r="Z63" s="550"/>
      <c r="AA63" s="550"/>
      <c r="AB63" s="550"/>
      <c r="AC63" s="550"/>
      <c r="AD63" s="550"/>
      <c r="AE63" s="550"/>
      <c r="AF63" s="550"/>
      <c r="AG63" s="550"/>
      <c r="AH63" s="550"/>
      <c r="AI63" s="550"/>
      <c r="AJ63" s="550"/>
      <c r="AK63" s="550"/>
      <c r="AL63" s="550"/>
      <c r="AM63" s="550"/>
      <c r="AN63" s="550"/>
      <c r="AO63" s="550"/>
      <c r="AP63" s="550"/>
      <c r="AQ63" s="550"/>
      <c r="AR63" s="550"/>
      <c r="AS63" s="550"/>
      <c r="AT63" s="550"/>
      <c r="AU63" s="550"/>
      <c r="AV63" s="550"/>
      <c r="AW63" s="550"/>
      <c r="AX63" s="550"/>
      <c r="AY63" s="550"/>
      <c r="AZ63" s="550"/>
      <c r="BA63" s="550"/>
    </row>
    <row r="64" spans="1:53">
      <c r="A64" s="550"/>
      <c r="B64" s="550"/>
      <c r="C64" s="550"/>
      <c r="D64" s="550"/>
      <c r="E64" s="550"/>
      <c r="F64" s="551"/>
      <c r="G64" s="550"/>
      <c r="H64" s="550"/>
      <c r="I64" s="550"/>
      <c r="J64" s="550"/>
      <c r="K64" s="550"/>
      <c r="L64" s="550"/>
      <c r="M64" s="550"/>
      <c r="N64" s="550"/>
      <c r="O64" s="550"/>
      <c r="P64" s="550"/>
      <c r="Q64" s="550"/>
      <c r="R64" s="550"/>
      <c r="S64" s="550"/>
      <c r="T64" s="550"/>
      <c r="U64" s="550"/>
      <c r="V64" s="550"/>
      <c r="W64" s="550"/>
      <c r="X64" s="550"/>
      <c r="Y64" s="550"/>
      <c r="Z64" s="550"/>
      <c r="AA64" s="550"/>
      <c r="AB64" s="550"/>
      <c r="AC64" s="550"/>
      <c r="AD64" s="550"/>
      <c r="AE64" s="550"/>
      <c r="AF64" s="550"/>
      <c r="AG64" s="550"/>
      <c r="AH64" s="550"/>
      <c r="AI64" s="550"/>
      <c r="AJ64" s="550"/>
      <c r="AK64" s="550"/>
      <c r="AL64" s="550"/>
      <c r="AM64" s="550"/>
      <c r="AN64" s="550"/>
      <c r="AO64" s="550"/>
      <c r="AP64" s="550"/>
      <c r="AQ64" s="550"/>
      <c r="AR64" s="550"/>
      <c r="AS64" s="550"/>
      <c r="AT64" s="550"/>
      <c r="AU64" s="550"/>
      <c r="AV64" s="550"/>
      <c r="AW64" s="550"/>
      <c r="AX64" s="550"/>
      <c r="AY64" s="550"/>
      <c r="AZ64" s="550"/>
      <c r="BA64" s="550"/>
    </row>
    <row r="65" spans="1:53">
      <c r="A65" s="550"/>
      <c r="B65" s="550"/>
      <c r="C65" s="550"/>
      <c r="D65" s="550"/>
      <c r="E65" s="550"/>
      <c r="F65" s="551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50"/>
      <c r="AB65" s="550"/>
      <c r="AC65" s="550"/>
      <c r="AD65" s="550"/>
      <c r="AE65" s="550"/>
      <c r="AF65" s="550"/>
      <c r="AG65" s="550"/>
      <c r="AH65" s="550"/>
      <c r="AI65" s="550"/>
      <c r="AJ65" s="550"/>
      <c r="AK65" s="550"/>
      <c r="AL65" s="550"/>
      <c r="AM65" s="550"/>
      <c r="AN65" s="550"/>
      <c r="AO65" s="550"/>
      <c r="AP65" s="550"/>
      <c r="AQ65" s="550"/>
      <c r="AR65" s="550"/>
      <c r="AS65" s="550"/>
      <c r="AT65" s="550"/>
      <c r="AU65" s="550"/>
      <c r="AV65" s="550"/>
      <c r="AW65" s="550"/>
      <c r="AX65" s="550"/>
      <c r="AY65" s="550"/>
      <c r="AZ65" s="550"/>
      <c r="BA65" s="550"/>
    </row>
    <row r="66" spans="1:53">
      <c r="A66" s="550"/>
      <c r="B66" s="550"/>
      <c r="C66" s="550"/>
      <c r="D66" s="550"/>
      <c r="E66" s="550"/>
      <c r="F66" s="551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  <c r="Z66" s="550"/>
      <c r="AA66" s="550"/>
      <c r="AB66" s="550"/>
      <c r="AC66" s="550"/>
      <c r="AD66" s="550"/>
      <c r="AE66" s="550"/>
      <c r="AF66" s="550"/>
      <c r="AG66" s="550"/>
      <c r="AH66" s="550"/>
      <c r="AI66" s="550"/>
      <c r="AJ66" s="550"/>
      <c r="AK66" s="550"/>
      <c r="AL66" s="550"/>
      <c r="AM66" s="550"/>
      <c r="AN66" s="550"/>
      <c r="AO66" s="550"/>
      <c r="AP66" s="550"/>
      <c r="AQ66" s="550"/>
      <c r="AR66" s="550"/>
      <c r="AS66" s="550"/>
      <c r="AT66" s="550"/>
      <c r="AU66" s="550"/>
      <c r="AV66" s="550"/>
      <c r="AW66" s="550"/>
      <c r="AX66" s="550"/>
      <c r="AY66" s="550"/>
      <c r="AZ66" s="550"/>
      <c r="BA66" s="550"/>
    </row>
    <row r="67" spans="1:53">
      <c r="A67" s="550"/>
      <c r="B67" s="550"/>
      <c r="C67" s="550"/>
      <c r="D67" s="550"/>
      <c r="E67" s="550"/>
      <c r="F67" s="551"/>
      <c r="G67" s="550"/>
      <c r="H67" s="550"/>
      <c r="I67" s="550"/>
      <c r="J67" s="550"/>
      <c r="K67" s="550"/>
      <c r="L67" s="550"/>
      <c r="M67" s="550"/>
      <c r="N67" s="550"/>
      <c r="O67" s="550"/>
      <c r="P67" s="550"/>
      <c r="Q67" s="550"/>
      <c r="R67" s="550"/>
      <c r="S67" s="550"/>
      <c r="T67" s="550"/>
      <c r="U67" s="550"/>
      <c r="V67" s="550"/>
      <c r="W67" s="550"/>
      <c r="X67" s="550"/>
      <c r="Y67" s="550"/>
      <c r="Z67" s="550"/>
      <c r="AA67" s="550"/>
      <c r="AB67" s="550"/>
      <c r="AC67" s="550"/>
      <c r="AD67" s="550"/>
      <c r="AE67" s="550"/>
      <c r="AF67" s="550"/>
      <c r="AG67" s="550"/>
      <c r="AH67" s="550"/>
      <c r="AI67" s="550"/>
      <c r="AJ67" s="550"/>
      <c r="AK67" s="550"/>
      <c r="AL67" s="550"/>
      <c r="AM67" s="550"/>
      <c r="AN67" s="550"/>
      <c r="AO67" s="550"/>
      <c r="AP67" s="550"/>
      <c r="AQ67" s="550"/>
      <c r="AR67" s="550"/>
      <c r="AS67" s="550"/>
      <c r="AT67" s="550"/>
      <c r="AU67" s="550"/>
      <c r="AV67" s="550"/>
      <c r="AW67" s="550"/>
      <c r="AX67" s="550"/>
      <c r="AY67" s="550"/>
      <c r="AZ67" s="550"/>
      <c r="BA67" s="550"/>
    </row>
    <row r="68" spans="1:53">
      <c r="A68" s="550"/>
      <c r="B68" s="550"/>
      <c r="C68" s="550"/>
      <c r="D68" s="550"/>
      <c r="E68" s="550"/>
      <c r="F68" s="551"/>
      <c r="G68" s="550"/>
      <c r="H68" s="550"/>
      <c r="I68" s="550"/>
      <c r="J68" s="550"/>
      <c r="K68" s="550"/>
      <c r="L68" s="550"/>
      <c r="M68" s="550"/>
      <c r="N68" s="550"/>
      <c r="O68" s="550"/>
      <c r="P68" s="550"/>
      <c r="Q68" s="550"/>
      <c r="R68" s="550"/>
      <c r="S68" s="550"/>
      <c r="T68" s="550"/>
      <c r="U68" s="550"/>
      <c r="V68" s="550"/>
      <c r="W68" s="550"/>
      <c r="X68" s="550"/>
      <c r="Y68" s="550"/>
      <c r="Z68" s="550"/>
      <c r="AA68" s="550"/>
      <c r="AB68" s="550"/>
      <c r="AC68" s="550"/>
      <c r="AD68" s="550"/>
      <c r="AE68" s="550"/>
      <c r="AF68" s="550"/>
      <c r="AG68" s="550"/>
      <c r="AH68" s="550"/>
      <c r="AI68" s="550"/>
      <c r="AJ68" s="550"/>
      <c r="AK68" s="550"/>
      <c r="AL68" s="550"/>
      <c r="AM68" s="550"/>
      <c r="AN68" s="550"/>
      <c r="AO68" s="550"/>
      <c r="AP68" s="550"/>
      <c r="AQ68" s="550"/>
      <c r="AR68" s="550"/>
      <c r="AS68" s="550"/>
      <c r="AT68" s="550"/>
      <c r="AU68" s="550"/>
      <c r="AV68" s="550"/>
      <c r="AW68" s="550"/>
      <c r="AX68" s="550"/>
      <c r="AY68" s="550"/>
      <c r="AZ68" s="550"/>
      <c r="BA68" s="550"/>
    </row>
    <row r="69" spans="1:53">
      <c r="A69" s="550"/>
      <c r="B69" s="550"/>
      <c r="C69" s="550"/>
      <c r="D69" s="550"/>
      <c r="E69" s="550"/>
      <c r="F69" s="551"/>
      <c r="G69" s="550"/>
      <c r="H69" s="550"/>
      <c r="I69" s="550"/>
      <c r="J69" s="550"/>
      <c r="K69" s="550"/>
      <c r="L69" s="550"/>
      <c r="M69" s="550"/>
      <c r="N69" s="550"/>
      <c r="O69" s="550"/>
      <c r="P69" s="550"/>
      <c r="Q69" s="550"/>
      <c r="R69" s="550"/>
      <c r="S69" s="550"/>
      <c r="T69" s="550"/>
      <c r="U69" s="550"/>
      <c r="V69" s="550"/>
      <c r="W69" s="550"/>
      <c r="X69" s="550"/>
      <c r="Y69" s="550"/>
      <c r="Z69" s="550"/>
      <c r="AA69" s="550"/>
      <c r="AB69" s="550"/>
      <c r="AC69" s="550"/>
      <c r="AD69" s="550"/>
      <c r="AE69" s="550"/>
      <c r="AF69" s="550"/>
      <c r="AG69" s="550"/>
      <c r="AH69" s="550"/>
      <c r="AI69" s="550"/>
      <c r="AJ69" s="550"/>
      <c r="AK69" s="550"/>
      <c r="AL69" s="550"/>
      <c r="AM69" s="550"/>
      <c r="AN69" s="550"/>
      <c r="AO69" s="550"/>
      <c r="AP69" s="550"/>
      <c r="AQ69" s="550"/>
      <c r="AR69" s="550"/>
      <c r="AS69" s="550"/>
      <c r="AT69" s="550"/>
      <c r="AU69" s="550"/>
      <c r="AV69" s="550"/>
      <c r="AW69" s="550"/>
      <c r="AX69" s="550"/>
      <c r="AY69" s="550"/>
      <c r="AZ69" s="550"/>
      <c r="BA69" s="550"/>
    </row>
    <row r="70" spans="1:53">
      <c r="A70" s="550"/>
      <c r="B70" s="550"/>
      <c r="C70" s="550"/>
      <c r="D70" s="550"/>
      <c r="E70" s="550"/>
      <c r="F70" s="551"/>
      <c r="G70" s="550"/>
      <c r="H70" s="550"/>
      <c r="I70" s="550"/>
      <c r="J70" s="550"/>
      <c r="K70" s="550"/>
      <c r="L70" s="550"/>
      <c r="M70" s="550"/>
      <c r="N70" s="550"/>
      <c r="O70" s="550"/>
      <c r="P70" s="550"/>
      <c r="Q70" s="550"/>
      <c r="R70" s="550"/>
      <c r="S70" s="550"/>
      <c r="T70" s="550"/>
      <c r="U70" s="550"/>
      <c r="V70" s="550"/>
      <c r="W70" s="550"/>
      <c r="X70" s="550"/>
      <c r="Y70" s="550"/>
      <c r="Z70" s="550"/>
      <c r="AA70" s="550"/>
      <c r="AB70" s="550"/>
      <c r="AC70" s="550"/>
      <c r="AD70" s="550"/>
      <c r="AE70" s="550"/>
      <c r="AF70" s="550"/>
      <c r="AG70" s="550"/>
      <c r="AH70" s="550"/>
      <c r="AI70" s="550"/>
      <c r="AJ70" s="550"/>
      <c r="AK70" s="550"/>
      <c r="AL70" s="550"/>
      <c r="AM70" s="550"/>
      <c r="AN70" s="550"/>
      <c r="AO70" s="550"/>
      <c r="AP70" s="550"/>
      <c r="AQ70" s="550"/>
      <c r="AR70" s="550"/>
      <c r="AS70" s="550"/>
      <c r="AT70" s="550"/>
      <c r="AU70" s="550"/>
      <c r="AV70" s="550"/>
      <c r="AW70" s="550"/>
      <c r="AX70" s="550"/>
      <c r="AY70" s="550"/>
      <c r="AZ70" s="550"/>
      <c r="BA70" s="550"/>
    </row>
    <row r="71" spans="1:53">
      <c r="A71" s="550"/>
      <c r="B71" s="550"/>
      <c r="C71" s="550"/>
      <c r="D71" s="550"/>
      <c r="E71" s="550"/>
      <c r="F71" s="551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50"/>
      <c r="AB71" s="550"/>
      <c r="AC71" s="550"/>
      <c r="AD71" s="550"/>
      <c r="AE71" s="550"/>
      <c r="AF71" s="550"/>
      <c r="AG71" s="550"/>
      <c r="AH71" s="550"/>
      <c r="AI71" s="550"/>
      <c r="AJ71" s="550"/>
      <c r="AK71" s="550"/>
      <c r="AL71" s="550"/>
      <c r="AM71" s="550"/>
      <c r="AN71" s="550"/>
      <c r="AO71" s="550"/>
      <c r="AP71" s="550"/>
      <c r="AQ71" s="550"/>
      <c r="AR71" s="550"/>
      <c r="AS71" s="550"/>
      <c r="AT71" s="550"/>
      <c r="AU71" s="550"/>
      <c r="AV71" s="550"/>
      <c r="AW71" s="550"/>
      <c r="AX71" s="550"/>
      <c r="AY71" s="550"/>
      <c r="AZ71" s="550"/>
      <c r="BA71" s="550"/>
    </row>
    <row r="72" spans="1:53">
      <c r="A72" s="550"/>
      <c r="B72" s="550"/>
      <c r="C72" s="550"/>
      <c r="D72" s="550"/>
      <c r="E72" s="550"/>
      <c r="F72" s="551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  <c r="Z72" s="550"/>
      <c r="AA72" s="550"/>
      <c r="AB72" s="550"/>
      <c r="AC72" s="550"/>
      <c r="AD72" s="550"/>
      <c r="AE72" s="550"/>
      <c r="AF72" s="550"/>
      <c r="AG72" s="550"/>
      <c r="AH72" s="550"/>
      <c r="AI72" s="550"/>
      <c r="AJ72" s="550"/>
      <c r="AK72" s="550"/>
      <c r="AL72" s="550"/>
      <c r="AM72" s="550"/>
      <c r="AN72" s="550"/>
      <c r="AO72" s="550"/>
      <c r="AP72" s="550"/>
      <c r="AQ72" s="550"/>
      <c r="AR72" s="550"/>
      <c r="AS72" s="550"/>
      <c r="AT72" s="550"/>
      <c r="AU72" s="550"/>
      <c r="AV72" s="550"/>
      <c r="AW72" s="550"/>
      <c r="AX72" s="550"/>
      <c r="AY72" s="550"/>
      <c r="AZ72" s="550"/>
      <c r="BA72" s="550"/>
    </row>
    <row r="73" spans="1:53">
      <c r="A73" s="550"/>
      <c r="B73" s="550"/>
      <c r="C73" s="550"/>
      <c r="D73" s="550"/>
      <c r="E73" s="550"/>
      <c r="F73" s="551"/>
      <c r="G73" s="550"/>
      <c r="H73" s="550"/>
      <c r="I73" s="550"/>
      <c r="J73" s="550"/>
      <c r="K73" s="550"/>
      <c r="L73" s="550"/>
      <c r="M73" s="550"/>
      <c r="N73" s="550"/>
      <c r="O73" s="550"/>
      <c r="P73" s="550"/>
      <c r="Q73" s="550"/>
      <c r="R73" s="550"/>
      <c r="S73" s="550"/>
      <c r="T73" s="550"/>
      <c r="U73" s="550"/>
      <c r="V73" s="550"/>
      <c r="W73" s="550"/>
      <c r="X73" s="550"/>
      <c r="Y73" s="550"/>
      <c r="Z73" s="550"/>
      <c r="AA73" s="550"/>
      <c r="AB73" s="550"/>
      <c r="AC73" s="550"/>
      <c r="AD73" s="550"/>
      <c r="AE73" s="550"/>
      <c r="AF73" s="550"/>
      <c r="AG73" s="550"/>
      <c r="AH73" s="550"/>
      <c r="AI73" s="550"/>
      <c r="AJ73" s="550"/>
      <c r="AK73" s="550"/>
      <c r="AL73" s="550"/>
      <c r="AM73" s="550"/>
      <c r="AN73" s="550"/>
      <c r="AO73" s="550"/>
      <c r="AP73" s="550"/>
      <c r="AQ73" s="550"/>
      <c r="AR73" s="550"/>
      <c r="AS73" s="550"/>
      <c r="AT73" s="550"/>
      <c r="AU73" s="550"/>
      <c r="AV73" s="550"/>
      <c r="AW73" s="550"/>
      <c r="AX73" s="550"/>
      <c r="AY73" s="550"/>
      <c r="AZ73" s="550"/>
      <c r="BA73" s="550"/>
    </row>
    <row r="74" spans="1:53">
      <c r="A74" s="550"/>
      <c r="B74" s="550"/>
      <c r="C74" s="550"/>
      <c r="D74" s="550"/>
      <c r="E74" s="550"/>
      <c r="F74" s="551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0"/>
      <c r="AB74" s="550"/>
      <c r="AC74" s="550"/>
      <c r="AD74" s="550"/>
      <c r="AE74" s="550"/>
      <c r="AF74" s="550"/>
      <c r="AG74" s="550"/>
      <c r="AH74" s="550"/>
      <c r="AI74" s="550"/>
      <c r="AJ74" s="550"/>
      <c r="AK74" s="550"/>
      <c r="AL74" s="550"/>
      <c r="AM74" s="550"/>
      <c r="AN74" s="550"/>
      <c r="AO74" s="550"/>
      <c r="AP74" s="550"/>
      <c r="AQ74" s="550"/>
      <c r="AR74" s="550"/>
      <c r="AS74" s="550"/>
      <c r="AT74" s="550"/>
      <c r="AU74" s="550"/>
      <c r="AV74" s="550"/>
      <c r="AW74" s="550"/>
      <c r="AX74" s="550"/>
      <c r="AY74" s="550"/>
      <c r="AZ74" s="550"/>
      <c r="BA74" s="550"/>
    </row>
    <row r="75" spans="1:53">
      <c r="A75" s="550"/>
      <c r="B75" s="550"/>
      <c r="C75" s="550"/>
      <c r="D75" s="550"/>
      <c r="E75" s="550"/>
      <c r="F75" s="551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  <c r="Z75" s="550"/>
      <c r="AA75" s="550"/>
      <c r="AB75" s="550"/>
      <c r="AC75" s="550"/>
      <c r="AD75" s="550"/>
      <c r="AE75" s="550"/>
      <c r="AF75" s="550"/>
      <c r="AG75" s="550"/>
      <c r="AH75" s="550"/>
      <c r="AI75" s="550"/>
      <c r="AJ75" s="550"/>
      <c r="AK75" s="550"/>
      <c r="AL75" s="550"/>
      <c r="AM75" s="550"/>
      <c r="AN75" s="550"/>
      <c r="AO75" s="550"/>
      <c r="AP75" s="550"/>
      <c r="AQ75" s="550"/>
      <c r="AR75" s="550"/>
      <c r="AS75" s="550"/>
      <c r="AT75" s="550"/>
      <c r="AU75" s="550"/>
      <c r="AV75" s="550"/>
      <c r="AW75" s="550"/>
      <c r="AX75" s="550"/>
      <c r="AY75" s="550"/>
      <c r="AZ75" s="550"/>
      <c r="BA75" s="550"/>
    </row>
    <row r="76" spans="1:53">
      <c r="A76" s="550"/>
      <c r="B76" s="550"/>
      <c r="C76" s="550"/>
      <c r="D76" s="550"/>
      <c r="E76" s="550"/>
      <c r="F76" s="551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  <c r="Z76" s="550"/>
      <c r="AA76" s="550"/>
      <c r="AB76" s="550"/>
      <c r="AC76" s="550"/>
      <c r="AD76" s="550"/>
      <c r="AE76" s="550"/>
      <c r="AF76" s="550"/>
      <c r="AG76" s="550"/>
      <c r="AH76" s="550"/>
      <c r="AI76" s="550"/>
      <c r="AJ76" s="550"/>
      <c r="AK76" s="550"/>
      <c r="AL76" s="550"/>
      <c r="AM76" s="550"/>
      <c r="AN76" s="550"/>
      <c r="AO76" s="550"/>
      <c r="AP76" s="550"/>
      <c r="AQ76" s="550"/>
      <c r="AR76" s="550"/>
      <c r="AS76" s="550"/>
      <c r="AT76" s="550"/>
      <c r="AU76" s="550"/>
      <c r="AV76" s="550"/>
      <c r="AW76" s="550"/>
      <c r="AX76" s="550"/>
      <c r="AY76" s="550"/>
      <c r="AZ76" s="550"/>
      <c r="BA76" s="550"/>
    </row>
    <row r="77" spans="1:53">
      <c r="A77" s="550"/>
      <c r="B77" s="550"/>
      <c r="C77" s="550"/>
      <c r="D77" s="550"/>
      <c r="E77" s="550"/>
      <c r="F77" s="551"/>
      <c r="G77" s="550"/>
      <c r="H77" s="550"/>
      <c r="I77" s="550"/>
      <c r="J77" s="550"/>
      <c r="K77" s="550"/>
      <c r="L77" s="550"/>
      <c r="M77" s="550"/>
      <c r="N77" s="550"/>
      <c r="O77" s="550"/>
      <c r="P77" s="550"/>
      <c r="Q77" s="550"/>
      <c r="R77" s="550"/>
      <c r="S77" s="550"/>
      <c r="T77" s="550"/>
      <c r="U77" s="550"/>
      <c r="V77" s="550"/>
      <c r="W77" s="550"/>
      <c r="X77" s="550"/>
      <c r="Y77" s="550"/>
      <c r="Z77" s="550"/>
      <c r="AA77" s="550"/>
      <c r="AB77" s="550"/>
      <c r="AC77" s="550"/>
      <c r="AD77" s="550"/>
      <c r="AE77" s="550"/>
      <c r="AF77" s="550"/>
      <c r="AG77" s="550"/>
      <c r="AH77" s="550"/>
      <c r="AI77" s="550"/>
      <c r="AJ77" s="550"/>
      <c r="AK77" s="550"/>
      <c r="AL77" s="550"/>
      <c r="AM77" s="550"/>
      <c r="AN77" s="550"/>
      <c r="AO77" s="550"/>
      <c r="AP77" s="550"/>
      <c r="AQ77" s="550"/>
      <c r="AR77" s="550"/>
      <c r="AS77" s="550"/>
      <c r="AT77" s="550"/>
      <c r="AU77" s="550"/>
      <c r="AV77" s="550"/>
      <c r="AW77" s="550"/>
      <c r="AX77" s="550"/>
      <c r="AY77" s="550"/>
      <c r="AZ77" s="550"/>
      <c r="BA77" s="550"/>
    </row>
    <row r="78" spans="1:53">
      <c r="A78" s="550"/>
      <c r="B78" s="550"/>
      <c r="C78" s="550"/>
      <c r="D78" s="550"/>
      <c r="E78" s="550"/>
      <c r="F78" s="551"/>
      <c r="G78" s="550"/>
      <c r="H78" s="550"/>
      <c r="I78" s="550"/>
      <c r="J78" s="550"/>
      <c r="K78" s="550"/>
      <c r="L78" s="550"/>
      <c r="M78" s="550"/>
      <c r="N78" s="550"/>
      <c r="O78" s="550"/>
      <c r="P78" s="550"/>
      <c r="Q78" s="550"/>
      <c r="R78" s="550"/>
      <c r="S78" s="550"/>
      <c r="T78" s="550"/>
      <c r="U78" s="550"/>
      <c r="V78" s="550"/>
      <c r="W78" s="550"/>
      <c r="X78" s="550"/>
      <c r="Y78" s="550"/>
      <c r="Z78" s="550"/>
      <c r="AA78" s="550"/>
      <c r="AB78" s="550"/>
      <c r="AC78" s="550"/>
      <c r="AD78" s="550"/>
      <c r="AE78" s="550"/>
      <c r="AF78" s="550"/>
      <c r="AG78" s="550"/>
      <c r="AH78" s="550"/>
      <c r="AI78" s="550"/>
      <c r="AJ78" s="550"/>
      <c r="AK78" s="550"/>
      <c r="AL78" s="550"/>
      <c r="AM78" s="550"/>
      <c r="AN78" s="550"/>
      <c r="AO78" s="550"/>
      <c r="AP78" s="550"/>
      <c r="AQ78" s="550"/>
      <c r="AR78" s="550"/>
      <c r="AS78" s="550"/>
      <c r="AT78" s="550"/>
      <c r="AU78" s="550"/>
      <c r="AV78" s="550"/>
      <c r="AW78" s="550"/>
      <c r="AX78" s="550"/>
      <c r="AY78" s="550"/>
      <c r="AZ78" s="550"/>
      <c r="BA78" s="550"/>
    </row>
    <row r="79" spans="1:53">
      <c r="A79" s="550"/>
      <c r="B79" s="550"/>
      <c r="C79" s="550"/>
      <c r="D79" s="550"/>
      <c r="E79" s="550"/>
      <c r="F79" s="551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50"/>
      <c r="AB79" s="550"/>
      <c r="AC79" s="550"/>
      <c r="AD79" s="550"/>
      <c r="AE79" s="550"/>
      <c r="AF79" s="550"/>
      <c r="AG79" s="550"/>
      <c r="AH79" s="550"/>
      <c r="AI79" s="550"/>
      <c r="AJ79" s="550"/>
      <c r="AK79" s="550"/>
      <c r="AL79" s="550"/>
      <c r="AM79" s="550"/>
      <c r="AN79" s="550"/>
      <c r="AO79" s="550"/>
      <c r="AP79" s="550"/>
      <c r="AQ79" s="550"/>
      <c r="AR79" s="550"/>
      <c r="AS79" s="550"/>
      <c r="AT79" s="550"/>
      <c r="AU79" s="550"/>
      <c r="AV79" s="550"/>
      <c r="AW79" s="550"/>
      <c r="AX79" s="550"/>
      <c r="AY79" s="550"/>
      <c r="AZ79" s="550"/>
      <c r="BA79" s="550"/>
    </row>
    <row r="80" spans="1:53">
      <c r="A80" s="550"/>
      <c r="B80" s="550"/>
      <c r="C80" s="550"/>
      <c r="D80" s="550"/>
      <c r="E80" s="550"/>
      <c r="F80" s="551"/>
      <c r="G80" s="550"/>
      <c r="H80" s="550"/>
      <c r="I80" s="550"/>
      <c r="J80" s="550"/>
      <c r="K80" s="550"/>
      <c r="L80" s="550"/>
      <c r="M80" s="550"/>
      <c r="N80" s="550"/>
      <c r="O80" s="550"/>
      <c r="P80" s="550"/>
      <c r="Q80" s="550"/>
      <c r="R80" s="550"/>
      <c r="S80" s="550"/>
      <c r="T80" s="550"/>
      <c r="U80" s="550"/>
      <c r="V80" s="550"/>
      <c r="W80" s="550"/>
      <c r="X80" s="550"/>
      <c r="Y80" s="550"/>
      <c r="Z80" s="550"/>
      <c r="AA80" s="550"/>
      <c r="AB80" s="550"/>
      <c r="AC80" s="550"/>
      <c r="AD80" s="550"/>
      <c r="AE80" s="550"/>
      <c r="AF80" s="550"/>
      <c r="AG80" s="550"/>
      <c r="AH80" s="550"/>
      <c r="AI80" s="550"/>
      <c r="AJ80" s="550"/>
      <c r="AK80" s="550"/>
      <c r="AL80" s="550"/>
      <c r="AM80" s="550"/>
      <c r="AN80" s="550"/>
      <c r="AO80" s="550"/>
      <c r="AP80" s="550"/>
      <c r="AQ80" s="550"/>
      <c r="AR80" s="550"/>
      <c r="AS80" s="550"/>
      <c r="AT80" s="550"/>
      <c r="AU80" s="550"/>
      <c r="AV80" s="550"/>
      <c r="AW80" s="550"/>
      <c r="AX80" s="550"/>
      <c r="AY80" s="550"/>
      <c r="AZ80" s="550"/>
      <c r="BA80" s="550"/>
    </row>
    <row r="81" spans="1:53">
      <c r="A81" s="550"/>
      <c r="B81" s="550"/>
      <c r="C81" s="550"/>
      <c r="D81" s="550"/>
      <c r="E81" s="550"/>
      <c r="F81" s="551"/>
      <c r="G81" s="550"/>
      <c r="H81" s="550"/>
      <c r="I81" s="550"/>
      <c r="J81" s="550"/>
      <c r="K81" s="550"/>
      <c r="L81" s="550"/>
      <c r="M81" s="550"/>
      <c r="N81" s="550"/>
      <c r="O81" s="550"/>
      <c r="P81" s="550"/>
      <c r="Q81" s="550"/>
      <c r="R81" s="550"/>
      <c r="S81" s="550"/>
      <c r="T81" s="550"/>
      <c r="U81" s="550"/>
      <c r="V81" s="550"/>
      <c r="W81" s="550"/>
      <c r="X81" s="550"/>
      <c r="Y81" s="550"/>
      <c r="Z81" s="550"/>
      <c r="AA81" s="550"/>
      <c r="AB81" s="550"/>
      <c r="AC81" s="550"/>
      <c r="AD81" s="550"/>
      <c r="AE81" s="550"/>
      <c r="AF81" s="550"/>
      <c r="AG81" s="550"/>
      <c r="AH81" s="550"/>
      <c r="AI81" s="550"/>
      <c r="AJ81" s="550"/>
      <c r="AK81" s="550"/>
      <c r="AL81" s="550"/>
      <c r="AM81" s="550"/>
      <c r="AN81" s="550"/>
      <c r="AO81" s="550"/>
      <c r="AP81" s="550"/>
      <c r="AQ81" s="550"/>
      <c r="AR81" s="550"/>
      <c r="AS81" s="550"/>
      <c r="AT81" s="550"/>
      <c r="AU81" s="550"/>
      <c r="AV81" s="550"/>
      <c r="AW81" s="550"/>
      <c r="AX81" s="550"/>
      <c r="AY81" s="550"/>
      <c r="AZ81" s="550"/>
      <c r="BA81" s="550"/>
    </row>
    <row r="82" spans="1:53">
      <c r="A82" s="550"/>
      <c r="B82" s="550"/>
      <c r="C82" s="550"/>
      <c r="D82" s="550"/>
      <c r="E82" s="550"/>
      <c r="F82" s="551"/>
      <c r="G82" s="550"/>
      <c r="H82" s="550"/>
      <c r="I82" s="550"/>
      <c r="J82" s="550"/>
      <c r="K82" s="550"/>
      <c r="L82" s="550"/>
      <c r="M82" s="550"/>
      <c r="N82" s="550"/>
      <c r="O82" s="550"/>
      <c r="P82" s="550"/>
      <c r="Q82" s="550"/>
      <c r="R82" s="550"/>
      <c r="S82" s="550"/>
      <c r="T82" s="550"/>
      <c r="U82" s="550"/>
      <c r="V82" s="550"/>
      <c r="W82" s="550"/>
      <c r="X82" s="550"/>
      <c r="Y82" s="550"/>
      <c r="Z82" s="550"/>
      <c r="AA82" s="550"/>
      <c r="AB82" s="550"/>
      <c r="AC82" s="550"/>
      <c r="AD82" s="550"/>
      <c r="AE82" s="550"/>
      <c r="AF82" s="550"/>
      <c r="AG82" s="550"/>
      <c r="AH82" s="550"/>
      <c r="AI82" s="550"/>
      <c r="AJ82" s="550"/>
      <c r="AK82" s="550"/>
      <c r="AL82" s="550"/>
      <c r="AM82" s="550"/>
      <c r="AN82" s="550"/>
      <c r="AO82" s="550"/>
      <c r="AP82" s="550"/>
      <c r="AQ82" s="550"/>
      <c r="AR82" s="550"/>
      <c r="AS82" s="550"/>
      <c r="AT82" s="550"/>
      <c r="AU82" s="550"/>
      <c r="AV82" s="550"/>
      <c r="AW82" s="550"/>
      <c r="AX82" s="550"/>
      <c r="AY82" s="550"/>
      <c r="AZ82" s="550"/>
      <c r="BA82" s="550"/>
    </row>
  </sheetData>
  <mergeCells count="2">
    <mergeCell ref="F3:H3"/>
    <mergeCell ref="K3:P3"/>
  </mergeCells>
  <phoneticPr fontId="2" type="noConversion"/>
  <conditionalFormatting sqref="B5:B18">
    <cfRule type="containsText" dxfId="2" priority="1" operator="containsText" text="低">
      <formula>NOT(ISERROR(SEARCH("低",B5)))</formula>
    </cfRule>
    <cfRule type="containsText" dxfId="1" priority="2" operator="containsText" text="中">
      <formula>NOT(ISERROR(SEARCH("中",B5)))</formula>
    </cfRule>
    <cfRule type="containsText" dxfId="0" priority="3" operator="containsText" text="高">
      <formula>NOT(ISERROR(SEARCH("高",B5)))</formula>
    </cfRule>
  </conditionalFormatting>
  <conditionalFormatting sqref="I5:I19">
    <cfRule type="dataBar" priority="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{3BB195AF-CE29-4D9E-ADFF-7A79FE6EC9A1}</x14:id>
        </ext>
      </extLst>
    </cfRule>
  </conditionalFormatting>
  <dataValidations count="3">
    <dataValidation type="list" allowBlank="1" showInputMessage="1" showErrorMessage="1" sqref="J5:J18" xr:uid="{10A2A0F1-CE0D-4D4B-B743-DDC9A878A58A}">
      <formula1>"日,週,月,-"</formula1>
    </dataValidation>
    <dataValidation type="list" allowBlank="1" showInputMessage="1" showErrorMessage="1" sqref="Q5:AB18" xr:uid="{C9E3444F-8210-467D-ACDB-5034BA8B14F2}">
      <formula1>"Ο,Δ,╳,–"</formula1>
    </dataValidation>
    <dataValidation type="list" allowBlank="1" showInputMessage="1" showErrorMessage="1" sqref="B5:B18" xr:uid="{83CBDC63-8B57-44E5-85BB-4DA70A76086A}">
      <formula1>"高,中,低"</formula1>
    </dataValidation>
  </dataValidations>
  <pageMargins left="0.7" right="0.7" top="0.75" bottom="0.75" header="0.3" footer="0.3"/>
  <pageSetup paperSize="9" scale="28" orientation="portrait" r:id="rId1"/>
  <headerFooter>
    <oddHeader>&amp;C&amp;"Calibri"&amp;10&amp;K000000  AGC Group Internal Use Only &amp;1#_x000D_</oddHeader>
  </headerFooter>
  <colBreaks count="1" manualBreakCount="1">
    <brk id="32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B195AF-CE29-4D9E-ADFF-7A79FE6EC9A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I5:I19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3</vt:i4>
      </vt:variant>
    </vt:vector>
  </HeadingPairs>
  <TitlesOfParts>
    <vt:vector size="17" baseType="lpstr">
      <vt:lpstr>Sheet1</vt:lpstr>
      <vt:lpstr>Rotesion(中)(2個月版本)</vt:lpstr>
      <vt:lpstr>Rotesion(中) </vt:lpstr>
      <vt:lpstr>Rotesion(日) </vt:lpstr>
      <vt:lpstr>2026年度_上半年業務概況</vt:lpstr>
      <vt:lpstr>UiPath_初階教育輔導日期</vt:lpstr>
      <vt:lpstr>UiPath_初階課程課題說明</vt:lpstr>
      <vt:lpstr>KF SHP資料更新_無人值守</vt:lpstr>
      <vt:lpstr>UiPath_進階教育輔導日期</vt:lpstr>
      <vt:lpstr>UiPath_進階課程課題說明</vt:lpstr>
      <vt:lpstr>KF 資料更新_REFramework開發</vt:lpstr>
      <vt:lpstr>Power Platform_課程</vt:lpstr>
      <vt:lpstr>DataBricks_初學者課程暨課題商談、輔導</vt:lpstr>
      <vt:lpstr>ADT_COLD_設備横展開AI進度管理_ver.0</vt:lpstr>
      <vt:lpstr>ADT_COLD_設備横展開AI進度管理_ver.0!Print_Area</vt:lpstr>
      <vt:lpstr>UiPath_初階課程課題說明!Print_Area</vt:lpstr>
      <vt:lpstr>UiPath_進階課程課題說明!Print_Area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 吉勝(cheng chisheng)/ADT/雲林・製１</dc:creator>
  <cp:lastModifiedBy>陳 俊碩(chen chunshuo)/ADT/雲林・製１・生產推進</cp:lastModifiedBy>
  <dcterms:created xsi:type="dcterms:W3CDTF">2015-06-05T18:17:20Z</dcterms:created>
  <dcterms:modified xsi:type="dcterms:W3CDTF">2026-07-31T03:16:41Z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00289-1a9c-442f-923d-4f95209608d2_Enabled">
    <vt:lpwstr>true</vt:lpwstr>
  </property>
  <property fmtid="{D5CDD505-2E9C-101B-9397-08002B2CF9AE}" pid="3" name="MSIP_Label_9b500289-1a9c-442f-923d-4f95209608d2_SetDate">
    <vt:lpwstr>2025-11-25T00:08:33Z</vt:lpwstr>
  </property>
  <property fmtid="{D5CDD505-2E9C-101B-9397-08002B2CF9AE}" pid="4" name="MSIP_Label_9b500289-1a9c-442f-923d-4f95209608d2_Method">
    <vt:lpwstr>Privileged</vt:lpwstr>
  </property>
  <property fmtid="{D5CDD505-2E9C-101B-9397-08002B2CF9AE}" pid="5" name="MSIP_Label_9b500289-1a9c-442f-923d-4f95209608d2_Name">
    <vt:lpwstr>GCEP2 - Others</vt:lpwstr>
  </property>
  <property fmtid="{D5CDD505-2E9C-101B-9397-08002B2CF9AE}" pid="6" name="MSIP_Label_9b500289-1a9c-442f-923d-4f95209608d2_SiteId">
    <vt:lpwstr>90c56ca2-d892-45ce-810d-6cf368facdb3</vt:lpwstr>
  </property>
  <property fmtid="{D5CDD505-2E9C-101B-9397-08002B2CF9AE}" pid="7" name="MSIP_Label_9b500289-1a9c-442f-923d-4f95209608d2_ActionId">
    <vt:lpwstr>fc45b5b6-a8dd-4852-820e-0ca7ee9b11df</vt:lpwstr>
  </property>
  <property fmtid="{D5CDD505-2E9C-101B-9397-08002B2CF9AE}" pid="8" name="MSIP_Label_9b500289-1a9c-442f-923d-4f95209608d2_ContentBits">
    <vt:lpwstr>0</vt:lpwstr>
  </property>
</Properties>
</file>